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roup2006-my.sharepoint.com/personal/dmpark_insightgroup_co_kr/Documents/Microsoft Teams 채팅 파일/"/>
    </mc:Choice>
  </mc:AlternateContent>
  <xr:revisionPtr revIDLastSave="90" documentId="13_ncr:1_{FB21D9DE-91DF-42A3-8151-4595DE71AB45}" xr6:coauthVersionLast="47" xr6:coauthVersionMax="47" xr10:uidLastSave="{4A23F430-474F-4BE8-A986-73858AA319A6}"/>
  <bookViews>
    <workbookView xWindow="-110" yWindow="-110" windowWidth="19420" windowHeight="11500" xr2:uid="{84B72C75-CD2B-4B38-BFF6-A436E7F885C6}"/>
  </bookViews>
  <sheets>
    <sheet name="monthly_work_hours" sheetId="1" r:id="rId1"/>
    <sheet name="FTE 정리" sheetId="3" r:id="rId2"/>
    <sheet name="FTE 계산" sheetId="2" r:id="rId3"/>
    <sheet name="실제 인원" sheetId="4" r:id="rId4"/>
    <sheet name="인원현황" sheetId="5" r:id="rId5"/>
  </sheets>
  <definedNames>
    <definedName name="_xlnm._FilterDatabase" localSheetId="2" hidden="1">'FTE 계산'!$A$2:$J$253</definedName>
    <definedName name="_xlnm._FilterDatabase" localSheetId="0" hidden="1">monthly_work_hours!$A$1:$Q$726</definedName>
    <definedName name="_xlnm._FilterDatabase" localSheetId="4" hidden="1">인원현황!$A$1:$L$367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5" i="4"/>
  <c r="I7" i="5" a="1"/>
  <c r="I7" i="5" s="1"/>
  <c r="I2" i="5" l="1" a="1"/>
  <c r="I2" i="5" s="1"/>
  <c r="A3" i="2" l="1" a="1"/>
  <c r="A3" i="2" s="1"/>
  <c r="C35" i="4" l="1"/>
  <c r="D35" i="4"/>
  <c r="E35" i="4"/>
  <c r="I3" i="5" a="1"/>
  <c r="I3" i="5" s="1"/>
  <c r="I4" i="5" a="1"/>
  <c r="I4" i="5" s="1"/>
  <c r="I5" i="5" a="1"/>
  <c r="I5" i="5" s="1"/>
  <c r="I6" i="5" a="1"/>
  <c r="I6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I173" i="5" a="1"/>
  <c r="I173" i="5" s="1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 s="1"/>
  <c r="I183" i="5" a="1"/>
  <c r="I183" i="5" s="1"/>
  <c r="I184" i="5" a="1"/>
  <c r="I184" i="5" s="1"/>
  <c r="I185" i="5" a="1"/>
  <c r="I185" i="5" s="1"/>
  <c r="I186" i="5" a="1"/>
  <c r="I186" i="5" s="1"/>
  <c r="I187" i="5" a="1"/>
  <c r="I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 s="1"/>
  <c r="I203" i="5" a="1"/>
  <c r="I203" i="5" s="1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 s="1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 s="1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 s="1"/>
  <c r="I233" i="5" a="1"/>
  <c r="I233" i="5" s="1"/>
  <c r="I234" i="5" a="1"/>
  <c r="I234" i="5" s="1"/>
  <c r="I235" i="5" a="1"/>
  <c r="I235" i="5" s="1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 s="1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 s="1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 s="1"/>
  <c r="I264" i="5" a="1"/>
  <c r="I264" i="5" s="1"/>
  <c r="I265" i="5" a="1"/>
  <c r="I265" i="5" s="1"/>
  <c r="I266" i="5" a="1"/>
  <c r="I266" i="5" s="1"/>
  <c r="I267" i="5" a="1"/>
  <c r="I267" i="5" s="1"/>
  <c r="I268" i="5" a="1"/>
  <c r="I268" i="5" s="1"/>
  <c r="I269" i="5" a="1"/>
  <c r="I269" i="5" s="1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280" i="5" a="1"/>
  <c r="I280" i="5" s="1"/>
  <c r="I281" i="5" a="1"/>
  <c r="I281" i="5" s="1"/>
  <c r="I282" i="5" a="1"/>
  <c r="I282" i="5" s="1"/>
  <c r="I283" i="5" a="1"/>
  <c r="I283" i="5" s="1"/>
  <c r="I284" i="5" a="1"/>
  <c r="I284" i="5" s="1"/>
  <c r="I285" i="5" a="1"/>
  <c r="I285" i="5" s="1"/>
  <c r="I286" i="5" a="1"/>
  <c r="I286" i="5" s="1"/>
  <c r="I287" i="5" a="1"/>
  <c r="I287" i="5" s="1"/>
  <c r="I288" i="5" a="1"/>
  <c r="I288" i="5" s="1"/>
  <c r="I289" i="5" a="1"/>
  <c r="I289" i="5" s="1"/>
  <c r="I290" i="5" a="1"/>
  <c r="I290" i="5" s="1"/>
  <c r="I291" i="5" a="1"/>
  <c r="I291" i="5" s="1"/>
  <c r="I292" i="5" a="1"/>
  <c r="I292" i="5" s="1"/>
  <c r="I293" i="5" a="1"/>
  <c r="I293" i="5" s="1"/>
  <c r="I294" i="5" a="1"/>
  <c r="I294" i="5" s="1"/>
  <c r="I295" i="5" a="1"/>
  <c r="I295" i="5" s="1"/>
  <c r="I296" i="5" a="1"/>
  <c r="I296" i="5" s="1"/>
  <c r="I297" i="5" a="1"/>
  <c r="I297" i="5" s="1"/>
  <c r="I298" i="5" a="1"/>
  <c r="I298" i="5" s="1"/>
  <c r="I299" i="5" a="1"/>
  <c r="I299" i="5" s="1"/>
  <c r="I300" i="5" a="1"/>
  <c r="I300" i="5" s="1"/>
  <c r="I301" i="5" a="1"/>
  <c r="I301" i="5" s="1"/>
  <c r="I302" i="5" a="1"/>
  <c r="I302" i="5" s="1"/>
  <c r="I303" i="5" a="1"/>
  <c r="I303" i="5" s="1"/>
  <c r="I304" i="5" a="1"/>
  <c r="I304" i="5" s="1"/>
  <c r="I305" i="5" a="1"/>
  <c r="I305" i="5" s="1"/>
  <c r="I306" i="5" a="1"/>
  <c r="I306" i="5" s="1"/>
  <c r="I307" i="5" a="1"/>
  <c r="I307" i="5" s="1"/>
  <c r="I308" i="5" a="1"/>
  <c r="I308" i="5" s="1"/>
  <c r="I309" i="5" a="1"/>
  <c r="I309" i="5" s="1"/>
  <c r="I310" i="5" a="1"/>
  <c r="I310" i="5" s="1"/>
  <c r="I311" i="5" a="1"/>
  <c r="I311" i="5" s="1"/>
  <c r="I312" i="5" a="1"/>
  <c r="I312" i="5" s="1"/>
  <c r="I313" i="5" a="1"/>
  <c r="I313" i="5" s="1"/>
  <c r="I314" i="5" a="1"/>
  <c r="I314" i="5" s="1"/>
  <c r="I315" i="5" a="1"/>
  <c r="I315" i="5" s="1"/>
  <c r="I316" i="5" a="1"/>
  <c r="I316" i="5" s="1"/>
  <c r="I317" i="5" a="1"/>
  <c r="I317" i="5" s="1"/>
  <c r="I318" i="5" a="1"/>
  <c r="I318" i="5" s="1"/>
  <c r="I319" i="5" a="1"/>
  <c r="I319" i="5" s="1"/>
  <c r="I320" i="5" a="1"/>
  <c r="I320" i="5" s="1"/>
  <c r="I321" i="5" a="1"/>
  <c r="I321" i="5" s="1"/>
  <c r="I322" i="5" a="1"/>
  <c r="I322" i="5" s="1"/>
  <c r="I323" i="5" a="1"/>
  <c r="I323" i="5" s="1"/>
  <c r="I324" i="5" a="1"/>
  <c r="I324" i="5" s="1"/>
  <c r="I325" i="5" a="1"/>
  <c r="I325" i="5" s="1"/>
  <c r="I326" i="5" a="1"/>
  <c r="I326" i="5" s="1"/>
  <c r="I327" i="5" a="1"/>
  <c r="I327" i="5" s="1"/>
  <c r="I328" i="5" a="1"/>
  <c r="I328" i="5" s="1"/>
  <c r="I329" i="5" a="1"/>
  <c r="I329" i="5" s="1"/>
  <c r="I330" i="5" a="1"/>
  <c r="I330" i="5" s="1"/>
  <c r="I331" i="5" a="1"/>
  <c r="I331" i="5" s="1"/>
  <c r="I332" i="5" a="1"/>
  <c r="I332" i="5" s="1"/>
  <c r="I333" i="5" a="1"/>
  <c r="I333" i="5" s="1"/>
  <c r="I334" i="5" a="1"/>
  <c r="I334" i="5" s="1"/>
  <c r="I335" i="5" a="1"/>
  <c r="I335" i="5" s="1"/>
  <c r="I336" i="5" a="1"/>
  <c r="I336" i="5" s="1"/>
  <c r="I337" i="5" a="1"/>
  <c r="I337" i="5" s="1"/>
  <c r="I338" i="5" a="1"/>
  <c r="I338" i="5" s="1"/>
  <c r="I339" i="5" a="1"/>
  <c r="I339" i="5" s="1"/>
  <c r="I340" i="5" a="1"/>
  <c r="I340" i="5" s="1"/>
  <c r="I341" i="5" a="1"/>
  <c r="I341" i="5" s="1"/>
  <c r="I342" i="5" a="1"/>
  <c r="I342" i="5" s="1"/>
  <c r="I343" i="5" a="1"/>
  <c r="I343" i="5" s="1"/>
  <c r="I344" i="5" a="1"/>
  <c r="I344" i="5" s="1"/>
  <c r="I345" i="5" a="1"/>
  <c r="I345" i="5" s="1"/>
  <c r="I346" i="5" a="1"/>
  <c r="I346" i="5" s="1"/>
  <c r="I347" i="5" a="1"/>
  <c r="I347" i="5" s="1"/>
  <c r="I348" i="5" a="1"/>
  <c r="I348" i="5" s="1"/>
  <c r="I349" i="5" a="1"/>
  <c r="I349" i="5" s="1"/>
  <c r="I350" i="5" a="1"/>
  <c r="I350" i="5" s="1"/>
  <c r="I351" i="5" a="1"/>
  <c r="I351" i="5" s="1"/>
  <c r="I352" i="5" a="1"/>
  <c r="I352" i="5" s="1"/>
  <c r="I353" i="5" a="1"/>
  <c r="I353" i="5" s="1"/>
  <c r="I354" i="5" a="1"/>
  <c r="I354" i="5" s="1"/>
  <c r="I355" i="5" a="1"/>
  <c r="I355" i="5" s="1"/>
  <c r="I356" i="5" a="1"/>
  <c r="I356" i="5" s="1"/>
  <c r="I357" i="5" a="1"/>
  <c r="I357" i="5" s="1"/>
  <c r="I358" i="5" a="1"/>
  <c r="I358" i="5" s="1"/>
  <c r="I359" i="5" a="1"/>
  <c r="I359" i="5" s="1"/>
  <c r="I360" i="5" a="1"/>
  <c r="I360" i="5" s="1"/>
  <c r="I361" i="5" a="1"/>
  <c r="I361" i="5" s="1"/>
  <c r="I362" i="5" a="1"/>
  <c r="I362" i="5" s="1"/>
  <c r="I363" i="5" a="1"/>
  <c r="I363" i="5" s="1"/>
  <c r="I364" i="5" a="1"/>
  <c r="I364" i="5" s="1"/>
  <c r="I365" i="5" a="1"/>
  <c r="I365" i="5" s="1"/>
  <c r="I366" i="5" a="1"/>
  <c r="I366" i="5" s="1"/>
  <c r="I367" i="5" a="1"/>
  <c r="I367" i="5" s="1"/>
  <c r="D19" i="4" l="1"/>
  <c r="H18" i="3" s="1"/>
  <c r="C9" i="4"/>
  <c r="G8" i="3" s="1"/>
  <c r="E20" i="4"/>
  <c r="I19" i="3" s="1"/>
  <c r="D5" i="4"/>
  <c r="H5" i="3" s="1"/>
  <c r="C22" i="4"/>
  <c r="G21" i="3" s="1"/>
  <c r="C20" i="4"/>
  <c r="G19" i="3" s="1"/>
  <c r="C30" i="4"/>
  <c r="G29" i="3" s="1"/>
  <c r="E16" i="4"/>
  <c r="I15" i="3" s="1"/>
  <c r="E7" i="4"/>
  <c r="I7" i="3" s="1"/>
  <c r="E19" i="4"/>
  <c r="I18" i="3" s="1"/>
  <c r="C4" i="4"/>
  <c r="G4" i="3" s="1"/>
  <c r="E18" i="4"/>
  <c r="I17" i="3" s="1"/>
  <c r="D20" i="4"/>
  <c r="H19" i="3" s="1"/>
  <c r="E23" i="4"/>
  <c r="I22" i="3" s="1"/>
  <c r="C16" i="4"/>
  <c r="G15" i="3" s="1"/>
  <c r="C31" i="4"/>
  <c r="G30" i="3" s="1"/>
  <c r="D15" i="4"/>
  <c r="H14" i="3" s="1"/>
  <c r="E33" i="4"/>
  <c r="I32" i="3" s="1"/>
  <c r="C33" i="4"/>
  <c r="G32" i="3" s="1"/>
  <c r="D3" i="4"/>
  <c r="C3" i="4"/>
  <c r="G3" i="3" s="1"/>
  <c r="D29" i="4"/>
  <c r="H28" i="3" s="1"/>
  <c r="E9" i="4"/>
  <c r="I8" i="3" s="1"/>
  <c r="D16" i="4"/>
  <c r="H15" i="3" s="1"/>
  <c r="E10" i="4"/>
  <c r="I9" i="3" s="1"/>
  <c r="C14" i="4"/>
  <c r="G13" i="3" s="1"/>
  <c r="D14" i="4"/>
  <c r="H13" i="3" s="1"/>
  <c r="E14" i="4"/>
  <c r="I13" i="3" s="1"/>
  <c r="C12" i="4"/>
  <c r="G11" i="3" s="1"/>
  <c r="D12" i="4"/>
  <c r="H11" i="3" s="1"/>
  <c r="E12" i="4"/>
  <c r="I11" i="3" s="1"/>
  <c r="D21" i="4"/>
  <c r="H20" i="3" s="1"/>
  <c r="C25" i="4"/>
  <c r="G24" i="3" s="1"/>
  <c r="D27" i="4"/>
  <c r="H26" i="3" s="1"/>
  <c r="C18" i="4"/>
  <c r="G17" i="3" s="1"/>
  <c r="D7" i="4"/>
  <c r="H7" i="3" s="1"/>
  <c r="E4" i="4"/>
  <c r="I4" i="3" s="1"/>
  <c r="E24" i="4"/>
  <c r="I23" i="3" s="1"/>
  <c r="D32" i="4"/>
  <c r="H31" i="3" s="1"/>
  <c r="E21" i="4"/>
  <c r="I20" i="3" s="1"/>
  <c r="C11" i="4"/>
  <c r="G10" i="3" s="1"/>
  <c r="D11" i="4"/>
  <c r="H10" i="3" s="1"/>
  <c r="E11" i="4"/>
  <c r="I10" i="3" s="1"/>
  <c r="C8" i="4"/>
  <c r="D8" i="4"/>
  <c r="E8" i="4"/>
  <c r="E26" i="4"/>
  <c r="I25" i="3" s="1"/>
  <c r="C24" i="4"/>
  <c r="G23" i="3" s="1"/>
  <c r="C6" i="4"/>
  <c r="G6" i="3" s="1"/>
  <c r="C28" i="4"/>
  <c r="G27" i="3" s="1"/>
  <c r="D23" i="4"/>
  <c r="H22" i="3" s="1"/>
  <c r="C17" i="4"/>
  <c r="G16" i="3" s="1"/>
  <c r="D17" i="4"/>
  <c r="H16" i="3" s="1"/>
  <c r="E17" i="4"/>
  <c r="I16" i="3" s="1"/>
  <c r="D13" i="4"/>
  <c r="H12" i="3" s="1"/>
  <c r="D24" i="4"/>
  <c r="H23" i="3" s="1"/>
  <c r="E34" i="4"/>
  <c r="I33" i="3" s="1"/>
  <c r="C32" i="4"/>
  <c r="G31" i="3" s="1"/>
  <c r="C27" i="4"/>
  <c r="G26" i="3" s="1"/>
  <c r="C15" i="4"/>
  <c r="G14" i="3" s="1"/>
  <c r="E13" i="4"/>
  <c r="I12" i="3" s="1"/>
  <c r="E28" i="4"/>
  <c r="I27" i="3" s="1"/>
  <c r="D28" i="4"/>
  <c r="H27" i="3" s="1"/>
  <c r="C7" i="4"/>
  <c r="G7" i="3" s="1"/>
  <c r="C19" i="4"/>
  <c r="G18" i="3" s="1"/>
  <c r="D34" i="4"/>
  <c r="H33" i="3" s="1"/>
  <c r="E31" i="4"/>
  <c r="I30" i="3" s="1"/>
  <c r="C29" i="4"/>
  <c r="G28" i="3" s="1"/>
  <c r="D26" i="4"/>
  <c r="H25" i="3" s="1"/>
  <c r="C21" i="4"/>
  <c r="G20" i="3" s="1"/>
  <c r="D18" i="4"/>
  <c r="H17" i="3" s="1"/>
  <c r="E15" i="4"/>
  <c r="I14" i="3" s="1"/>
  <c r="C13" i="4"/>
  <c r="G12" i="3" s="1"/>
  <c r="D10" i="4"/>
  <c r="H9" i="3" s="1"/>
  <c r="C5" i="4"/>
  <c r="G5" i="3" s="1"/>
  <c r="C10" i="4"/>
  <c r="G9" i="3" s="1"/>
  <c r="E3" i="4"/>
  <c r="C34" i="4"/>
  <c r="G33" i="3" s="1"/>
  <c r="C26" i="4"/>
  <c r="G25" i="3" s="1"/>
  <c r="C23" i="4"/>
  <c r="G22" i="3" s="1"/>
  <c r="D4" i="4"/>
  <c r="H4" i="3" s="1"/>
  <c r="D33" i="4"/>
  <c r="H32" i="3" s="1"/>
  <c r="E30" i="4"/>
  <c r="I29" i="3" s="1"/>
  <c r="D25" i="4"/>
  <c r="H24" i="3" s="1"/>
  <c r="E22" i="4"/>
  <c r="I21" i="3" s="1"/>
  <c r="D9" i="4"/>
  <c r="H8" i="3" s="1"/>
  <c r="E6" i="4"/>
  <c r="I6" i="3" s="1"/>
  <c r="D31" i="4"/>
  <c r="H30" i="3" s="1"/>
  <c r="E25" i="4"/>
  <c r="I24" i="3" s="1"/>
  <c r="D30" i="4"/>
  <c r="H29" i="3" s="1"/>
  <c r="E27" i="4"/>
  <c r="I26" i="3" s="1"/>
  <c r="D22" i="4"/>
  <c r="H21" i="3" s="1"/>
  <c r="D6" i="4"/>
  <c r="H6" i="3" s="1"/>
  <c r="E32" i="4"/>
  <c r="I31" i="3" s="1"/>
  <c r="E5" i="4"/>
  <c r="I5" i="3" s="1"/>
  <c r="E29" i="4"/>
  <c r="I28" i="3" s="1"/>
  <c r="B4" i="4"/>
  <c r="F4" i="3" s="1"/>
  <c r="F5" i="3"/>
  <c r="B6" i="4"/>
  <c r="F6" i="3" s="1"/>
  <c r="B7" i="4"/>
  <c r="F7" i="3" s="1"/>
  <c r="B8" i="4"/>
  <c r="B9" i="4"/>
  <c r="F8" i="3" s="1"/>
  <c r="B10" i="4"/>
  <c r="F9" i="3" s="1"/>
  <c r="B11" i="4"/>
  <c r="F10" i="3" s="1"/>
  <c r="B12" i="4"/>
  <c r="F11" i="3" s="1"/>
  <c r="B13" i="4"/>
  <c r="F12" i="3" s="1"/>
  <c r="B14" i="4"/>
  <c r="F13" i="3" s="1"/>
  <c r="B15" i="4"/>
  <c r="F14" i="3" s="1"/>
  <c r="B16" i="4"/>
  <c r="F15" i="3" s="1"/>
  <c r="B17" i="4"/>
  <c r="F16" i="3" s="1"/>
  <c r="B18" i="4"/>
  <c r="F17" i="3" s="1"/>
  <c r="B19" i="4"/>
  <c r="F18" i="3" s="1"/>
  <c r="B20" i="4"/>
  <c r="F19" i="3" s="1"/>
  <c r="B21" i="4"/>
  <c r="F20" i="3" s="1"/>
  <c r="B22" i="4"/>
  <c r="F21" i="3" s="1"/>
  <c r="B23" i="4"/>
  <c r="F22" i="3" s="1"/>
  <c r="B24" i="4"/>
  <c r="F23" i="3" s="1"/>
  <c r="B25" i="4"/>
  <c r="F24" i="3" s="1"/>
  <c r="B26" i="4"/>
  <c r="F25" i="3" s="1"/>
  <c r="B27" i="4"/>
  <c r="F26" i="3" s="1"/>
  <c r="B28" i="4"/>
  <c r="F27" i="3" s="1"/>
  <c r="B29" i="4"/>
  <c r="F28" i="3" s="1"/>
  <c r="B30" i="4"/>
  <c r="F29" i="3" s="1"/>
  <c r="B31" i="4"/>
  <c r="F30" i="3" s="1"/>
  <c r="B32" i="4"/>
  <c r="F31" i="3" s="1"/>
  <c r="B33" i="4"/>
  <c r="F32" i="3" s="1"/>
  <c r="B34" i="4"/>
  <c r="F33" i="3" s="1"/>
  <c r="B35" i="4"/>
  <c r="H108" i="2"/>
  <c r="F3" i="3" l="1"/>
  <c r="I3" i="3"/>
  <c r="H3" i="3"/>
  <c r="E230" i="2"/>
  <c r="F187" i="2"/>
  <c r="F155" i="2"/>
  <c r="F123" i="2"/>
  <c r="F91" i="2"/>
  <c r="F5" i="2"/>
  <c r="E238" i="2"/>
  <c r="G88" i="2"/>
  <c r="F248" i="2"/>
  <c r="E227" i="2"/>
  <c r="F216" i="2"/>
  <c r="G205" i="2"/>
  <c r="F184" i="2"/>
  <c r="G173" i="2"/>
  <c r="E163" i="2"/>
  <c r="F152" i="2"/>
  <c r="E131" i="2"/>
  <c r="F120" i="2"/>
  <c r="G109" i="2"/>
  <c r="F88" i="2"/>
  <c r="G77" i="2"/>
  <c r="G41" i="2"/>
  <c r="E246" i="2"/>
  <c r="F235" i="2"/>
  <c r="G224" i="2"/>
  <c r="E214" i="2"/>
  <c r="F203" i="2"/>
  <c r="G192" i="2"/>
  <c r="E182" i="2"/>
  <c r="F171" i="2"/>
  <c r="G160" i="2"/>
  <c r="E150" i="2"/>
  <c r="F139" i="2"/>
  <c r="G128" i="2"/>
  <c r="E118" i="2"/>
  <c r="F107" i="2"/>
  <c r="G96" i="2"/>
  <c r="E86" i="2"/>
  <c r="F75" i="2"/>
  <c r="E64" i="2"/>
  <c r="E34" i="2"/>
  <c r="I250" i="2"/>
  <c r="H129" i="2"/>
  <c r="G248" i="2"/>
  <c r="F227" i="2"/>
  <c r="F99" i="2"/>
  <c r="G237" i="2"/>
  <c r="G245" i="2"/>
  <c r="E235" i="2"/>
  <c r="F224" i="2"/>
  <c r="G213" i="2"/>
  <c r="E203" i="2"/>
  <c r="F192" i="2"/>
  <c r="G181" i="2"/>
  <c r="E171" i="2"/>
  <c r="F160" i="2"/>
  <c r="G149" i="2"/>
  <c r="E139" i="2"/>
  <c r="F128" i="2"/>
  <c r="G117" i="2"/>
  <c r="E107" i="2"/>
  <c r="F96" i="2"/>
  <c r="G85" i="2"/>
  <c r="E75" i="2"/>
  <c r="G63" i="2"/>
  <c r="G26" i="2"/>
  <c r="J242" i="2"/>
  <c r="D169" i="2"/>
  <c r="H5" i="2"/>
  <c r="J7" i="2"/>
  <c r="I10" i="2"/>
  <c r="H13" i="2"/>
  <c r="J15" i="2"/>
  <c r="I18" i="2"/>
  <c r="H21" i="2"/>
  <c r="J23" i="2"/>
  <c r="I26" i="2"/>
  <c r="H29" i="2"/>
  <c r="J31" i="2"/>
  <c r="I34" i="2"/>
  <c r="H37" i="2"/>
  <c r="J39" i="2"/>
  <c r="I42" i="2"/>
  <c r="H45" i="2"/>
  <c r="J47" i="2"/>
  <c r="I50" i="2"/>
  <c r="H53" i="2"/>
  <c r="J55" i="2"/>
  <c r="I58" i="2"/>
  <c r="H61" i="2"/>
  <c r="J63" i="2"/>
  <c r="I66" i="2"/>
  <c r="H69" i="2"/>
  <c r="J71" i="2"/>
  <c r="I74" i="2"/>
  <c r="H77" i="2"/>
  <c r="J79" i="2"/>
  <c r="I82" i="2"/>
  <c r="H85" i="2"/>
  <c r="J87" i="2"/>
  <c r="I90" i="2"/>
  <c r="H93" i="2"/>
  <c r="J95" i="2"/>
  <c r="I98" i="2"/>
  <c r="H4" i="2"/>
  <c r="H7" i="2"/>
  <c r="H10" i="2"/>
  <c r="I13" i="2"/>
  <c r="I16" i="2"/>
  <c r="I19" i="2"/>
  <c r="I22" i="2"/>
  <c r="I25" i="2"/>
  <c r="I28" i="2"/>
  <c r="I31" i="2"/>
  <c r="J34" i="2"/>
  <c r="J37" i="2"/>
  <c r="J40" i="2"/>
  <c r="J43" i="2"/>
  <c r="J46" i="2"/>
  <c r="J49" i="2"/>
  <c r="J52" i="2"/>
  <c r="H56" i="2"/>
  <c r="H59" i="2"/>
  <c r="H62" i="2"/>
  <c r="H65" i="2"/>
  <c r="H68" i="2"/>
  <c r="H71" i="2"/>
  <c r="H74" i="2"/>
  <c r="I77" i="2"/>
  <c r="I80" i="2"/>
  <c r="I83" i="2"/>
  <c r="I86" i="2"/>
  <c r="I89" i="2"/>
  <c r="I92" i="2"/>
  <c r="I95" i="2"/>
  <c r="J98" i="2"/>
  <c r="I101" i="2"/>
  <c r="H104" i="2"/>
  <c r="J106" i="2"/>
  <c r="I109" i="2"/>
  <c r="H112" i="2"/>
  <c r="J114" i="2"/>
  <c r="I117" i="2"/>
  <c r="H120" i="2"/>
  <c r="J122" i="2"/>
  <c r="I125" i="2"/>
  <c r="H128" i="2"/>
  <c r="J130" i="2"/>
  <c r="I133" i="2"/>
  <c r="H136" i="2"/>
  <c r="J138" i="2"/>
  <c r="I141" i="2"/>
  <c r="H144" i="2"/>
  <c r="J146" i="2"/>
  <c r="I149" i="2"/>
  <c r="H152" i="2"/>
  <c r="J154" i="2"/>
  <c r="I157" i="2"/>
  <c r="H160" i="2"/>
  <c r="J162" i="2"/>
  <c r="I165" i="2"/>
  <c r="H168" i="2"/>
  <c r="J170" i="2"/>
  <c r="I173" i="2"/>
  <c r="H176" i="2"/>
  <c r="J178" i="2"/>
  <c r="I181" i="2"/>
  <c r="H184" i="2"/>
  <c r="J186" i="2"/>
  <c r="I189" i="2"/>
  <c r="H192" i="2"/>
  <c r="J194" i="2"/>
  <c r="I197" i="2"/>
  <c r="H200" i="2"/>
  <c r="J202" i="2"/>
  <c r="I205" i="2"/>
  <c r="H208" i="2"/>
  <c r="J210" i="2"/>
  <c r="I213" i="2"/>
  <c r="H216" i="2"/>
  <c r="J218" i="2"/>
  <c r="I221" i="2"/>
  <c r="H224" i="2"/>
  <c r="J226" i="2"/>
  <c r="I229" i="2"/>
  <c r="H232" i="2"/>
  <c r="J234" i="2"/>
  <c r="I4" i="2"/>
  <c r="I7" i="2"/>
  <c r="J10" i="2"/>
  <c r="J13" i="2"/>
  <c r="J16" i="2"/>
  <c r="J19" i="2"/>
  <c r="J22" i="2"/>
  <c r="J25" i="2"/>
  <c r="J28" i="2"/>
  <c r="H32" i="2"/>
  <c r="H35" i="2"/>
  <c r="H38" i="2"/>
  <c r="H41" i="2"/>
  <c r="H44" i="2"/>
  <c r="H47" i="2"/>
  <c r="H50" i="2"/>
  <c r="I53" i="2"/>
  <c r="I56" i="2"/>
  <c r="I59" i="2"/>
  <c r="I62" i="2"/>
  <c r="I65" i="2"/>
  <c r="I68" i="2"/>
  <c r="I71" i="2"/>
  <c r="J74" i="2"/>
  <c r="J77" i="2"/>
  <c r="J80" i="2"/>
  <c r="J83" i="2"/>
  <c r="J86" i="2"/>
  <c r="J89" i="2"/>
  <c r="J92" i="2"/>
  <c r="H96" i="2"/>
  <c r="H99" i="2"/>
  <c r="J101" i="2"/>
  <c r="I104" i="2"/>
  <c r="H107" i="2"/>
  <c r="J109" i="2"/>
  <c r="I112" i="2"/>
  <c r="H115" i="2"/>
  <c r="J117" i="2"/>
  <c r="I120" i="2"/>
  <c r="H123" i="2"/>
  <c r="J125" i="2"/>
  <c r="I128" i="2"/>
  <c r="H131" i="2"/>
  <c r="J133" i="2"/>
  <c r="I136" i="2"/>
  <c r="H139" i="2"/>
  <c r="J141" i="2"/>
  <c r="I144" i="2"/>
  <c r="H147" i="2"/>
  <c r="J149" i="2"/>
  <c r="I152" i="2"/>
  <c r="H155" i="2"/>
  <c r="J157" i="2"/>
  <c r="I160" i="2"/>
  <c r="H163" i="2"/>
  <c r="J165" i="2"/>
  <c r="I168" i="2"/>
  <c r="H171" i="2"/>
  <c r="J173" i="2"/>
  <c r="I176" i="2"/>
  <c r="H179" i="2"/>
  <c r="J181" i="2"/>
  <c r="I184" i="2"/>
  <c r="H187" i="2"/>
  <c r="J189" i="2"/>
  <c r="I192" i="2"/>
  <c r="H195" i="2"/>
  <c r="J197" i="2"/>
  <c r="I200" i="2"/>
  <c r="H203" i="2"/>
  <c r="J205" i="2"/>
  <c r="I208" i="2"/>
  <c r="H211" i="2"/>
  <c r="J213" i="2"/>
  <c r="I216" i="2"/>
  <c r="H219" i="2"/>
  <c r="J221" i="2"/>
  <c r="I224" i="2"/>
  <c r="H227" i="2"/>
  <c r="J229" i="2"/>
  <c r="I232" i="2"/>
  <c r="J6" i="2"/>
  <c r="J9" i="2"/>
  <c r="J12" i="2"/>
  <c r="H16" i="2"/>
  <c r="H19" i="2"/>
  <c r="H22" i="2"/>
  <c r="H25" i="2"/>
  <c r="H28" i="2"/>
  <c r="H31" i="2"/>
  <c r="H34" i="2"/>
  <c r="I37" i="2"/>
  <c r="I40" i="2"/>
  <c r="I43" i="2"/>
  <c r="I46" i="2"/>
  <c r="I49" i="2"/>
  <c r="I52" i="2"/>
  <c r="I55" i="2"/>
  <c r="J58" i="2"/>
  <c r="J61" i="2"/>
  <c r="J64" i="2"/>
  <c r="J67" i="2"/>
  <c r="J70" i="2"/>
  <c r="J73" i="2"/>
  <c r="J76" i="2"/>
  <c r="H80" i="2"/>
  <c r="H83" i="2"/>
  <c r="H86" i="2"/>
  <c r="H89" i="2"/>
  <c r="H92" i="2"/>
  <c r="H95" i="2"/>
  <c r="H98" i="2"/>
  <c r="H101" i="2"/>
  <c r="J103" i="2"/>
  <c r="I106" i="2"/>
  <c r="H109" i="2"/>
  <c r="I5" i="2"/>
  <c r="I9" i="2"/>
  <c r="J14" i="2"/>
  <c r="H20" i="2"/>
  <c r="I24" i="2"/>
  <c r="J29" i="2"/>
  <c r="J33" i="2"/>
  <c r="H39" i="2"/>
  <c r="I44" i="2"/>
  <c r="J48" i="2"/>
  <c r="H54" i="2"/>
  <c r="H58" i="2"/>
  <c r="I63" i="2"/>
  <c r="J68" i="2"/>
  <c r="H73" i="2"/>
  <c r="I78" i="2"/>
  <c r="J82" i="2"/>
  <c r="H88" i="2"/>
  <c r="I93" i="2"/>
  <c r="I97" i="2"/>
  <c r="I102" i="2"/>
  <c r="H106" i="2"/>
  <c r="J110" i="2"/>
  <c r="H114" i="2"/>
  <c r="H118" i="2"/>
  <c r="I121" i="2"/>
  <c r="J124" i="2"/>
  <c r="J128" i="2"/>
  <c r="H132" i="2"/>
  <c r="I135" i="2"/>
  <c r="I139" i="2"/>
  <c r="J142" i="2"/>
  <c r="H146" i="2"/>
  <c r="H150" i="2"/>
  <c r="I153" i="2"/>
  <c r="J156" i="2"/>
  <c r="J160" i="2"/>
  <c r="H164" i="2"/>
  <c r="I167" i="2"/>
  <c r="I171" i="2"/>
  <c r="J174" i="2"/>
  <c r="H178" i="2"/>
  <c r="H182" i="2"/>
  <c r="I185" i="2"/>
  <c r="J188" i="2"/>
  <c r="J192" i="2"/>
  <c r="H196" i="2"/>
  <c r="I199" i="2"/>
  <c r="I203" i="2"/>
  <c r="J206" i="2"/>
  <c r="H210" i="2"/>
  <c r="H214" i="2"/>
  <c r="I217" i="2"/>
  <c r="H8" i="2"/>
  <c r="H12" i="2"/>
  <c r="I17" i="2"/>
  <c r="J21" i="2"/>
  <c r="H27" i="2"/>
  <c r="I32" i="2"/>
  <c r="I36" i="2"/>
  <c r="J41" i="2"/>
  <c r="H46" i="2"/>
  <c r="I51" i="2"/>
  <c r="J56" i="2"/>
  <c r="J60" i="2"/>
  <c r="H66" i="2"/>
  <c r="I70" i="2"/>
  <c r="J75" i="2"/>
  <c r="H81" i="2"/>
  <c r="I85" i="2"/>
  <c r="J90" i="2"/>
  <c r="J94" i="2"/>
  <c r="H100" i="2"/>
  <c r="J104" i="2"/>
  <c r="I108" i="2"/>
  <c r="J112" i="2"/>
  <c r="H116" i="2"/>
  <c r="I119" i="2"/>
  <c r="I123" i="2"/>
  <c r="J126" i="2"/>
  <c r="H130" i="2"/>
  <c r="H134" i="2"/>
  <c r="I137" i="2"/>
  <c r="J140" i="2"/>
  <c r="J144" i="2"/>
  <c r="H148" i="2"/>
  <c r="I151" i="2"/>
  <c r="I155" i="2"/>
  <c r="J158" i="2"/>
  <c r="H162" i="2"/>
  <c r="H166" i="2"/>
  <c r="I169" i="2"/>
  <c r="J172" i="2"/>
  <c r="J176" i="2"/>
  <c r="H180" i="2"/>
  <c r="I183" i="2"/>
  <c r="I187" i="2"/>
  <c r="J190" i="2"/>
  <c r="H194" i="2"/>
  <c r="H198" i="2"/>
  <c r="I201" i="2"/>
  <c r="J204" i="2"/>
  <c r="J208" i="2"/>
  <c r="H212" i="2"/>
  <c r="I215" i="2"/>
  <c r="I219" i="2"/>
  <c r="J222" i="2"/>
  <c r="H226" i="2"/>
  <c r="H230" i="2"/>
  <c r="I233" i="2"/>
  <c r="I236" i="2"/>
  <c r="H239" i="2"/>
  <c r="J241" i="2"/>
  <c r="I244" i="2"/>
  <c r="H247" i="2"/>
  <c r="I8" i="2"/>
  <c r="I12" i="2"/>
  <c r="J17" i="2"/>
  <c r="H23" i="2"/>
  <c r="I27" i="2"/>
  <c r="J32" i="2"/>
  <c r="J36" i="2"/>
  <c r="H42" i="2"/>
  <c r="I47" i="2"/>
  <c r="J51" i="2"/>
  <c r="H57" i="2"/>
  <c r="I61" i="2"/>
  <c r="J66" i="2"/>
  <c r="H72" i="2"/>
  <c r="H76" i="2"/>
  <c r="I81" i="2"/>
  <c r="J85" i="2"/>
  <c r="H91" i="2"/>
  <c r="I96" i="2"/>
  <c r="I100" i="2"/>
  <c r="H105" i="2"/>
  <c r="J108" i="2"/>
  <c r="H113" i="2"/>
  <c r="I116" i="2"/>
  <c r="J119" i="2"/>
  <c r="J123" i="2"/>
  <c r="H127" i="2"/>
  <c r="I130" i="2"/>
  <c r="I134" i="2"/>
  <c r="J137" i="2"/>
  <c r="H141" i="2"/>
  <c r="H145" i="2"/>
  <c r="I148" i="2"/>
  <c r="J151" i="2"/>
  <c r="J155" i="2"/>
  <c r="H159" i="2"/>
  <c r="I162" i="2"/>
  <c r="I166" i="2"/>
  <c r="J169" i="2"/>
  <c r="H173" i="2"/>
  <c r="H177" i="2"/>
  <c r="I180" i="2"/>
  <c r="J183" i="2"/>
  <c r="J187" i="2"/>
  <c r="H191" i="2"/>
  <c r="I194" i="2"/>
  <c r="I198" i="2"/>
  <c r="J201" i="2"/>
  <c r="H205" i="2"/>
  <c r="H209" i="2"/>
  <c r="I212" i="2"/>
  <c r="J215" i="2"/>
  <c r="J219" i="2"/>
  <c r="H223" i="2"/>
  <c r="I226" i="2"/>
  <c r="I230" i="2"/>
  <c r="J233" i="2"/>
  <c r="J236" i="2"/>
  <c r="I239" i="2"/>
  <c r="H242" i="2"/>
  <c r="J244" i="2"/>
  <c r="I247" i="2"/>
  <c r="J8" i="2"/>
  <c r="H14" i="2"/>
  <c r="H18" i="2"/>
  <c r="I23" i="2"/>
  <c r="J27" i="2"/>
  <c r="H33" i="2"/>
  <c r="I38" i="2"/>
  <c r="J42" i="2"/>
  <c r="H48" i="2"/>
  <c r="H52" i="2"/>
  <c r="I57" i="2"/>
  <c r="J62" i="2"/>
  <c r="H67" i="2"/>
  <c r="I72" i="2"/>
  <c r="I76" i="2"/>
  <c r="J81" i="2"/>
  <c r="H87" i="2"/>
  <c r="I91" i="2"/>
  <c r="J96" i="2"/>
  <c r="J100" i="2"/>
  <c r="I105" i="2"/>
  <c r="H110" i="2"/>
  <c r="I113" i="2"/>
  <c r="J116" i="2"/>
  <c r="J120" i="2"/>
  <c r="H124" i="2"/>
  <c r="I127" i="2"/>
  <c r="I131" i="2"/>
  <c r="J134" i="2"/>
  <c r="H138" i="2"/>
  <c r="H142" i="2"/>
  <c r="I145" i="2"/>
  <c r="J148" i="2"/>
  <c r="J152" i="2"/>
  <c r="H156" i="2"/>
  <c r="I159" i="2"/>
  <c r="I163" i="2"/>
  <c r="J166" i="2"/>
  <c r="H170" i="2"/>
  <c r="H174" i="2"/>
  <c r="I177" i="2"/>
  <c r="J180" i="2"/>
  <c r="J184" i="2"/>
  <c r="H188" i="2"/>
  <c r="I191" i="2"/>
  <c r="I195" i="2"/>
  <c r="J198" i="2"/>
  <c r="H6" i="2"/>
  <c r="I15" i="2"/>
  <c r="H26" i="2"/>
  <c r="J35" i="2"/>
  <c r="I45" i="2"/>
  <c r="J54" i="2"/>
  <c r="I64" i="2"/>
  <c r="H75" i="2"/>
  <c r="I84" i="2"/>
  <c r="H94" i="2"/>
  <c r="H103" i="2"/>
  <c r="I111" i="2"/>
  <c r="J118" i="2"/>
  <c r="H126" i="2"/>
  <c r="J132" i="2"/>
  <c r="H140" i="2"/>
  <c r="I147" i="2"/>
  <c r="H154" i="2"/>
  <c r="I161" i="2"/>
  <c r="J168" i="2"/>
  <c r="I175" i="2"/>
  <c r="J182" i="2"/>
  <c r="H190" i="2"/>
  <c r="J196" i="2"/>
  <c r="J203" i="2"/>
  <c r="I209" i="2"/>
  <c r="J214" i="2"/>
  <c r="I220" i="2"/>
  <c r="H225" i="2"/>
  <c r="H229" i="2"/>
  <c r="I234" i="2"/>
  <c r="H238" i="2"/>
  <c r="I241" i="2"/>
  <c r="I245" i="2"/>
  <c r="J248" i="2"/>
  <c r="I251" i="2"/>
  <c r="F6" i="2"/>
  <c r="E9" i="2"/>
  <c r="G11" i="2"/>
  <c r="F14" i="2"/>
  <c r="E17" i="2"/>
  <c r="G19" i="2"/>
  <c r="F22" i="2"/>
  <c r="E25" i="2"/>
  <c r="G27" i="2"/>
  <c r="F30" i="2"/>
  <c r="E33" i="2"/>
  <c r="G35" i="2"/>
  <c r="F38" i="2"/>
  <c r="E41" i="2"/>
  <c r="G43" i="2"/>
  <c r="F46" i="2"/>
  <c r="E49" i="2"/>
  <c r="G51" i="2"/>
  <c r="F54" i="2"/>
  <c r="E57" i="2"/>
  <c r="G59" i="2"/>
  <c r="F62" i="2"/>
  <c r="E65" i="2"/>
  <c r="I6" i="2"/>
  <c r="H17" i="2"/>
  <c r="J26" i="2"/>
  <c r="H36" i="2"/>
  <c r="J45" i="2"/>
  <c r="H55" i="2"/>
  <c r="J65" i="2"/>
  <c r="I75" i="2"/>
  <c r="J84" i="2"/>
  <c r="I94" i="2"/>
  <c r="I103" i="2"/>
  <c r="J111" i="2"/>
  <c r="H119" i="2"/>
  <c r="I126" i="2"/>
  <c r="H133" i="2"/>
  <c r="I140" i="2"/>
  <c r="J147" i="2"/>
  <c r="I154" i="2"/>
  <c r="J161" i="2"/>
  <c r="H169" i="2"/>
  <c r="J175" i="2"/>
  <c r="H183" i="2"/>
  <c r="I190" i="2"/>
  <c r="H197" i="2"/>
  <c r="H204" i="2"/>
  <c r="J209" i="2"/>
  <c r="H215" i="2"/>
  <c r="J220" i="2"/>
  <c r="I225" i="2"/>
  <c r="J230" i="2"/>
  <c r="H235" i="2"/>
  <c r="I238" i="2"/>
  <c r="I242" i="2"/>
  <c r="J245" i="2"/>
  <c r="H249" i="2"/>
  <c r="J251" i="2"/>
  <c r="E4" i="2"/>
  <c r="G6" i="2"/>
  <c r="F9" i="2"/>
  <c r="E12" i="2"/>
  <c r="G14" i="2"/>
  <c r="F17" i="2"/>
  <c r="E20" i="2"/>
  <c r="G22" i="2"/>
  <c r="F25" i="2"/>
  <c r="E28" i="2"/>
  <c r="G30" i="2"/>
  <c r="F33" i="2"/>
  <c r="E36" i="2"/>
  <c r="G38" i="2"/>
  <c r="F41" i="2"/>
  <c r="E44" i="2"/>
  <c r="G46" i="2"/>
  <c r="F49" i="2"/>
  <c r="E52" i="2"/>
  <c r="G54" i="2"/>
  <c r="F57" i="2"/>
  <c r="E60" i="2"/>
  <c r="G62" i="2"/>
  <c r="F65" i="2"/>
  <c r="I11" i="2"/>
  <c r="J20" i="2"/>
  <c r="I30" i="2"/>
  <c r="H40" i="2"/>
  <c r="J50" i="2"/>
  <c r="H60" i="2"/>
  <c r="J69" i="2"/>
  <c r="H79" i="2"/>
  <c r="J88" i="2"/>
  <c r="I99" i="2"/>
  <c r="J107" i="2"/>
  <c r="I115" i="2"/>
  <c r="H122" i="2"/>
  <c r="I129" i="2"/>
  <c r="J136" i="2"/>
  <c r="I143" i="2"/>
  <c r="J150" i="2"/>
  <c r="H158" i="2"/>
  <c r="J164" i="2"/>
  <c r="H172" i="2"/>
  <c r="I179" i="2"/>
  <c r="H186" i="2"/>
  <c r="I193" i="2"/>
  <c r="J200" i="2"/>
  <c r="I206" i="2"/>
  <c r="J211" i="2"/>
  <c r="J217" i="2"/>
  <c r="I222" i="2"/>
  <c r="J227" i="2"/>
  <c r="J231" i="2"/>
  <c r="H236" i="2"/>
  <c r="H240" i="2"/>
  <c r="I243" i="2"/>
  <c r="J246" i="2"/>
  <c r="H250" i="2"/>
  <c r="J252" i="2"/>
  <c r="E5" i="2"/>
  <c r="G7" i="2"/>
  <c r="F10" i="2"/>
  <c r="E13" i="2"/>
  <c r="G15" i="2"/>
  <c r="F18" i="2"/>
  <c r="E21" i="2"/>
  <c r="G23" i="2"/>
  <c r="F26" i="2"/>
  <c r="E29" i="2"/>
  <c r="G31" i="2"/>
  <c r="F34" i="2"/>
  <c r="E37" i="2"/>
  <c r="G39" i="2"/>
  <c r="F42" i="2"/>
  <c r="E45" i="2"/>
  <c r="G47" i="2"/>
  <c r="F50" i="2"/>
  <c r="J4" i="2"/>
  <c r="I14" i="2"/>
  <c r="H24" i="2"/>
  <c r="I33" i="2"/>
  <c r="H43" i="2"/>
  <c r="J53" i="2"/>
  <c r="H63" i="2"/>
  <c r="J72" i="2"/>
  <c r="H82" i="2"/>
  <c r="J91" i="2"/>
  <c r="H102" i="2"/>
  <c r="I110" i="2"/>
  <c r="H117" i="2"/>
  <c r="I124" i="2"/>
  <c r="J131" i="2"/>
  <c r="I138" i="2"/>
  <c r="J145" i="2"/>
  <c r="H153" i="2"/>
  <c r="J159" i="2"/>
  <c r="H167" i="2"/>
  <c r="I174" i="2"/>
  <c r="H181" i="2"/>
  <c r="I188" i="2"/>
  <c r="J195" i="2"/>
  <c r="H202" i="2"/>
  <c r="I207" i="2"/>
  <c r="H213" i="2"/>
  <c r="I218" i="2"/>
  <c r="J223" i="2"/>
  <c r="I228" i="2"/>
  <c r="H233" i="2"/>
  <c r="I237" i="2"/>
  <c r="J240" i="2"/>
  <c r="H244" i="2"/>
  <c r="H248" i="2"/>
  <c r="J250" i="2"/>
  <c r="I253" i="2"/>
  <c r="G5" i="2"/>
  <c r="F8" i="2"/>
  <c r="E11" i="2"/>
  <c r="G13" i="2"/>
  <c r="F16" i="2"/>
  <c r="E19" i="2"/>
  <c r="G21" i="2"/>
  <c r="F24" i="2"/>
  <c r="E27" i="2"/>
  <c r="G29" i="2"/>
  <c r="F32" i="2"/>
  <c r="E35" i="2"/>
  <c r="G37" i="2"/>
  <c r="F40" i="2"/>
  <c r="J5" i="2"/>
  <c r="H15" i="2"/>
  <c r="J24" i="2"/>
  <c r="I35" i="2"/>
  <c r="J44" i="2"/>
  <c r="I54" i="2"/>
  <c r="H64" i="2"/>
  <c r="I73" i="2"/>
  <c r="H84" i="2"/>
  <c r="J93" i="2"/>
  <c r="J102" i="2"/>
  <c r="H111" i="2"/>
  <c r="I118" i="2"/>
  <c r="H125" i="2"/>
  <c r="I132" i="2"/>
  <c r="J139" i="2"/>
  <c r="I146" i="2"/>
  <c r="J153" i="2"/>
  <c r="H161" i="2"/>
  <c r="J167" i="2"/>
  <c r="H175" i="2"/>
  <c r="I182" i="2"/>
  <c r="H189" i="2"/>
  <c r="I196" i="2"/>
  <c r="I202" i="2"/>
  <c r="J207" i="2"/>
  <c r="I214" i="2"/>
  <c r="H220" i="2"/>
  <c r="J224" i="2"/>
  <c r="J228" i="2"/>
  <c r="H234" i="2"/>
  <c r="J237" i="2"/>
  <c r="H241" i="2"/>
  <c r="H245" i="2"/>
  <c r="I248" i="2"/>
  <c r="H251" i="2"/>
  <c r="J253" i="2"/>
  <c r="E6" i="2"/>
  <c r="G8" i="2"/>
  <c r="F11" i="2"/>
  <c r="E14" i="2"/>
  <c r="G16" i="2"/>
  <c r="F19" i="2"/>
  <c r="E22" i="2"/>
  <c r="G24" i="2"/>
  <c r="F27" i="2"/>
  <c r="E30" i="2"/>
  <c r="G32" i="2"/>
  <c r="F35" i="2"/>
  <c r="E38" i="2"/>
  <c r="G40" i="2"/>
  <c r="F43" i="2"/>
  <c r="E46" i="2"/>
  <c r="G48" i="2"/>
  <c r="F51" i="2"/>
  <c r="E54" i="2"/>
  <c r="G56" i="2"/>
  <c r="F59" i="2"/>
  <c r="I21" i="2"/>
  <c r="H49" i="2"/>
  <c r="H78" i="2"/>
  <c r="J99" i="2"/>
  <c r="J121" i="2"/>
  <c r="I142" i="2"/>
  <c r="I158" i="2"/>
  <c r="I178" i="2"/>
  <c r="H199" i="2"/>
  <c r="J212" i="2"/>
  <c r="I227" i="2"/>
  <c r="J238" i="2"/>
  <c r="J247" i="2"/>
  <c r="E10" i="2"/>
  <c r="G17" i="2"/>
  <c r="E24" i="2"/>
  <c r="F31" i="2"/>
  <c r="E39" i="2"/>
  <c r="G44" i="2"/>
  <c r="E50" i="2"/>
  <c r="E55" i="2"/>
  <c r="G58" i="2"/>
  <c r="E63" i="2"/>
  <c r="F66" i="2"/>
  <c r="E69" i="2"/>
  <c r="G71" i="2"/>
  <c r="F74" i="2"/>
  <c r="E77" i="2"/>
  <c r="G79" i="2"/>
  <c r="F82" i="2"/>
  <c r="E85" i="2"/>
  <c r="G87" i="2"/>
  <c r="F90" i="2"/>
  <c r="E93" i="2"/>
  <c r="G95" i="2"/>
  <c r="F98" i="2"/>
  <c r="E101" i="2"/>
  <c r="G103" i="2"/>
  <c r="F106" i="2"/>
  <c r="E109" i="2"/>
  <c r="G111" i="2"/>
  <c r="F114" i="2"/>
  <c r="E117" i="2"/>
  <c r="G119" i="2"/>
  <c r="F122" i="2"/>
  <c r="E125" i="2"/>
  <c r="G127" i="2"/>
  <c r="F130" i="2"/>
  <c r="E133" i="2"/>
  <c r="G135" i="2"/>
  <c r="F138" i="2"/>
  <c r="E141" i="2"/>
  <c r="G143" i="2"/>
  <c r="F146" i="2"/>
  <c r="E149" i="2"/>
  <c r="G151" i="2"/>
  <c r="F154" i="2"/>
  <c r="E157" i="2"/>
  <c r="G159" i="2"/>
  <c r="F162" i="2"/>
  <c r="E165" i="2"/>
  <c r="G167" i="2"/>
  <c r="F170" i="2"/>
  <c r="E173" i="2"/>
  <c r="G175" i="2"/>
  <c r="F178" i="2"/>
  <c r="E181" i="2"/>
  <c r="G183" i="2"/>
  <c r="F186" i="2"/>
  <c r="E189" i="2"/>
  <c r="G191" i="2"/>
  <c r="F194" i="2"/>
  <c r="E197" i="2"/>
  <c r="G199" i="2"/>
  <c r="F202" i="2"/>
  <c r="E205" i="2"/>
  <c r="G207" i="2"/>
  <c r="F210" i="2"/>
  <c r="E213" i="2"/>
  <c r="G215" i="2"/>
  <c r="F218" i="2"/>
  <c r="E221" i="2"/>
  <c r="G223" i="2"/>
  <c r="F226" i="2"/>
  <c r="E229" i="2"/>
  <c r="G231" i="2"/>
  <c r="F234" i="2"/>
  <c r="E237" i="2"/>
  <c r="G239" i="2"/>
  <c r="F242" i="2"/>
  <c r="E245" i="2"/>
  <c r="G247" i="2"/>
  <c r="F250" i="2"/>
  <c r="E253" i="2"/>
  <c r="I29" i="2"/>
  <c r="H51" i="2"/>
  <c r="J78" i="2"/>
  <c r="J105" i="2"/>
  <c r="I122" i="2"/>
  <c r="H143" i="2"/>
  <c r="J163" i="2"/>
  <c r="J179" i="2"/>
  <c r="J199" i="2"/>
  <c r="J216" i="2"/>
  <c r="H228" i="2"/>
  <c r="J239" i="2"/>
  <c r="I249" i="2"/>
  <c r="F4" i="2"/>
  <c r="G10" i="2"/>
  <c r="E18" i="2"/>
  <c r="G25" i="2"/>
  <c r="E32" i="2"/>
  <c r="F39" i="2"/>
  <c r="F45" i="2"/>
  <c r="G50" i="2"/>
  <c r="F55" i="2"/>
  <c r="E59" i="2"/>
  <c r="F63" i="2"/>
  <c r="G66" i="2"/>
  <c r="F69" i="2"/>
  <c r="E72" i="2"/>
  <c r="G74" i="2"/>
  <c r="F77" i="2"/>
  <c r="E80" i="2"/>
  <c r="G82" i="2"/>
  <c r="F85" i="2"/>
  <c r="E88" i="2"/>
  <c r="G90" i="2"/>
  <c r="F93" i="2"/>
  <c r="E96" i="2"/>
  <c r="G98" i="2"/>
  <c r="F101" i="2"/>
  <c r="E104" i="2"/>
  <c r="G106" i="2"/>
  <c r="F109" i="2"/>
  <c r="E112" i="2"/>
  <c r="G114" i="2"/>
  <c r="F117" i="2"/>
  <c r="E120" i="2"/>
  <c r="G122" i="2"/>
  <c r="F125" i="2"/>
  <c r="E128" i="2"/>
  <c r="G130" i="2"/>
  <c r="F133" i="2"/>
  <c r="E136" i="2"/>
  <c r="G138" i="2"/>
  <c r="F141" i="2"/>
  <c r="E144" i="2"/>
  <c r="G146" i="2"/>
  <c r="F149" i="2"/>
  <c r="E152" i="2"/>
  <c r="G154" i="2"/>
  <c r="F157" i="2"/>
  <c r="E160" i="2"/>
  <c r="G162" i="2"/>
  <c r="F165" i="2"/>
  <c r="E168" i="2"/>
  <c r="G170" i="2"/>
  <c r="F173" i="2"/>
  <c r="E176" i="2"/>
  <c r="G178" i="2"/>
  <c r="F181" i="2"/>
  <c r="E184" i="2"/>
  <c r="G186" i="2"/>
  <c r="F189" i="2"/>
  <c r="E192" i="2"/>
  <c r="G194" i="2"/>
  <c r="F197" i="2"/>
  <c r="E200" i="2"/>
  <c r="G202" i="2"/>
  <c r="F205" i="2"/>
  <c r="E208" i="2"/>
  <c r="G210" i="2"/>
  <c r="F213" i="2"/>
  <c r="E216" i="2"/>
  <c r="G218" i="2"/>
  <c r="F221" i="2"/>
  <c r="E224" i="2"/>
  <c r="G226" i="2"/>
  <c r="F229" i="2"/>
  <c r="E232" i="2"/>
  <c r="G234" i="2"/>
  <c r="F237" i="2"/>
  <c r="E240" i="2"/>
  <c r="G242" i="2"/>
  <c r="F245" i="2"/>
  <c r="E248" i="2"/>
  <c r="G250" i="2"/>
  <c r="F253" i="2"/>
  <c r="H30" i="2"/>
  <c r="J57" i="2"/>
  <c r="I79" i="2"/>
  <c r="I107" i="2"/>
  <c r="J127" i="2"/>
  <c r="J143" i="2"/>
  <c r="I164" i="2"/>
  <c r="H185" i="2"/>
  <c r="H201" i="2"/>
  <c r="H217" i="2"/>
  <c r="H231" i="2"/>
  <c r="I240" i="2"/>
  <c r="J249" i="2"/>
  <c r="G4" i="2"/>
  <c r="F12" i="2"/>
  <c r="G18" i="2"/>
  <c r="E26" i="2"/>
  <c r="G33" i="2"/>
  <c r="E40" i="2"/>
  <c r="G45" i="2"/>
  <c r="E51" i="2"/>
  <c r="G55" i="2"/>
  <c r="H11" i="2"/>
  <c r="J38" i="2"/>
  <c r="I60" i="2"/>
  <c r="I88" i="2"/>
  <c r="J113" i="2"/>
  <c r="J129" i="2"/>
  <c r="I150" i="2"/>
  <c r="I170" i="2"/>
  <c r="I186" i="2"/>
  <c r="H206" i="2"/>
  <c r="H221" i="2"/>
  <c r="J232" i="2"/>
  <c r="H243" i="2"/>
  <c r="H252" i="2"/>
  <c r="E7" i="2"/>
  <c r="F13" i="2"/>
  <c r="G20" i="2"/>
  <c r="F28" i="2"/>
  <c r="G34" i="2"/>
  <c r="E42" i="2"/>
  <c r="F47" i="2"/>
  <c r="G52" i="2"/>
  <c r="F56" i="2"/>
  <c r="E61" i="2"/>
  <c r="F64" i="2"/>
  <c r="G67" i="2"/>
  <c r="F70" i="2"/>
  <c r="E73" i="2"/>
  <c r="G75" i="2"/>
  <c r="F78" i="2"/>
  <c r="E81" i="2"/>
  <c r="G83" i="2"/>
  <c r="F86" i="2"/>
  <c r="E89" i="2"/>
  <c r="G91" i="2"/>
  <c r="F94" i="2"/>
  <c r="E97" i="2"/>
  <c r="G99" i="2"/>
  <c r="F102" i="2"/>
  <c r="E105" i="2"/>
  <c r="G107" i="2"/>
  <c r="F110" i="2"/>
  <c r="E113" i="2"/>
  <c r="G115" i="2"/>
  <c r="F118" i="2"/>
  <c r="E121" i="2"/>
  <c r="G123" i="2"/>
  <c r="F126" i="2"/>
  <c r="E129" i="2"/>
  <c r="G131" i="2"/>
  <c r="F134" i="2"/>
  <c r="E137" i="2"/>
  <c r="G139" i="2"/>
  <c r="F142" i="2"/>
  <c r="E145" i="2"/>
  <c r="G147" i="2"/>
  <c r="F150" i="2"/>
  <c r="E153" i="2"/>
  <c r="G155" i="2"/>
  <c r="F158" i="2"/>
  <c r="E161" i="2"/>
  <c r="G163" i="2"/>
  <c r="F166" i="2"/>
  <c r="E169" i="2"/>
  <c r="G171" i="2"/>
  <c r="F174" i="2"/>
  <c r="E177" i="2"/>
  <c r="G179" i="2"/>
  <c r="F182" i="2"/>
  <c r="E185" i="2"/>
  <c r="G187" i="2"/>
  <c r="F190" i="2"/>
  <c r="E193" i="2"/>
  <c r="G195" i="2"/>
  <c r="F198" i="2"/>
  <c r="E201" i="2"/>
  <c r="G203" i="2"/>
  <c r="F206" i="2"/>
  <c r="E209" i="2"/>
  <c r="G211" i="2"/>
  <c r="F214" i="2"/>
  <c r="E217" i="2"/>
  <c r="G219" i="2"/>
  <c r="F222" i="2"/>
  <c r="E225" i="2"/>
  <c r="G227" i="2"/>
  <c r="F230" i="2"/>
  <c r="E233" i="2"/>
  <c r="G235" i="2"/>
  <c r="F238" i="2"/>
  <c r="E241" i="2"/>
  <c r="G243" i="2"/>
  <c r="F246" i="2"/>
  <c r="E249" i="2"/>
  <c r="G251" i="2"/>
  <c r="J11" i="2"/>
  <c r="I39" i="2"/>
  <c r="I67" i="2"/>
  <c r="H90" i="2"/>
  <c r="I114" i="2"/>
  <c r="H135" i="2"/>
  <c r="H151" i="2"/>
  <c r="J171" i="2"/>
  <c r="J191" i="2"/>
  <c r="H207" i="2"/>
  <c r="H222" i="2"/>
  <c r="I235" i="2"/>
  <c r="J243" i="2"/>
  <c r="I252" i="2"/>
  <c r="F7" i="2"/>
  <c r="E15" i="2"/>
  <c r="F21" i="2"/>
  <c r="G28" i="2"/>
  <c r="F36" i="2"/>
  <c r="G42" i="2"/>
  <c r="E48" i="2"/>
  <c r="E53" i="2"/>
  <c r="G57" i="2"/>
  <c r="F61" i="2"/>
  <c r="G64" i="2"/>
  <c r="E68" i="2"/>
  <c r="G70" i="2"/>
  <c r="F73" i="2"/>
  <c r="E76" i="2"/>
  <c r="G78" i="2"/>
  <c r="F81" i="2"/>
  <c r="E84" i="2"/>
  <c r="G86" i="2"/>
  <c r="F89" i="2"/>
  <c r="E92" i="2"/>
  <c r="G94" i="2"/>
  <c r="F97" i="2"/>
  <c r="E100" i="2"/>
  <c r="G102" i="2"/>
  <c r="F105" i="2"/>
  <c r="E108" i="2"/>
  <c r="G110" i="2"/>
  <c r="F113" i="2"/>
  <c r="E116" i="2"/>
  <c r="G118" i="2"/>
  <c r="F121" i="2"/>
  <c r="E124" i="2"/>
  <c r="G126" i="2"/>
  <c r="F129" i="2"/>
  <c r="E132" i="2"/>
  <c r="G134" i="2"/>
  <c r="F137" i="2"/>
  <c r="E140" i="2"/>
  <c r="G142" i="2"/>
  <c r="F145" i="2"/>
  <c r="E148" i="2"/>
  <c r="G150" i="2"/>
  <c r="F153" i="2"/>
  <c r="E156" i="2"/>
  <c r="G158" i="2"/>
  <c r="F161" i="2"/>
  <c r="E164" i="2"/>
  <c r="G166" i="2"/>
  <c r="F169" i="2"/>
  <c r="E172" i="2"/>
  <c r="G174" i="2"/>
  <c r="F177" i="2"/>
  <c r="E180" i="2"/>
  <c r="G182" i="2"/>
  <c r="F185" i="2"/>
  <c r="E188" i="2"/>
  <c r="G190" i="2"/>
  <c r="F193" i="2"/>
  <c r="E196" i="2"/>
  <c r="G198" i="2"/>
  <c r="F201" i="2"/>
  <c r="E204" i="2"/>
  <c r="G206" i="2"/>
  <c r="F209" i="2"/>
  <c r="E212" i="2"/>
  <c r="G214" i="2"/>
  <c r="F217" i="2"/>
  <c r="E220" i="2"/>
  <c r="G222" i="2"/>
  <c r="F225" i="2"/>
  <c r="E228" i="2"/>
  <c r="G230" i="2"/>
  <c r="F233" i="2"/>
  <c r="E236" i="2"/>
  <c r="G238" i="2"/>
  <c r="F241" i="2"/>
  <c r="E244" i="2"/>
  <c r="G246" i="2"/>
  <c r="F249" i="2"/>
  <c r="E252" i="2"/>
  <c r="J18" i="2"/>
  <c r="I41" i="2"/>
  <c r="I69" i="2"/>
  <c r="H97" i="2"/>
  <c r="J115" i="2"/>
  <c r="J135" i="2"/>
  <c r="I156" i="2"/>
  <c r="I172" i="2"/>
  <c r="H193" i="2"/>
  <c r="I210" i="2"/>
  <c r="I223" i="2"/>
  <c r="J235" i="2"/>
  <c r="H246" i="2"/>
  <c r="H253" i="2"/>
  <c r="E8" i="2"/>
  <c r="F15" i="2"/>
  <c r="E23" i="2"/>
  <c r="F29" i="2"/>
  <c r="G36" i="2"/>
  <c r="E43" i="2"/>
  <c r="F48" i="2"/>
  <c r="F53" i="2"/>
  <c r="E58" i="2"/>
  <c r="G61" i="2"/>
  <c r="G65" i="2"/>
  <c r="F68" i="2"/>
  <c r="E71" i="2"/>
  <c r="G73" i="2"/>
  <c r="F76" i="2"/>
  <c r="E79" i="2"/>
  <c r="G81" i="2"/>
  <c r="F84" i="2"/>
  <c r="E87" i="2"/>
  <c r="G89" i="2"/>
  <c r="F92" i="2"/>
  <c r="E95" i="2"/>
  <c r="G97" i="2"/>
  <c r="F100" i="2"/>
  <c r="E103" i="2"/>
  <c r="G105" i="2"/>
  <c r="F108" i="2"/>
  <c r="E111" i="2"/>
  <c r="G113" i="2"/>
  <c r="F116" i="2"/>
  <c r="E119" i="2"/>
  <c r="G121" i="2"/>
  <c r="F124" i="2"/>
  <c r="E127" i="2"/>
  <c r="G129" i="2"/>
  <c r="F132" i="2"/>
  <c r="E135" i="2"/>
  <c r="G137" i="2"/>
  <c r="F140" i="2"/>
  <c r="E143" i="2"/>
  <c r="G145" i="2"/>
  <c r="F148" i="2"/>
  <c r="E151" i="2"/>
  <c r="G153" i="2"/>
  <c r="F156" i="2"/>
  <c r="E159" i="2"/>
  <c r="G161" i="2"/>
  <c r="F164" i="2"/>
  <c r="E167" i="2"/>
  <c r="G169" i="2"/>
  <c r="F172" i="2"/>
  <c r="E175" i="2"/>
  <c r="G177" i="2"/>
  <c r="F180" i="2"/>
  <c r="E183" i="2"/>
  <c r="G185" i="2"/>
  <c r="F188" i="2"/>
  <c r="E191" i="2"/>
  <c r="G193" i="2"/>
  <c r="F196" i="2"/>
  <c r="E199" i="2"/>
  <c r="G201" i="2"/>
  <c r="F204" i="2"/>
  <c r="E207" i="2"/>
  <c r="G209" i="2"/>
  <c r="F212" i="2"/>
  <c r="E215" i="2"/>
  <c r="G217" i="2"/>
  <c r="F220" i="2"/>
  <c r="E223" i="2"/>
  <c r="G225" i="2"/>
  <c r="F228" i="2"/>
  <c r="E231" i="2"/>
  <c r="G233" i="2"/>
  <c r="F236" i="2"/>
  <c r="E239" i="2"/>
  <c r="G241" i="2"/>
  <c r="F244" i="2"/>
  <c r="E247" i="2"/>
  <c r="G249" i="2"/>
  <c r="F252" i="2"/>
  <c r="I20" i="2"/>
  <c r="I48" i="2"/>
  <c r="H70" i="2"/>
  <c r="J97" i="2"/>
  <c r="H121" i="2"/>
  <c r="H137" i="2"/>
  <c r="H157" i="2"/>
  <c r="J177" i="2"/>
  <c r="J193" i="2"/>
  <c r="I211" i="2"/>
  <c r="J225" i="2"/>
  <c r="H237" i="2"/>
  <c r="I246" i="2"/>
  <c r="G9" i="2"/>
  <c r="E16" i="2"/>
  <c r="F23" i="2"/>
  <c r="E31" i="2"/>
  <c r="F37" i="2"/>
  <c r="F44" i="2"/>
  <c r="G49" i="2"/>
  <c r="G53" i="2"/>
  <c r="F58" i="2"/>
  <c r="E62" i="2"/>
  <c r="E66" i="2"/>
  <c r="G68" i="2"/>
  <c r="F71" i="2"/>
  <c r="E74" i="2"/>
  <c r="G76" i="2"/>
  <c r="F79" i="2"/>
  <c r="E82" i="2"/>
  <c r="G84" i="2"/>
  <c r="F87" i="2"/>
  <c r="E90" i="2"/>
  <c r="G92" i="2"/>
  <c r="F95" i="2"/>
  <c r="E98" i="2"/>
  <c r="G100" i="2"/>
  <c r="F103" i="2"/>
  <c r="E106" i="2"/>
  <c r="G108" i="2"/>
  <c r="F111" i="2"/>
  <c r="E114" i="2"/>
  <c r="G116" i="2"/>
  <c r="F119" i="2"/>
  <c r="E122" i="2"/>
  <c r="G124" i="2"/>
  <c r="F127" i="2"/>
  <c r="E130" i="2"/>
  <c r="G132" i="2"/>
  <c r="F135" i="2"/>
  <c r="E138" i="2"/>
  <c r="G140" i="2"/>
  <c r="F143" i="2"/>
  <c r="E146" i="2"/>
  <c r="G148" i="2"/>
  <c r="F151" i="2"/>
  <c r="E154" i="2"/>
  <c r="G156" i="2"/>
  <c r="F159" i="2"/>
  <c r="E162" i="2"/>
  <c r="G164" i="2"/>
  <c r="F167" i="2"/>
  <c r="E170" i="2"/>
  <c r="G172" i="2"/>
  <c r="F175" i="2"/>
  <c r="E178" i="2"/>
  <c r="G180" i="2"/>
  <c r="F183" i="2"/>
  <c r="E186" i="2"/>
  <c r="G188" i="2"/>
  <c r="F191" i="2"/>
  <c r="E194" i="2"/>
  <c r="G196" i="2"/>
  <c r="F199" i="2"/>
  <c r="E202" i="2"/>
  <c r="G204" i="2"/>
  <c r="F207" i="2"/>
  <c r="E210" i="2"/>
  <c r="G212" i="2"/>
  <c r="F215" i="2"/>
  <c r="E218" i="2"/>
  <c r="G220" i="2"/>
  <c r="F223" i="2"/>
  <c r="E226" i="2"/>
  <c r="G228" i="2"/>
  <c r="F231" i="2"/>
  <c r="E234" i="2"/>
  <c r="G236" i="2"/>
  <c r="F239" i="2"/>
  <c r="E242" i="2"/>
  <c r="G244" i="2"/>
  <c r="F247" i="2"/>
  <c r="E250" i="2"/>
  <c r="G252" i="2"/>
  <c r="F243" i="2"/>
  <c r="G232" i="2"/>
  <c r="E222" i="2"/>
  <c r="F211" i="2"/>
  <c r="G200" i="2"/>
  <c r="E190" i="2"/>
  <c r="F179" i="2"/>
  <c r="G168" i="2"/>
  <c r="E158" i="2"/>
  <c r="F147" i="2"/>
  <c r="G136" i="2"/>
  <c r="E126" i="2"/>
  <c r="F115" i="2"/>
  <c r="G104" i="2"/>
  <c r="E94" i="2"/>
  <c r="F83" i="2"/>
  <c r="G72" i="2"/>
  <c r="G60" i="2"/>
  <c r="F20" i="2"/>
  <c r="I231" i="2"/>
  <c r="I87" i="2"/>
  <c r="G253" i="2"/>
  <c r="E243" i="2"/>
  <c r="F232" i="2"/>
  <c r="G221" i="2"/>
  <c r="E211" i="2"/>
  <c r="F200" i="2"/>
  <c r="G189" i="2"/>
  <c r="E179" i="2"/>
  <c r="F168" i="2"/>
  <c r="G157" i="2"/>
  <c r="E147" i="2"/>
  <c r="F136" i="2"/>
  <c r="G125" i="2"/>
  <c r="E115" i="2"/>
  <c r="F104" i="2"/>
  <c r="G93" i="2"/>
  <c r="E83" i="2"/>
  <c r="F72" i="2"/>
  <c r="F60" i="2"/>
  <c r="G12" i="2"/>
  <c r="H218" i="2"/>
  <c r="J59" i="2"/>
  <c r="E251" i="2"/>
  <c r="F240" i="2"/>
  <c r="G229" i="2"/>
  <c r="E219" i="2"/>
  <c r="F208" i="2"/>
  <c r="G197" i="2"/>
  <c r="E187" i="2"/>
  <c r="F176" i="2"/>
  <c r="G165" i="2"/>
  <c r="E155" i="2"/>
  <c r="F144" i="2"/>
  <c r="G133" i="2"/>
  <c r="E123" i="2"/>
  <c r="F112" i="2"/>
  <c r="G101" i="2"/>
  <c r="E91" i="2"/>
  <c r="F80" i="2"/>
  <c r="G69" i="2"/>
  <c r="F52" i="2"/>
  <c r="J185" i="2"/>
  <c r="H9" i="2"/>
  <c r="G240" i="2"/>
  <c r="G208" i="2"/>
  <c r="G176" i="2"/>
  <c r="G144" i="2"/>
  <c r="G112" i="2"/>
  <c r="E70" i="2"/>
  <c r="I204" i="2"/>
  <c r="G216" i="2"/>
  <c r="E206" i="2"/>
  <c r="F195" i="2"/>
  <c r="G184" i="2"/>
  <c r="E174" i="2"/>
  <c r="F163" i="2"/>
  <c r="G152" i="2"/>
  <c r="E142" i="2"/>
  <c r="F131" i="2"/>
  <c r="G120" i="2"/>
  <c r="E110" i="2"/>
  <c r="E78" i="2"/>
  <c r="F67" i="2"/>
  <c r="E47" i="2"/>
  <c r="H165" i="2"/>
  <c r="F251" i="2"/>
  <c r="F219" i="2"/>
  <c r="E198" i="2"/>
  <c r="E166" i="2"/>
  <c r="E134" i="2"/>
  <c r="E102" i="2"/>
  <c r="G80" i="2"/>
  <c r="E56" i="2"/>
  <c r="J30" i="2"/>
  <c r="E195" i="2"/>
  <c r="G141" i="2"/>
  <c r="E99" i="2"/>
  <c r="E67" i="2"/>
  <c r="H149" i="2"/>
  <c r="B245" i="2"/>
  <c r="B142" i="2"/>
  <c r="C252" i="2"/>
  <c r="B141" i="2"/>
  <c r="C250" i="2"/>
  <c r="B197" i="2"/>
  <c r="B30" i="2"/>
  <c r="C125" i="2"/>
  <c r="B237" i="2"/>
  <c r="B217" i="2"/>
  <c r="B195" i="2"/>
  <c r="B168" i="2"/>
  <c r="B129" i="2"/>
  <c r="B86" i="2"/>
  <c r="B29" i="2"/>
  <c r="C230" i="2"/>
  <c r="C122" i="2"/>
  <c r="B225" i="2"/>
  <c r="B98" i="2"/>
  <c r="B221" i="2"/>
  <c r="B97" i="2"/>
  <c r="B241" i="2"/>
  <c r="B88" i="2"/>
  <c r="B236" i="2"/>
  <c r="B213" i="2"/>
  <c r="B192" i="2"/>
  <c r="B160" i="2"/>
  <c r="B120" i="2"/>
  <c r="B74" i="2"/>
  <c r="B14" i="2"/>
  <c r="C209" i="2"/>
  <c r="C84" i="2"/>
  <c r="B204" i="2"/>
  <c r="B46" i="2"/>
  <c r="C164" i="2"/>
  <c r="B201" i="2"/>
  <c r="B45" i="2"/>
  <c r="C6" i="2"/>
  <c r="B220" i="2"/>
  <c r="B130" i="2"/>
  <c r="B253" i="2"/>
  <c r="B233" i="2"/>
  <c r="B212" i="2"/>
  <c r="B187" i="2"/>
  <c r="B159" i="2"/>
  <c r="B119" i="2"/>
  <c r="B73" i="2"/>
  <c r="B13" i="2"/>
  <c r="C208" i="2"/>
  <c r="C83" i="2"/>
  <c r="D249" i="2"/>
  <c r="B178" i="2"/>
  <c r="C12" i="2"/>
  <c r="B244" i="2"/>
  <c r="B177" i="2"/>
  <c r="C156" i="2"/>
  <c r="B169" i="2"/>
  <c r="C231" i="2"/>
  <c r="B252" i="2"/>
  <c r="B229" i="2"/>
  <c r="B209" i="2"/>
  <c r="B186" i="2"/>
  <c r="B151" i="2"/>
  <c r="B110" i="2"/>
  <c r="B62" i="2"/>
  <c r="C188" i="2"/>
  <c r="C50" i="2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4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D148" i="2"/>
  <c r="D156" i="2"/>
  <c r="D164" i="2"/>
  <c r="D172" i="2"/>
  <c r="D180" i="2"/>
  <c r="D188" i="2"/>
  <c r="D196" i="2"/>
  <c r="D204" i="2"/>
  <c r="D212" i="2"/>
  <c r="D220" i="2"/>
  <c r="D228" i="2"/>
  <c r="D236" i="2"/>
  <c r="D244" i="2"/>
  <c r="D252" i="2"/>
  <c r="C7" i="2"/>
  <c r="C15" i="2"/>
  <c r="C23" i="2"/>
  <c r="C31" i="2"/>
  <c r="C39" i="2"/>
  <c r="C47" i="2"/>
  <c r="C55" i="2"/>
  <c r="C63" i="2"/>
  <c r="C71" i="2"/>
  <c r="C79" i="2"/>
  <c r="C87" i="2"/>
  <c r="C95" i="2"/>
  <c r="C103" i="2"/>
  <c r="C111" i="2"/>
  <c r="C119" i="2"/>
  <c r="C127" i="2"/>
  <c r="C135" i="2"/>
  <c r="C143" i="2"/>
  <c r="C151" i="2"/>
  <c r="C159" i="2"/>
  <c r="D5" i="2"/>
  <c r="D13" i="2"/>
  <c r="D21" i="2"/>
  <c r="D29" i="2"/>
  <c r="D37" i="2"/>
  <c r="D45" i="2"/>
  <c r="D53" i="2"/>
  <c r="D61" i="2"/>
  <c r="D69" i="2"/>
  <c r="D77" i="2"/>
  <c r="D85" i="2"/>
  <c r="D93" i="2"/>
  <c r="D101" i="2"/>
  <c r="D109" i="2"/>
  <c r="D117" i="2"/>
  <c r="D125" i="2"/>
  <c r="D133" i="2"/>
  <c r="D141" i="2"/>
  <c r="D149" i="2"/>
  <c r="D157" i="2"/>
  <c r="D165" i="2"/>
  <c r="D173" i="2"/>
  <c r="D181" i="2"/>
  <c r="D189" i="2"/>
  <c r="D197" i="2"/>
  <c r="D205" i="2"/>
  <c r="D213" i="2"/>
  <c r="D221" i="2"/>
  <c r="D229" i="2"/>
  <c r="D237" i="2"/>
  <c r="D245" i="2"/>
  <c r="D253" i="2"/>
  <c r="C8" i="2"/>
  <c r="C16" i="2"/>
  <c r="C24" i="2"/>
  <c r="C32" i="2"/>
  <c r="C40" i="2"/>
  <c r="C48" i="2"/>
  <c r="C56" i="2"/>
  <c r="C64" i="2"/>
  <c r="C72" i="2"/>
  <c r="C80" i="2"/>
  <c r="C88" i="2"/>
  <c r="C96" i="2"/>
  <c r="C104" i="2"/>
  <c r="C112" i="2"/>
  <c r="C120" i="2"/>
  <c r="C128" i="2"/>
  <c r="C136" i="2"/>
  <c r="C144" i="2"/>
  <c r="C152" i="2"/>
  <c r="C160" i="2"/>
  <c r="C168" i="2"/>
  <c r="C176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184" i="2"/>
  <c r="D192" i="2"/>
  <c r="D200" i="2"/>
  <c r="D208" i="2"/>
  <c r="D216" i="2"/>
  <c r="D224" i="2"/>
  <c r="D232" i="2"/>
  <c r="D240" i="2"/>
  <c r="D248" i="2"/>
  <c r="D6" i="2"/>
  <c r="D26" i="2"/>
  <c r="D49" i="2"/>
  <c r="D70" i="2"/>
  <c r="D90" i="2"/>
  <c r="D113" i="2"/>
  <c r="D134" i="2"/>
  <c r="D154" i="2"/>
  <c r="D170" i="2"/>
  <c r="D186" i="2"/>
  <c r="D202" i="2"/>
  <c r="D218" i="2"/>
  <c r="D234" i="2"/>
  <c r="D250" i="2"/>
  <c r="C11" i="2"/>
  <c r="C21" i="2"/>
  <c r="C33" i="2"/>
  <c r="C43" i="2"/>
  <c r="C53" i="2"/>
  <c r="C65" i="2"/>
  <c r="C75" i="2"/>
  <c r="C85" i="2"/>
  <c r="C97" i="2"/>
  <c r="C107" i="2"/>
  <c r="C117" i="2"/>
  <c r="C129" i="2"/>
  <c r="C139" i="2"/>
  <c r="C149" i="2"/>
  <c r="C161" i="2"/>
  <c r="C170" i="2"/>
  <c r="C179" i="2"/>
  <c r="C187" i="2"/>
  <c r="C195" i="2"/>
  <c r="C203" i="2"/>
  <c r="C211" i="2"/>
  <c r="C219" i="2"/>
  <c r="C227" i="2"/>
  <c r="C235" i="2"/>
  <c r="C243" i="2"/>
  <c r="C251" i="2"/>
  <c r="D9" i="2"/>
  <c r="D30" i="2"/>
  <c r="D50" i="2"/>
  <c r="D73" i="2"/>
  <c r="D94" i="2"/>
  <c r="D114" i="2"/>
  <c r="D137" i="2"/>
  <c r="D158" i="2"/>
  <c r="D174" i="2"/>
  <c r="D190" i="2"/>
  <c r="D206" i="2"/>
  <c r="D222" i="2"/>
  <c r="D238" i="2"/>
  <c r="D10" i="2"/>
  <c r="D33" i="2"/>
  <c r="D54" i="2"/>
  <c r="D74" i="2"/>
  <c r="D97" i="2"/>
  <c r="D118" i="2"/>
  <c r="D138" i="2"/>
  <c r="D159" i="2"/>
  <c r="D175" i="2"/>
  <c r="D191" i="2"/>
  <c r="D207" i="2"/>
  <c r="D223" i="2"/>
  <c r="D239" i="2"/>
  <c r="C13" i="2"/>
  <c r="C25" i="2"/>
  <c r="C35" i="2"/>
  <c r="C45" i="2"/>
  <c r="C57" i="2"/>
  <c r="C67" i="2"/>
  <c r="C77" i="2"/>
  <c r="C89" i="2"/>
  <c r="C99" i="2"/>
  <c r="C109" i="2"/>
  <c r="C121" i="2"/>
  <c r="C131" i="2"/>
  <c r="C141" i="2"/>
  <c r="C153" i="2"/>
  <c r="C163" i="2"/>
  <c r="C172" i="2"/>
  <c r="C181" i="2"/>
  <c r="C189" i="2"/>
  <c r="C197" i="2"/>
  <c r="C205" i="2"/>
  <c r="C213" i="2"/>
  <c r="C221" i="2"/>
  <c r="C229" i="2"/>
  <c r="C237" i="2"/>
  <c r="C245" i="2"/>
  <c r="C253" i="2"/>
  <c r="D17" i="2"/>
  <c r="D38" i="2"/>
  <c r="D58" i="2"/>
  <c r="D81" i="2"/>
  <c r="D102" i="2"/>
  <c r="D122" i="2"/>
  <c r="D145" i="2"/>
  <c r="D162" i="2"/>
  <c r="D178" i="2"/>
  <c r="D194" i="2"/>
  <c r="D210" i="2"/>
  <c r="D18" i="2"/>
  <c r="D41" i="2"/>
  <c r="D62" i="2"/>
  <c r="D82" i="2"/>
  <c r="D105" i="2"/>
  <c r="D126" i="2"/>
  <c r="D146" i="2"/>
  <c r="D166" i="2"/>
  <c r="D182" i="2"/>
  <c r="D198" i="2"/>
  <c r="D14" i="2"/>
  <c r="D66" i="2"/>
  <c r="D129" i="2"/>
  <c r="D177" i="2"/>
  <c r="D215" i="2"/>
  <c r="D242" i="2"/>
  <c r="C17" i="2"/>
  <c r="C29" i="2"/>
  <c r="C44" i="2"/>
  <c r="C59" i="2"/>
  <c r="C73" i="2"/>
  <c r="C86" i="2"/>
  <c r="C101" i="2"/>
  <c r="C115" i="2"/>
  <c r="C130" i="2"/>
  <c r="C145" i="2"/>
  <c r="C157" i="2"/>
  <c r="C171" i="2"/>
  <c r="C183" i="2"/>
  <c r="C193" i="2"/>
  <c r="C204" i="2"/>
  <c r="C215" i="2"/>
  <c r="C225" i="2"/>
  <c r="C236" i="2"/>
  <c r="C247" i="2"/>
  <c r="B10" i="2"/>
  <c r="B18" i="2"/>
  <c r="B26" i="2"/>
  <c r="B34" i="2"/>
  <c r="B42" i="2"/>
  <c r="B50" i="2"/>
  <c r="B58" i="2"/>
  <c r="D22" i="2"/>
  <c r="D78" i="2"/>
  <c r="D130" i="2"/>
  <c r="D183" i="2"/>
  <c r="D217" i="2"/>
  <c r="D246" i="2"/>
  <c r="C4" i="2"/>
  <c r="C18" i="2"/>
  <c r="C30" i="2"/>
  <c r="C46" i="2"/>
  <c r="C60" i="2"/>
  <c r="C74" i="2"/>
  <c r="C90" i="2"/>
  <c r="C102" i="2"/>
  <c r="C116" i="2"/>
  <c r="C132" i="2"/>
  <c r="C146" i="2"/>
  <c r="C158" i="2"/>
  <c r="C173" i="2"/>
  <c r="C184" i="2"/>
  <c r="C194" i="2"/>
  <c r="C206" i="2"/>
  <c r="C216" i="2"/>
  <c r="C226" i="2"/>
  <c r="C238" i="2"/>
  <c r="C248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D25" i="2"/>
  <c r="D86" i="2"/>
  <c r="D142" i="2"/>
  <c r="D185" i="2"/>
  <c r="D225" i="2"/>
  <c r="D247" i="2"/>
  <c r="C5" i="2"/>
  <c r="C19" i="2"/>
  <c r="C34" i="2"/>
  <c r="C49" i="2"/>
  <c r="C61" i="2"/>
  <c r="C76" i="2"/>
  <c r="C91" i="2"/>
  <c r="C105" i="2"/>
  <c r="C118" i="2"/>
  <c r="C133" i="2"/>
  <c r="C147" i="2"/>
  <c r="C162" i="2"/>
  <c r="C174" i="2"/>
  <c r="C185" i="2"/>
  <c r="C196" i="2"/>
  <c r="C207" i="2"/>
  <c r="C217" i="2"/>
  <c r="C228" i="2"/>
  <c r="C239" i="2"/>
  <c r="C249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D34" i="2"/>
  <c r="D42" i="2"/>
  <c r="D98" i="2"/>
  <c r="D153" i="2"/>
  <c r="D199" i="2"/>
  <c r="D230" i="2"/>
  <c r="C9" i="2"/>
  <c r="C22" i="2"/>
  <c r="C37" i="2"/>
  <c r="C51" i="2"/>
  <c r="C66" i="2"/>
  <c r="C81" i="2"/>
  <c r="C93" i="2"/>
  <c r="C108" i="2"/>
  <c r="C123" i="2"/>
  <c r="C137" i="2"/>
  <c r="C150" i="2"/>
  <c r="C165" i="2"/>
  <c r="D46" i="2"/>
  <c r="D106" i="2"/>
  <c r="D161" i="2"/>
  <c r="D201" i="2"/>
  <c r="D231" i="2"/>
  <c r="C10" i="2"/>
  <c r="C26" i="2"/>
  <c r="C38" i="2"/>
  <c r="C52" i="2"/>
  <c r="C68" i="2"/>
  <c r="C82" i="2"/>
  <c r="C94" i="2"/>
  <c r="C110" i="2"/>
  <c r="C124" i="2"/>
  <c r="C138" i="2"/>
  <c r="C154" i="2"/>
  <c r="C166" i="2"/>
  <c r="C178" i="2"/>
  <c r="C190" i="2"/>
  <c r="C200" i="2"/>
  <c r="C210" i="2"/>
  <c r="C222" i="2"/>
  <c r="C232" i="2"/>
  <c r="C242" i="2"/>
  <c r="B7" i="2"/>
  <c r="B15" i="2"/>
  <c r="B23" i="2"/>
  <c r="B31" i="2"/>
  <c r="B39" i="2"/>
  <c r="B47" i="2"/>
  <c r="B55" i="2"/>
  <c r="B63" i="2"/>
  <c r="B71" i="2"/>
  <c r="B79" i="2"/>
  <c r="B87" i="2"/>
  <c r="D57" i="2"/>
  <c r="D193" i="2"/>
  <c r="C14" i="2"/>
  <c r="C54" i="2"/>
  <c r="C92" i="2"/>
  <c r="C126" i="2"/>
  <c r="C167" i="2"/>
  <c r="C191" i="2"/>
  <c r="C212" i="2"/>
  <c r="C233" i="2"/>
  <c r="B16" i="2"/>
  <c r="B32" i="2"/>
  <c r="B48" i="2"/>
  <c r="B64" i="2"/>
  <c r="B77" i="2"/>
  <c r="B89" i="2"/>
  <c r="B101" i="2"/>
  <c r="B111" i="2"/>
  <c r="B121" i="2"/>
  <c r="B133" i="2"/>
  <c r="B143" i="2"/>
  <c r="B152" i="2"/>
  <c r="B161" i="2"/>
  <c r="B170" i="2"/>
  <c r="B179" i="2"/>
  <c r="B189" i="2"/>
  <c r="B198" i="2"/>
  <c r="B206" i="2"/>
  <c r="B214" i="2"/>
  <c r="B222" i="2"/>
  <c r="B230" i="2"/>
  <c r="B238" i="2"/>
  <c r="B246" i="2"/>
  <c r="D65" i="2"/>
  <c r="D209" i="2"/>
  <c r="C20" i="2"/>
  <c r="C58" i="2"/>
  <c r="C98" i="2"/>
  <c r="C134" i="2"/>
  <c r="C169" i="2"/>
  <c r="C192" i="2"/>
  <c r="C214" i="2"/>
  <c r="C234" i="2"/>
  <c r="B17" i="2"/>
  <c r="B33" i="2"/>
  <c r="B49" i="2"/>
  <c r="B65" i="2"/>
  <c r="B78" i="2"/>
  <c r="B90" i="2"/>
  <c r="B102" i="2"/>
  <c r="B112" i="2"/>
  <c r="B122" i="2"/>
  <c r="B134" i="2"/>
  <c r="B144" i="2"/>
  <c r="B153" i="2"/>
  <c r="B162" i="2"/>
  <c r="B171" i="2"/>
  <c r="B181" i="2"/>
  <c r="B190" i="2"/>
  <c r="B199" i="2"/>
  <c r="B207" i="2"/>
  <c r="B215" i="2"/>
  <c r="B223" i="2"/>
  <c r="B231" i="2"/>
  <c r="B239" i="2"/>
  <c r="B247" i="2"/>
  <c r="D89" i="2"/>
  <c r="D214" i="2"/>
  <c r="C27" i="2"/>
  <c r="C62" i="2"/>
  <c r="C100" i="2"/>
  <c r="C140" i="2"/>
  <c r="C175" i="2"/>
  <c r="C198" i="2"/>
  <c r="C218" i="2"/>
  <c r="C240" i="2"/>
  <c r="B5" i="2"/>
  <c r="B21" i="2"/>
  <c r="B37" i="2"/>
  <c r="B53" i="2"/>
  <c r="B66" i="2"/>
  <c r="B80" i="2"/>
  <c r="B93" i="2"/>
  <c r="B103" i="2"/>
  <c r="B113" i="2"/>
  <c r="B125" i="2"/>
  <c r="B135" i="2"/>
  <c r="B145" i="2"/>
  <c r="B154" i="2"/>
  <c r="B163" i="2"/>
  <c r="B173" i="2"/>
  <c r="B182" i="2"/>
  <c r="B191" i="2"/>
  <c r="B200" i="2"/>
  <c r="B208" i="2"/>
  <c r="B216" i="2"/>
  <c r="B224" i="2"/>
  <c r="B232" i="2"/>
  <c r="B240" i="2"/>
  <c r="B248" i="2"/>
  <c r="D110" i="2"/>
  <c r="D226" i="2"/>
  <c r="C28" i="2"/>
  <c r="C69" i="2"/>
  <c r="C106" i="2"/>
  <c r="C142" i="2"/>
  <c r="C177" i="2"/>
  <c r="C199" i="2"/>
  <c r="C220" i="2"/>
  <c r="C241" i="2"/>
  <c r="B6" i="2"/>
  <c r="B22" i="2"/>
  <c r="B38" i="2"/>
  <c r="B54" i="2"/>
  <c r="B69" i="2"/>
  <c r="B81" i="2"/>
  <c r="B94" i="2"/>
  <c r="B104" i="2"/>
  <c r="B114" i="2"/>
  <c r="B126" i="2"/>
  <c r="B136" i="2"/>
  <c r="B146" i="2"/>
  <c r="B155" i="2"/>
  <c r="B165" i="2"/>
  <c r="B174" i="2"/>
  <c r="D121" i="2"/>
  <c r="D233" i="2"/>
  <c r="C36" i="2"/>
  <c r="C70" i="2"/>
  <c r="C113" i="2"/>
  <c r="C148" i="2"/>
  <c r="C180" i="2"/>
  <c r="C201" i="2"/>
  <c r="C223" i="2"/>
  <c r="C244" i="2"/>
  <c r="B8" i="2"/>
  <c r="B24" i="2"/>
  <c r="B40" i="2"/>
  <c r="B56" i="2"/>
  <c r="B70" i="2"/>
  <c r="B82" i="2"/>
  <c r="B95" i="2"/>
  <c r="B105" i="2"/>
  <c r="B117" i="2"/>
  <c r="B127" i="2"/>
  <c r="B137" i="2"/>
  <c r="B147" i="2"/>
  <c r="B157" i="2"/>
  <c r="B166" i="2"/>
  <c r="B175" i="2"/>
  <c r="B184" i="2"/>
  <c r="B193" i="2"/>
  <c r="B202" i="2"/>
  <c r="B210" i="2"/>
  <c r="B218" i="2"/>
  <c r="B226" i="2"/>
  <c r="B234" i="2"/>
  <c r="B242" i="2"/>
  <c r="B250" i="2"/>
  <c r="D150" i="2"/>
  <c r="D241" i="2"/>
  <c r="C41" i="2"/>
  <c r="C78" i="2"/>
  <c r="C114" i="2"/>
  <c r="C155" i="2"/>
  <c r="C182" i="2"/>
  <c r="C202" i="2"/>
  <c r="C224" i="2"/>
  <c r="C246" i="2"/>
  <c r="B9" i="2"/>
  <c r="B25" i="2"/>
  <c r="B41" i="2"/>
  <c r="B57" i="2"/>
  <c r="B72" i="2"/>
  <c r="B85" i="2"/>
  <c r="B96" i="2"/>
  <c r="B106" i="2"/>
  <c r="B118" i="2"/>
  <c r="B128" i="2"/>
  <c r="B138" i="2"/>
  <c r="B149" i="2"/>
  <c r="B158" i="2"/>
  <c r="B167" i="2"/>
  <c r="B176" i="2"/>
  <c r="B185" i="2"/>
  <c r="B194" i="2"/>
  <c r="B203" i="2"/>
  <c r="B211" i="2"/>
  <c r="B219" i="2"/>
  <c r="B227" i="2"/>
  <c r="B235" i="2"/>
  <c r="B243" i="2"/>
  <c r="B251" i="2"/>
  <c r="B249" i="2"/>
  <c r="B228" i="2"/>
  <c r="B205" i="2"/>
  <c r="B183" i="2"/>
  <c r="B150" i="2"/>
  <c r="B109" i="2"/>
  <c r="B61" i="2"/>
  <c r="C186" i="2"/>
  <c r="C42" i="2"/>
  <c r="D167" i="2"/>
  <c r="H3" i="2" l="1"/>
  <c r="I3" i="2"/>
  <c r="J3" i="2"/>
  <c r="E3" i="2"/>
  <c r="G3" i="2"/>
  <c r="F3" i="2"/>
  <c r="D3" i="2"/>
  <c r="C3" i="2"/>
  <c r="B3" i="2"/>
  <c r="P4" i="2" l="1"/>
  <c r="AG4" i="2"/>
  <c r="AS4" i="2"/>
  <c r="R5" i="2"/>
  <c r="AC5" i="2"/>
  <c r="AT5" i="2"/>
  <c r="U6" i="2"/>
  <c r="AD6" i="2"/>
  <c r="AO6" i="2"/>
  <c r="V7" i="2"/>
  <c r="AF7" i="2"/>
  <c r="AO7" i="2"/>
  <c r="S8" i="2"/>
  <c r="AD8" i="2"/>
  <c r="AN8" i="2"/>
  <c r="O9" i="2"/>
  <c r="AG9" i="2"/>
  <c r="AR9" i="2"/>
  <c r="R10" i="2"/>
  <c r="AC10" i="2"/>
  <c r="AT10" i="2"/>
  <c r="V11" i="2"/>
  <c r="AE11" i="2"/>
  <c r="AP11" i="2"/>
  <c r="O12" i="2"/>
  <c r="AH12" i="2"/>
  <c r="AR12" i="2"/>
  <c r="S13" i="2"/>
  <c r="AC13" i="2"/>
  <c r="AN13" i="2"/>
  <c r="V14" i="2"/>
  <c r="AG14" i="2"/>
  <c r="AQ14" i="2"/>
  <c r="R15" i="2"/>
  <c r="AB15" i="2"/>
  <c r="AM15" i="2"/>
  <c r="U16" i="2"/>
  <c r="AF16" i="2"/>
  <c r="AP16" i="2"/>
  <c r="Q17" i="2"/>
  <c r="AA17" i="2"/>
  <c r="AT17" i="2"/>
  <c r="T18" i="2"/>
  <c r="AE18" i="2"/>
  <c r="AO18" i="2"/>
  <c r="P19" i="2"/>
  <c r="AH19" i="2"/>
  <c r="AS19" i="2"/>
  <c r="S20" i="2"/>
  <c r="AD20" i="2"/>
  <c r="AN20" i="2"/>
  <c r="O21" i="2"/>
  <c r="AG21" i="2"/>
  <c r="AR21" i="2"/>
  <c r="R22" i="2"/>
  <c r="AC22" i="2"/>
  <c r="AM22" i="2"/>
  <c r="V23" i="2"/>
  <c r="AF23" i="2"/>
  <c r="AQ23" i="2"/>
  <c r="Q4" i="2"/>
  <c r="AH4" i="2"/>
  <c r="AT4" i="2"/>
  <c r="S5" i="2"/>
  <c r="AD5" i="2"/>
  <c r="AM5" i="2"/>
  <c r="V6" i="2"/>
  <c r="AE6" i="2"/>
  <c r="AP6" i="2"/>
  <c r="O7" i="2"/>
  <c r="AG7" i="2"/>
  <c r="AP7" i="2"/>
  <c r="T8" i="2"/>
  <c r="AE8" i="2"/>
  <c r="AO8" i="2"/>
  <c r="P9" i="2"/>
  <c r="AH9" i="2"/>
  <c r="AS9" i="2"/>
  <c r="S10" i="2"/>
  <c r="AD10" i="2"/>
  <c r="AM10" i="2"/>
  <c r="O11" i="2"/>
  <c r="AF11" i="2"/>
  <c r="AQ11" i="2"/>
  <c r="P12" i="2"/>
  <c r="AA12" i="2"/>
  <c r="AS12" i="2"/>
  <c r="T13" i="2"/>
  <c r="AD13" i="2"/>
  <c r="AO13" i="2"/>
  <c r="O14" i="2"/>
  <c r="AH14" i="2"/>
  <c r="AR14" i="2"/>
  <c r="S15" i="2"/>
  <c r="AC15" i="2"/>
  <c r="AN15" i="2"/>
  <c r="V16" i="2"/>
  <c r="AG16" i="2"/>
  <c r="AQ16" i="2"/>
  <c r="R17" i="2"/>
  <c r="AB17" i="2"/>
  <c r="AM17" i="2"/>
  <c r="U18" i="2"/>
  <c r="AF18" i="2"/>
  <c r="AP18" i="2"/>
  <c r="Q19" i="2"/>
  <c r="AA19" i="2"/>
  <c r="AT19" i="2"/>
  <c r="T20" i="2"/>
  <c r="AE20" i="2"/>
  <c r="AO20" i="2"/>
  <c r="P21" i="2"/>
  <c r="AH21" i="2"/>
  <c r="AS21" i="2"/>
  <c r="S22" i="2"/>
  <c r="AD22" i="2"/>
  <c r="AN22" i="2"/>
  <c r="O23" i="2"/>
  <c r="AG23" i="2"/>
  <c r="AR23" i="2"/>
  <c r="R4" i="2"/>
  <c r="AA4" i="2"/>
  <c r="AM4" i="2"/>
  <c r="T5" i="2"/>
  <c r="AE5" i="2"/>
  <c r="AN5" i="2"/>
  <c r="O6" i="2"/>
  <c r="AF6" i="2"/>
  <c r="AQ6" i="2"/>
  <c r="P7" i="2"/>
  <c r="AH7" i="2"/>
  <c r="AQ7" i="2"/>
  <c r="U8" i="2"/>
  <c r="AF8" i="2"/>
  <c r="AP8" i="2"/>
  <c r="Q9" i="2"/>
  <c r="AA9" i="2"/>
  <c r="AT9" i="2"/>
  <c r="T10" i="2"/>
  <c r="AE10" i="2"/>
  <c r="AN10" i="2"/>
  <c r="P11" i="2"/>
  <c r="AG11" i="2"/>
  <c r="AR11" i="2"/>
  <c r="Q12" i="2"/>
  <c r="AB12" i="2"/>
  <c r="AT12" i="2"/>
  <c r="U13" i="2"/>
  <c r="AE13" i="2"/>
  <c r="AP13" i="2"/>
  <c r="P14" i="2"/>
  <c r="AA14" i="2"/>
  <c r="AS14" i="2"/>
  <c r="T15" i="2"/>
  <c r="AD15" i="2"/>
  <c r="AO15" i="2"/>
  <c r="O16" i="2"/>
  <c r="AH16" i="2"/>
  <c r="AR16" i="2"/>
  <c r="S17" i="2"/>
  <c r="AC17" i="2"/>
  <c r="AN17" i="2"/>
  <c r="V18" i="2"/>
  <c r="AG18" i="2"/>
  <c r="AQ18" i="2"/>
  <c r="R19" i="2"/>
  <c r="AB19" i="2"/>
  <c r="AM19" i="2"/>
  <c r="U20" i="2"/>
  <c r="AF20" i="2"/>
  <c r="AP20" i="2"/>
  <c r="Q21" i="2"/>
  <c r="AA21" i="2"/>
  <c r="AT21" i="2"/>
  <c r="T22" i="2"/>
  <c r="AE22" i="2"/>
  <c r="AO22" i="2"/>
  <c r="P23" i="2"/>
  <c r="AH23" i="2"/>
  <c r="AS23" i="2"/>
  <c r="AP4" i="2"/>
  <c r="U5" i="2"/>
  <c r="Q6" i="2"/>
  <c r="AC6" i="2"/>
  <c r="AT6" i="2"/>
  <c r="AA7" i="2"/>
  <c r="AM7" i="2"/>
  <c r="P8" i="2"/>
  <c r="AG8" i="2"/>
  <c r="AT8" i="2"/>
  <c r="AC9" i="2"/>
  <c r="AK9" i="2" s="1"/>
  <c r="AQ9" i="2"/>
  <c r="AO10" i="2"/>
  <c r="T11" i="2"/>
  <c r="AE12" i="2"/>
  <c r="AA13" i="2"/>
  <c r="AR13" i="2"/>
  <c r="U14" i="2"/>
  <c r="AN14" i="2"/>
  <c r="U15" i="2"/>
  <c r="AH15" i="2"/>
  <c r="Q16" i="2"/>
  <c r="AE16" i="2"/>
  <c r="AD17" i="2"/>
  <c r="AR17" i="2"/>
  <c r="AA18" i="2"/>
  <c r="AN18" i="2"/>
  <c r="U19" i="2"/>
  <c r="AN19" i="2"/>
  <c r="Q20" i="2"/>
  <c r="AH20" i="2"/>
  <c r="AD21" i="2"/>
  <c r="AL21" i="2" s="1"/>
  <c r="AA22" i="2"/>
  <c r="AQ22" i="2"/>
  <c r="AU22" i="2" s="1"/>
  <c r="U23" i="2"/>
  <c r="AN23" i="2"/>
  <c r="Q24" i="2"/>
  <c r="AB24" i="2"/>
  <c r="AT24" i="2"/>
  <c r="U25" i="2"/>
  <c r="AE25" i="2"/>
  <c r="AP25" i="2"/>
  <c r="P26" i="2"/>
  <c r="AA26" i="2"/>
  <c r="AS26" i="2"/>
  <c r="T27" i="2"/>
  <c r="AD27" i="2"/>
  <c r="AO27" i="2"/>
  <c r="O28" i="2"/>
  <c r="AH28" i="2"/>
  <c r="AR28" i="2"/>
  <c r="S29" i="2"/>
  <c r="AC29" i="2"/>
  <c r="AN29" i="2"/>
  <c r="V30" i="2"/>
  <c r="AG30" i="2"/>
  <c r="AQ30" i="2"/>
  <c r="R31" i="2"/>
  <c r="AB31" i="2"/>
  <c r="AM31" i="2"/>
  <c r="U32" i="2"/>
  <c r="AF32" i="2"/>
  <c r="AP32" i="2"/>
  <c r="AB4" i="2"/>
  <c r="AQ4" i="2"/>
  <c r="V5" i="2"/>
  <c r="R6" i="2"/>
  <c r="AG6" i="2"/>
  <c r="AB7" i="2"/>
  <c r="AJ7" i="2" s="1"/>
  <c r="AN7" i="2"/>
  <c r="Q8" i="2"/>
  <c r="AH8" i="2"/>
  <c r="AD9" i="2"/>
  <c r="AA10" i="2"/>
  <c r="AP10" i="2"/>
  <c r="U11" i="2"/>
  <c r="AM11" i="2"/>
  <c r="R12" i="2"/>
  <c r="AF12" i="2"/>
  <c r="O13" i="2"/>
  <c r="AB13" i="2"/>
  <c r="AS13" i="2"/>
  <c r="AB14" i="2"/>
  <c r="AO14" i="2"/>
  <c r="V15" i="2"/>
  <c r="R16" i="2"/>
  <c r="Z16" i="2" s="1"/>
  <c r="O17" i="2"/>
  <c r="AE17" i="2"/>
  <c r="AI17" i="2" s="1"/>
  <c r="AS17" i="2"/>
  <c r="AB18" i="2"/>
  <c r="AR18" i="2"/>
  <c r="V19" i="2"/>
  <c r="AO19" i="2"/>
  <c r="R20" i="2"/>
  <c r="R21" i="2"/>
  <c r="AE21" i="2"/>
  <c r="AB22" i="2"/>
  <c r="AR22" i="2"/>
  <c r="AA23" i="2"/>
  <c r="AO23" i="2"/>
  <c r="R24" i="2"/>
  <c r="AC24" i="2"/>
  <c r="AM24" i="2"/>
  <c r="V25" i="2"/>
  <c r="AF25" i="2"/>
  <c r="AQ25" i="2"/>
  <c r="Q26" i="2"/>
  <c r="AB26" i="2"/>
  <c r="AT26" i="2"/>
  <c r="U27" i="2"/>
  <c r="AE27" i="2"/>
  <c r="AP27" i="2"/>
  <c r="P28" i="2"/>
  <c r="AA28" i="2"/>
  <c r="AS28" i="2"/>
  <c r="T29" i="2"/>
  <c r="AD29" i="2"/>
  <c r="AO29" i="2"/>
  <c r="O30" i="2"/>
  <c r="AH30" i="2"/>
  <c r="AR30" i="2"/>
  <c r="S31" i="2"/>
  <c r="AC31" i="2"/>
  <c r="AN31" i="2"/>
  <c r="V32" i="2"/>
  <c r="AG32" i="2"/>
  <c r="AC4" i="2"/>
  <c r="AR4" i="2"/>
  <c r="O4" i="2"/>
  <c r="AD4" i="2"/>
  <c r="AL4" i="2" s="1"/>
  <c r="AA5" i="2"/>
  <c r="AP5" i="2"/>
  <c r="T6" i="2"/>
  <c r="S4" i="2"/>
  <c r="AE4" i="2"/>
  <c r="AI4" i="2" s="1"/>
  <c r="AB5" i="2"/>
  <c r="AQ5" i="2"/>
  <c r="AM6" i="2"/>
  <c r="R7" i="2"/>
  <c r="AE7" i="2"/>
  <c r="AT7" i="2"/>
  <c r="AM8" i="2"/>
  <c r="T9" i="2"/>
  <c r="AM9" i="2"/>
  <c r="P10" i="2"/>
  <c r="AG10" i="2"/>
  <c r="AS10" i="2"/>
  <c r="AW10" i="2" s="1"/>
  <c r="AB11" i="2"/>
  <c r="AS11" i="2"/>
  <c r="U12" i="2"/>
  <c r="AN12" i="2"/>
  <c r="R13" i="2"/>
  <c r="AH13" i="2"/>
  <c r="Q14" i="2"/>
  <c r="AE14" i="2"/>
  <c r="AA15" i="2"/>
  <c r="AR15" i="2"/>
  <c r="AA16" i="2"/>
  <c r="AN16" i="2"/>
  <c r="U17" i="2"/>
  <c r="AH17" i="2"/>
  <c r="Q18" i="2"/>
  <c r="Y18" i="2" s="1"/>
  <c r="AH18" i="2"/>
  <c r="AD19" i="2"/>
  <c r="AR19" i="2"/>
  <c r="AA20" i="2"/>
  <c r="AQ20" i="2"/>
  <c r="U21" i="2"/>
  <c r="AN21" i="2"/>
  <c r="Q22" i="2"/>
  <c r="AH22" i="2"/>
  <c r="Q23" i="2"/>
  <c r="AD23" i="2"/>
  <c r="AL23" i="2" s="1"/>
  <c r="U24" i="2"/>
  <c r="AF24" i="2"/>
  <c r="AP24" i="2"/>
  <c r="Q25" i="2"/>
  <c r="AA25" i="2"/>
  <c r="AT25" i="2"/>
  <c r="T26" i="2"/>
  <c r="AE26" i="2"/>
  <c r="AO26" i="2"/>
  <c r="P27" i="2"/>
  <c r="AH27" i="2"/>
  <c r="AS27" i="2"/>
  <c r="S28" i="2"/>
  <c r="AD28" i="2"/>
  <c r="AN28" i="2"/>
  <c r="O29" i="2"/>
  <c r="AG29" i="2"/>
  <c r="AR29" i="2"/>
  <c r="R30" i="2"/>
  <c r="AC30" i="2"/>
  <c r="AM30" i="2"/>
  <c r="V31" i="2"/>
  <c r="AF31" i="2"/>
  <c r="AQ31" i="2"/>
  <c r="Q32" i="2"/>
  <c r="AB32" i="2"/>
  <c r="AT32" i="2"/>
  <c r="T4" i="2"/>
  <c r="AF4" i="2"/>
  <c r="O5" i="2"/>
  <c r="AF5" i="2"/>
  <c r="AR5" i="2"/>
  <c r="AV5" i="2" s="1"/>
  <c r="AN6" i="2"/>
  <c r="S7" i="2"/>
  <c r="W7" i="2" s="1"/>
  <c r="AA8" i="2"/>
  <c r="AQ8" i="2"/>
  <c r="U9" i="2"/>
  <c r="AN9" i="2"/>
  <c r="Q10" i="2"/>
  <c r="AH10" i="2"/>
  <c r="Q11" i="2"/>
  <c r="AC11" i="2"/>
  <c r="AT11" i="2"/>
  <c r="V12" i="2"/>
  <c r="AO12" i="2"/>
  <c r="AW12" i="2" s="1"/>
  <c r="V13" i="2"/>
  <c r="R14" i="2"/>
  <c r="AF14" i="2"/>
  <c r="O15" i="2"/>
  <c r="AE15" i="2"/>
  <c r="AS15" i="2"/>
  <c r="AB16" i="2"/>
  <c r="AO16" i="2"/>
  <c r="V17" i="2"/>
  <c r="Z17" i="2" s="1"/>
  <c r="AO17" i="2"/>
  <c r="R18" i="2"/>
  <c r="Z18" i="2" s="1"/>
  <c r="O19" i="2"/>
  <c r="AE19" i="2"/>
  <c r="AB20" i="2"/>
  <c r="AR20" i="2"/>
  <c r="AV20" i="2" s="1"/>
  <c r="V21" i="2"/>
  <c r="AO21" i="2"/>
  <c r="U22" i="2"/>
  <c r="R23" i="2"/>
  <c r="AE23" i="2"/>
  <c r="V24" i="2"/>
  <c r="AG24" i="2"/>
  <c r="AQ24" i="2"/>
  <c r="R25" i="2"/>
  <c r="AB25" i="2"/>
  <c r="AM25" i="2"/>
  <c r="U26" i="2"/>
  <c r="AF26" i="2"/>
  <c r="AP26" i="2"/>
  <c r="Q27" i="2"/>
  <c r="AA27" i="2"/>
  <c r="AT27" i="2"/>
  <c r="AX27" i="2" s="1"/>
  <c r="T28" i="2"/>
  <c r="X28" i="2" s="1"/>
  <c r="AE28" i="2"/>
  <c r="U4" i="2"/>
  <c r="AN4" i="2"/>
  <c r="P5" i="2"/>
  <c r="AG5" i="2"/>
  <c r="AS5" i="2"/>
  <c r="AA6" i="2"/>
  <c r="AR6" i="2"/>
  <c r="T7" i="2"/>
  <c r="AB8" i="2"/>
  <c r="AR8" i="2"/>
  <c r="AV8" i="2" s="1"/>
  <c r="V9" i="2"/>
  <c r="AO9" i="2"/>
  <c r="U10" i="2"/>
  <c r="R11" i="2"/>
  <c r="AD11" i="2"/>
  <c r="AC12" i="2"/>
  <c r="AP12" i="2"/>
  <c r="AX12" i="2" s="1"/>
  <c r="AM13" i="2"/>
  <c r="S14" i="2"/>
  <c r="W14" i="2" s="1"/>
  <c r="P15" i="2"/>
  <c r="AF15" i="2"/>
  <c r="AT15" i="2"/>
  <c r="AC16" i="2"/>
  <c r="AS16" i="2"/>
  <c r="AP17" i="2"/>
  <c r="S18" i="2"/>
  <c r="S19" i="2"/>
  <c r="AF19" i="2"/>
  <c r="O20" i="2"/>
  <c r="AC20" i="2"/>
  <c r="AS20" i="2"/>
  <c r="AB21" i="2"/>
  <c r="AP21" i="2"/>
  <c r="V22" i="2"/>
  <c r="S23" i="2"/>
  <c r="O24" i="2"/>
  <c r="AH24" i="2"/>
  <c r="AR24" i="2"/>
  <c r="S25" i="2"/>
  <c r="AC25" i="2"/>
  <c r="AN25" i="2"/>
  <c r="V26" i="2"/>
  <c r="AG26" i="2"/>
  <c r="AQ26" i="2"/>
  <c r="R27" i="2"/>
  <c r="AB27" i="2"/>
  <c r="AM27" i="2"/>
  <c r="U28" i="2"/>
  <c r="AF28" i="2"/>
  <c r="AP28" i="2"/>
  <c r="Q29" i="2"/>
  <c r="AA29" i="2"/>
  <c r="AT29" i="2"/>
  <c r="T30" i="2"/>
  <c r="AE30" i="2"/>
  <c r="AO30" i="2"/>
  <c r="P31" i="2"/>
  <c r="AH31" i="2"/>
  <c r="AS31" i="2"/>
  <c r="S32" i="2"/>
  <c r="AD32" i="2"/>
  <c r="AN32" i="2"/>
  <c r="O33" i="2"/>
  <c r="V4" i="2"/>
  <c r="AO4" i="2"/>
  <c r="AW4" i="2" s="1"/>
  <c r="Q5" i="2"/>
  <c r="AH5" i="2"/>
  <c r="P6" i="2"/>
  <c r="AB6" i="2"/>
  <c r="AS6" i="2"/>
  <c r="U7" i="2"/>
  <c r="O8" i="2"/>
  <c r="AC8" i="2"/>
  <c r="AS8" i="2"/>
  <c r="AB9" i="2"/>
  <c r="AP9" i="2"/>
  <c r="V10" i="2"/>
  <c r="S11" i="2"/>
  <c r="AH11" i="2"/>
  <c r="AD12" i="2"/>
  <c r="AQ12" i="2"/>
  <c r="AQ13" i="2"/>
  <c r="T14" i="2"/>
  <c r="X14" i="2" s="1"/>
  <c r="AM14" i="2"/>
  <c r="Q15" i="2"/>
  <c r="AG15" i="2"/>
  <c r="P16" i="2"/>
  <c r="AD16" i="2"/>
  <c r="AT16" i="2"/>
  <c r="AQ17" i="2"/>
  <c r="AM18" i="2"/>
  <c r="T19" i="2"/>
  <c r="AG19" i="2"/>
  <c r="P20" i="2"/>
  <c r="AG20" i="2"/>
  <c r="AT20" i="2"/>
  <c r="AC21" i="2"/>
  <c r="AQ21" i="2"/>
  <c r="AP22" i="2"/>
  <c r="T23" i="2"/>
  <c r="AM23" i="2"/>
  <c r="P24" i="2"/>
  <c r="AA24" i="2"/>
  <c r="AS24" i="2"/>
  <c r="T25" i="2"/>
  <c r="AD25" i="2"/>
  <c r="AO25" i="2"/>
  <c r="O26" i="2"/>
  <c r="AH26" i="2"/>
  <c r="AR26" i="2"/>
  <c r="S27" i="2"/>
  <c r="AC27" i="2"/>
  <c r="AN27" i="2"/>
  <c r="V28" i="2"/>
  <c r="AG28" i="2"/>
  <c r="AQ28" i="2"/>
  <c r="R29" i="2"/>
  <c r="AB29" i="2"/>
  <c r="AM29" i="2"/>
  <c r="U30" i="2"/>
  <c r="AF30" i="2"/>
  <c r="AP30" i="2"/>
  <c r="Q31" i="2"/>
  <c r="AA31" i="2"/>
  <c r="AT31" i="2"/>
  <c r="T32" i="2"/>
  <c r="AE32" i="2"/>
  <c r="AO32" i="2"/>
  <c r="AO5" i="2"/>
  <c r="AW5" i="2" s="1"/>
  <c r="AR7" i="2"/>
  <c r="AB10" i="2"/>
  <c r="S12" i="2"/>
  <c r="W12" i="2" s="1"/>
  <c r="AT13" i="2"/>
  <c r="AP15" i="2"/>
  <c r="AF17" i="2"/>
  <c r="S21" i="2"/>
  <c r="AS22" i="2"/>
  <c r="AD24" i="2"/>
  <c r="AG25" i="2"/>
  <c r="AM26" i="2"/>
  <c r="AQ27" i="2"/>
  <c r="AO28" i="2"/>
  <c r="AF29" i="2"/>
  <c r="AA30" i="2"/>
  <c r="O31" i="2"/>
  <c r="AP31" i="2"/>
  <c r="AH32" i="2"/>
  <c r="AL32" i="2" s="1"/>
  <c r="Q33" i="2"/>
  <c r="AA33" i="2"/>
  <c r="AT33" i="2"/>
  <c r="S6" i="2"/>
  <c r="AS7" i="2"/>
  <c r="AF10" i="2"/>
  <c r="T12" i="2"/>
  <c r="AQ15" i="2"/>
  <c r="AG17" i="2"/>
  <c r="AC19" i="2"/>
  <c r="T21" i="2"/>
  <c r="AT22" i="2"/>
  <c r="AE24" i="2"/>
  <c r="AH25" i="2"/>
  <c r="AN26" i="2"/>
  <c r="AR27" i="2"/>
  <c r="AT28" i="2"/>
  <c r="AH29" i="2"/>
  <c r="AB30" i="2"/>
  <c r="T31" i="2"/>
  <c r="AR31" i="2"/>
  <c r="R33" i="2"/>
  <c r="AB33" i="2"/>
  <c r="AM33" i="2"/>
  <c r="AH6" i="2"/>
  <c r="R9" i="2"/>
  <c r="AQ10" i="2"/>
  <c r="AG12" i="2"/>
  <c r="AC14" i="2"/>
  <c r="S16" i="2"/>
  <c r="O18" i="2"/>
  <c r="AP19" i="2"/>
  <c r="AF21" i="2"/>
  <c r="AB23" i="2"/>
  <c r="AN24" i="2"/>
  <c r="AR25" i="2"/>
  <c r="Q28" i="2"/>
  <c r="AP29" i="2"/>
  <c r="AD30" i="2"/>
  <c r="U31" i="2"/>
  <c r="O32" i="2"/>
  <c r="AM32" i="2"/>
  <c r="S33" i="2"/>
  <c r="AC33" i="2"/>
  <c r="AN33" i="2"/>
  <c r="S9" i="2"/>
  <c r="AR10" i="2"/>
  <c r="AM12" i="2"/>
  <c r="AD14" i="2"/>
  <c r="T16" i="2"/>
  <c r="P18" i="2"/>
  <c r="AQ19" i="2"/>
  <c r="AM21" i="2"/>
  <c r="AC23" i="2"/>
  <c r="AK23" i="2" s="1"/>
  <c r="AO24" i="2"/>
  <c r="AS25" i="2"/>
  <c r="O27" i="2"/>
  <c r="R28" i="2"/>
  <c r="P29" i="2"/>
  <c r="AQ29" i="2"/>
  <c r="P32" i="2"/>
  <c r="AQ32" i="2"/>
  <c r="T33" i="2"/>
  <c r="AD33" i="2"/>
  <c r="AO33" i="2"/>
  <c r="Q7" i="2"/>
  <c r="AF9" i="2"/>
  <c r="AA11" i="2"/>
  <c r="Q13" i="2"/>
  <c r="AT14" i="2"/>
  <c r="AM16" i="2"/>
  <c r="AD18" i="2"/>
  <c r="P22" i="2"/>
  <c r="AT23" i="2"/>
  <c r="P25" i="2"/>
  <c r="S26" i="2"/>
  <c r="W26" i="2" s="1"/>
  <c r="AC28" i="2"/>
  <c r="V29" i="2"/>
  <c r="P30" i="2"/>
  <c r="AN30" i="2"/>
  <c r="AE31" i="2"/>
  <c r="AS32" i="2"/>
  <c r="V33" i="2"/>
  <c r="AF33" i="2"/>
  <c r="AQ33" i="2"/>
  <c r="AC7" i="2"/>
  <c r="AK7" i="2" s="1"/>
  <c r="R8" i="2"/>
  <c r="AN11" i="2"/>
  <c r="AF13" i="2"/>
  <c r="AJ13" i="2" s="1"/>
  <c r="P17" i="2"/>
  <c r="AS18" i="2"/>
  <c r="AF22" i="2"/>
  <c r="S24" i="2"/>
  <c r="AC26" i="2"/>
  <c r="AF27" i="2"/>
  <c r="Q30" i="2"/>
  <c r="AS30" i="2"/>
  <c r="AG31" i="2"/>
  <c r="AA32" i="2"/>
  <c r="AG33" i="2"/>
  <c r="AR33" i="2"/>
  <c r="P13" i="2"/>
  <c r="V20" i="2"/>
  <c r="R26" i="2"/>
  <c r="AS29" i="2"/>
  <c r="AR32" i="2"/>
  <c r="AD7" i="2"/>
  <c r="AG13" i="2"/>
  <c r="AM20" i="2"/>
  <c r="AD26" i="2"/>
  <c r="S30" i="2"/>
  <c r="P33" i="2"/>
  <c r="AP14" i="2"/>
  <c r="O22" i="2"/>
  <c r="V27" i="2"/>
  <c r="U33" i="2"/>
  <c r="Y33" i="2" s="1"/>
  <c r="V8" i="2"/>
  <c r="AG22" i="2"/>
  <c r="AK22" i="2" s="1"/>
  <c r="AG27" i="2"/>
  <c r="AT30" i="2"/>
  <c r="O10" i="2"/>
  <c r="T17" i="2"/>
  <c r="T24" i="2"/>
  <c r="AM28" i="2"/>
  <c r="AO31" i="2"/>
  <c r="AH33" i="2"/>
  <c r="AC18" i="2"/>
  <c r="O25" i="2"/>
  <c r="U29" i="2"/>
  <c r="R32" i="2"/>
  <c r="AP33" i="2"/>
  <c r="AE9" i="2"/>
  <c r="AI9" i="2" s="1"/>
  <c r="AD31" i="2"/>
  <c r="AO11" i="2"/>
  <c r="AC32" i="2"/>
  <c r="AE33" i="2"/>
  <c r="AP23" i="2"/>
  <c r="AT18" i="2"/>
  <c r="AS33" i="2"/>
  <c r="AE29" i="2"/>
  <c r="AB28" i="2"/>
  <c r="AK12" i="2" l="1"/>
  <c r="X29" i="2"/>
  <c r="AJ30" i="2"/>
  <c r="Y9" i="2"/>
  <c r="AX11" i="2"/>
  <c r="Y17" i="2"/>
  <c r="AV11" i="2"/>
  <c r="W17" i="2"/>
  <c r="Y32" i="2"/>
  <c r="AW26" i="2"/>
  <c r="W31" i="2"/>
  <c r="Z31" i="2"/>
  <c r="AX25" i="2"/>
  <c r="AL22" i="2"/>
  <c r="AU11" i="2"/>
  <c r="Y14" i="2"/>
  <c r="X24" i="2"/>
  <c r="AJ21" i="2"/>
  <c r="AI31" i="2"/>
  <c r="Y8" i="2"/>
  <c r="W16" i="2"/>
  <c r="AX26" i="2"/>
  <c r="Z32" i="2"/>
  <c r="AJ18" i="2"/>
  <c r="AV23" i="2"/>
  <c r="Y29" i="2"/>
  <c r="X13" i="2"/>
  <c r="AL10" i="2"/>
  <c r="X25" i="2"/>
  <c r="AV10" i="2"/>
  <c r="AI16" i="2"/>
  <c r="AL31" i="2"/>
  <c r="AU32" i="2"/>
  <c r="AV9" i="2"/>
  <c r="Z15" i="2"/>
  <c r="AL20" i="2"/>
  <c r="Z26" i="2"/>
  <c r="Z28" i="2"/>
  <c r="AJ32" i="2"/>
  <c r="X27" i="2"/>
  <c r="AU5" i="2"/>
  <c r="Y28" i="2"/>
  <c r="Z29" i="2"/>
  <c r="AW24" i="2"/>
  <c r="AK20" i="2"/>
  <c r="AI33" i="2"/>
  <c r="W25" i="2"/>
  <c r="Y7" i="2"/>
  <c r="AW33" i="2"/>
  <c r="Y6" i="2"/>
  <c r="AJ33" i="2"/>
  <c r="AK19" i="2"/>
  <c r="AI29" i="2"/>
  <c r="Z19" i="2"/>
  <c r="AU10" i="2"/>
  <c r="AJ8" i="2"/>
  <c r="W24" i="2"/>
  <c r="Z4" i="2"/>
  <c r="AU6" i="2"/>
  <c r="AX13" i="2"/>
  <c r="AU23" i="2"/>
  <c r="W13" i="2"/>
  <c r="AI18" i="2"/>
  <c r="AJ19" i="2"/>
  <c r="AK21" i="2"/>
  <c r="Z27" i="2"/>
  <c r="W30" i="2"/>
  <c r="Z33" i="2"/>
  <c r="AJ9" i="2"/>
  <c r="AI30" i="2"/>
  <c r="Y16" i="2"/>
  <c r="AW11" i="2"/>
  <c r="AX10" i="2"/>
  <c r="X7" i="2"/>
  <c r="AU25" i="2"/>
  <c r="Z14" i="2"/>
  <c r="AL5" i="2"/>
  <c r="AV4" i="2"/>
  <c r="Z7" i="2"/>
  <c r="AW25" i="2"/>
  <c r="Z30" i="2"/>
  <c r="AX24" i="2"/>
  <c r="AI22" i="2"/>
  <c r="AJ29" i="2"/>
  <c r="AU8" i="2"/>
  <c r="AI20" i="2"/>
  <c r="W15" i="2"/>
  <c r="AL19" i="2"/>
  <c r="Y19" i="2"/>
  <c r="X16" i="2"/>
  <c r="X6" i="2"/>
  <c r="AX6" i="2"/>
  <c r="X33" i="2"/>
  <c r="AV32" i="2"/>
  <c r="W27" i="2"/>
  <c r="AW27" i="2"/>
  <c r="AI32" i="2"/>
  <c r="Y5" i="2"/>
  <c r="AW14" i="2"/>
  <c r="AW28" i="2"/>
  <c r="AJ15" i="2"/>
  <c r="AI8" i="2"/>
  <c r="AX5" i="2"/>
  <c r="AW13" i="2"/>
  <c r="AJ27" i="2"/>
  <c r="AI23" i="2"/>
  <c r="AX28" i="2"/>
  <c r="AU13" i="2"/>
  <c r="W4" i="2"/>
  <c r="AI27" i="2"/>
  <c r="AU31" i="2"/>
  <c r="AI26" i="2"/>
  <c r="AI13" i="2"/>
  <c r="AV21" i="2"/>
  <c r="AW29" i="2"/>
  <c r="Y21" i="2"/>
  <c r="AJ17" i="2"/>
  <c r="AJ16" i="2"/>
  <c r="AV18" i="2"/>
  <c r="AK24" i="2"/>
  <c r="AW15" i="2"/>
  <c r="AJ4" i="2"/>
  <c r="AV22" i="2"/>
  <c r="AI10" i="2"/>
  <c r="AJ28" i="2"/>
  <c r="AX14" i="2"/>
  <c r="Y30" i="2"/>
  <c r="AU21" i="2"/>
  <c r="AL9" i="2"/>
  <c r="Y20" i="2"/>
  <c r="X12" i="2"/>
  <c r="AJ31" i="2"/>
  <c r="X26" i="2"/>
  <c r="AL8" i="2"/>
  <c r="AK33" i="2"/>
  <c r="AX22" i="2"/>
  <c r="AI7" i="2"/>
  <c r="AI12" i="2"/>
  <c r="AV7" i="2"/>
  <c r="W28" i="2"/>
  <c r="Z13" i="2"/>
  <c r="AJ20" i="2"/>
  <c r="X15" i="2"/>
  <c r="AI19" i="2"/>
  <c r="AI15" i="2"/>
  <c r="AI5" i="2"/>
  <c r="Y11" i="2"/>
  <c r="AJ10" i="2"/>
  <c r="AK28" i="2"/>
  <c r="W18" i="2"/>
  <c r="AL18" i="2"/>
  <c r="Y15" i="2"/>
  <c r="AU18" i="2"/>
  <c r="AJ6" i="2"/>
  <c r="W23" i="2"/>
  <c r="AU17" i="2"/>
  <c r="AW9" i="2"/>
  <c r="D9" i="3" s="1"/>
  <c r="L9" i="3" s="1"/>
  <c r="Z22" i="2"/>
  <c r="AX16" i="2"/>
  <c r="AI11" i="2"/>
  <c r="AK4" i="2"/>
  <c r="AX30" i="2"/>
  <c r="AL25" i="2"/>
  <c r="X31" i="2"/>
  <c r="AV25" i="2"/>
  <c r="Y10" i="2"/>
  <c r="AV6" i="2"/>
  <c r="Y22" i="2"/>
  <c r="AK32" i="2"/>
  <c r="Y27" i="2"/>
  <c r="Z20" i="2"/>
  <c r="Z12" i="2"/>
  <c r="AV28" i="2"/>
  <c r="Y23" i="2"/>
  <c r="AW23" i="2"/>
  <c r="AK18" i="2"/>
  <c r="Y13" i="2"/>
  <c r="W6" i="2"/>
  <c r="X20" i="2"/>
  <c r="AV14" i="2"/>
  <c r="AX7" i="2"/>
  <c r="W5" i="2"/>
  <c r="X19" i="2"/>
  <c r="AV13" i="2"/>
  <c r="Z11" i="2"/>
  <c r="AW6" i="2"/>
  <c r="X4" i="2"/>
  <c r="AV27" i="2"/>
  <c r="AU12" i="2"/>
  <c r="AW30" i="2"/>
  <c r="AK25" i="2"/>
  <c r="AL29" i="2"/>
  <c r="Z24" i="2"/>
  <c r="AL28" i="2"/>
  <c r="AK6" i="2"/>
  <c r="AX20" i="2"/>
  <c r="AL15" i="2"/>
  <c r="X10" i="2"/>
  <c r="AX19" i="2"/>
  <c r="AL14" i="2"/>
  <c r="X9" i="2"/>
  <c r="AX4" i="2"/>
  <c r="AW18" i="2"/>
  <c r="AK13" i="2"/>
  <c r="W8" i="2"/>
  <c r="AL6" i="2"/>
  <c r="AL33" i="2"/>
  <c r="AW32" i="2"/>
  <c r="AK27" i="2"/>
  <c r="W33" i="2"/>
  <c r="AU27" i="2"/>
  <c r="AL11" i="2"/>
  <c r="Z21" i="2"/>
  <c r="AW16" i="2"/>
  <c r="AU9" i="2"/>
  <c r="AV31" i="2"/>
  <c r="AJ26" i="2"/>
  <c r="AU30" i="2"/>
  <c r="AI25" i="2"/>
  <c r="AK8" i="2"/>
  <c r="X23" i="2"/>
  <c r="AV17" i="2"/>
  <c r="AJ12" i="2"/>
  <c r="AX9" i="2"/>
  <c r="W22" i="2"/>
  <c r="AU16" i="2"/>
  <c r="AJ11" i="2"/>
  <c r="AW8" i="2"/>
  <c r="W21" i="2"/>
  <c r="AU15" i="2"/>
  <c r="AK10" i="2"/>
  <c r="X17" i="2"/>
  <c r="Y31" i="2"/>
  <c r="AU29" i="2"/>
  <c r="AI24" i="2"/>
  <c r="X30" i="2"/>
  <c r="AV24" i="2"/>
  <c r="AX15" i="2"/>
  <c r="AU24" i="2"/>
  <c r="AU20" i="2"/>
  <c r="AK31" i="2"/>
  <c r="Y26" i="2"/>
  <c r="AJ14" i="2"/>
  <c r="AK30" i="2"/>
  <c r="Y25" i="2"/>
  <c r="AL17" i="2"/>
  <c r="AW22" i="2"/>
  <c r="AK17" i="2"/>
  <c r="Y12" i="2"/>
  <c r="D12" i="3" s="1"/>
  <c r="L12" i="3" s="1"/>
  <c r="AU7" i="2"/>
  <c r="X5" i="2"/>
  <c r="AW21" i="2"/>
  <c r="AK16" i="2"/>
  <c r="W11" i="2"/>
  <c r="Y4" i="2"/>
  <c r="AJ23" i="2"/>
  <c r="X18" i="2"/>
  <c r="AV12" i="2"/>
  <c r="Z10" i="2"/>
  <c r="AX33" i="2"/>
  <c r="X32" i="2"/>
  <c r="AV26" i="2"/>
  <c r="AX29" i="2"/>
  <c r="AL24" i="2"/>
  <c r="AJ5" i="2"/>
  <c r="AI28" i="2"/>
  <c r="AX32" i="2"/>
  <c r="AL27" i="2"/>
  <c r="AU19" i="2"/>
  <c r="AI14" i="2"/>
  <c r="AL7" i="2"/>
  <c r="AU4" i="2"/>
  <c r="AX18" i="2"/>
  <c r="AL13" i="2"/>
  <c r="X8" i="2"/>
  <c r="AI6" i="2"/>
  <c r="Z23" i="2"/>
  <c r="AX17" i="2"/>
  <c r="AL12" i="2"/>
  <c r="AK5" i="2"/>
  <c r="AX23" i="2"/>
  <c r="AU33" i="2"/>
  <c r="AX31" i="2"/>
  <c r="AL26" i="2"/>
  <c r="W32" i="2"/>
  <c r="AU26" i="2"/>
  <c r="W29" i="2"/>
  <c r="AV30" i="2"/>
  <c r="AJ25" i="2"/>
  <c r="AJ22" i="2"/>
  <c r="AW17" i="2"/>
  <c r="AV29" i="2"/>
  <c r="AJ24" i="2"/>
  <c r="X22" i="2"/>
  <c r="AV16" i="2"/>
  <c r="AK11" i="2"/>
  <c r="AX8" i="2"/>
  <c r="X21" i="2"/>
  <c r="AV15" i="2"/>
  <c r="Z6" i="2"/>
  <c r="W20" i="2"/>
  <c r="AU14" i="2"/>
  <c r="AW7" i="2"/>
  <c r="Z5" i="2"/>
  <c r="Z8" i="2"/>
  <c r="AV33" i="2"/>
  <c r="AU28" i="2"/>
  <c r="AW31" i="2"/>
  <c r="AK26" i="2"/>
  <c r="Z9" i="2"/>
  <c r="W19" i="2"/>
  <c r="AL30" i="2"/>
  <c r="Z25" i="2"/>
  <c r="AI21" i="2"/>
  <c r="AK29" i="2"/>
  <c r="Y24" i="2"/>
  <c r="AV19" i="2"/>
  <c r="AX21" i="2"/>
  <c r="AL16" i="2"/>
  <c r="X11" i="2"/>
  <c r="AW20" i="2"/>
  <c r="AK15" i="2"/>
  <c r="W10" i="2"/>
  <c r="AW19" i="2"/>
  <c r="AK14" i="2"/>
  <c r="W9" i="2"/>
  <c r="AT3" i="2"/>
  <c r="AS3" i="2"/>
  <c r="AG3" i="2"/>
  <c r="AH3" i="2"/>
  <c r="AF3" i="2"/>
  <c r="AR3" i="2"/>
  <c r="U3" i="2"/>
  <c r="T3" i="2"/>
  <c r="S3" i="2"/>
  <c r="V3" i="2"/>
  <c r="AQ3" i="2"/>
  <c r="AE3" i="2"/>
  <c r="AA3" i="2"/>
  <c r="AO3" i="2"/>
  <c r="R3" i="2"/>
  <c r="AP3" i="2"/>
  <c r="AN3" i="2"/>
  <c r="AD3" i="2"/>
  <c r="AM3" i="2"/>
  <c r="O3" i="2"/>
  <c r="AC3" i="2"/>
  <c r="P3" i="2"/>
  <c r="AB3" i="2"/>
  <c r="Q3" i="2"/>
  <c r="B17" i="3" l="1"/>
  <c r="J17" i="3" s="1"/>
  <c r="B31" i="3"/>
  <c r="J31" i="3" s="1"/>
  <c r="B16" i="3"/>
  <c r="J16" i="3" s="1"/>
  <c r="E32" i="3"/>
  <c r="M32" i="3" s="1"/>
  <c r="E26" i="3"/>
  <c r="M26" i="3" s="1"/>
  <c r="C13" i="3"/>
  <c r="K13" i="3" s="1"/>
  <c r="B22" i="3"/>
  <c r="J22" i="3" s="1"/>
  <c r="B30" i="3"/>
  <c r="J30" i="3" s="1"/>
  <c r="C27" i="3"/>
  <c r="K27" i="3" s="1"/>
  <c r="E31" i="3"/>
  <c r="M31" i="3" s="1"/>
  <c r="B32" i="3"/>
  <c r="J32" i="3" s="1"/>
  <c r="C23" i="3"/>
  <c r="K23" i="3" s="1"/>
  <c r="B25" i="3"/>
  <c r="J25" i="3" s="1"/>
  <c r="D33" i="3"/>
  <c r="L33" i="3" s="1"/>
  <c r="C14" i="3"/>
  <c r="K14" i="3" s="1"/>
  <c r="E4" i="3"/>
  <c r="M4" i="3" s="1"/>
  <c r="D7" i="3"/>
  <c r="L7" i="3" s="1"/>
  <c r="Y3" i="2"/>
  <c r="D24" i="3"/>
  <c r="L24" i="3" s="1"/>
  <c r="E7" i="3"/>
  <c r="M7" i="3" s="1"/>
  <c r="D11" i="3"/>
  <c r="L11" i="3" s="1"/>
  <c r="E27" i="3"/>
  <c r="M27" i="3" s="1"/>
  <c r="B11" i="3"/>
  <c r="J11" i="3" s="1"/>
  <c r="E17" i="3"/>
  <c r="M17" i="3" s="1"/>
  <c r="D31" i="3"/>
  <c r="L31" i="3" s="1"/>
  <c r="C32" i="3"/>
  <c r="K32" i="3" s="1"/>
  <c r="B20" i="3"/>
  <c r="J20" i="3" s="1"/>
  <c r="D21" i="3"/>
  <c r="L21" i="3" s="1"/>
  <c r="B13" i="3"/>
  <c r="J13" i="3" s="1"/>
  <c r="E10" i="3"/>
  <c r="M10" i="3" s="1"/>
  <c r="C11" i="3"/>
  <c r="K11" i="3" s="1"/>
  <c r="C20" i="3"/>
  <c r="K20" i="3" s="1"/>
  <c r="D17" i="3"/>
  <c r="L17" i="3" s="1"/>
  <c r="B33" i="3"/>
  <c r="J33" i="3" s="1"/>
  <c r="D32" i="3"/>
  <c r="L32" i="3" s="1"/>
  <c r="D29" i="3"/>
  <c r="L29" i="3" s="1"/>
  <c r="B8" i="3"/>
  <c r="J8" i="3" s="1"/>
  <c r="B12" i="3"/>
  <c r="J12" i="3" s="1"/>
  <c r="D28" i="3"/>
  <c r="L28" i="3" s="1"/>
  <c r="C8" i="3"/>
  <c r="K8" i="3" s="1"/>
  <c r="B5" i="3"/>
  <c r="J5" i="3" s="1"/>
  <c r="E33" i="3"/>
  <c r="M33" i="3" s="1"/>
  <c r="E28" i="3"/>
  <c r="M28" i="3" s="1"/>
  <c r="E16" i="3"/>
  <c r="M16" i="3" s="1"/>
  <c r="C9" i="3"/>
  <c r="K9" i="3" s="1"/>
  <c r="C33" i="3"/>
  <c r="K33" i="3" s="1"/>
  <c r="D23" i="3"/>
  <c r="L23" i="3" s="1"/>
  <c r="B9" i="3"/>
  <c r="J9" i="3" s="1"/>
  <c r="D6" i="3"/>
  <c r="L6" i="3" s="1"/>
  <c r="C7" i="3"/>
  <c r="K7" i="3" s="1"/>
  <c r="E19" i="3"/>
  <c r="M19" i="3" s="1"/>
  <c r="D19" i="3"/>
  <c r="L19" i="3" s="1"/>
  <c r="E22" i="3"/>
  <c r="M22" i="3" s="1"/>
  <c r="B15" i="3"/>
  <c r="J15" i="3" s="1"/>
  <c r="B23" i="3"/>
  <c r="J23" i="3" s="1"/>
  <c r="E6" i="3"/>
  <c r="M6" i="3" s="1"/>
  <c r="C24" i="3"/>
  <c r="K24" i="3" s="1"/>
  <c r="D5" i="3"/>
  <c r="L5" i="3" s="1"/>
  <c r="D20" i="3"/>
  <c r="L20" i="3" s="1"/>
  <c r="C29" i="3"/>
  <c r="K29" i="3" s="1"/>
  <c r="B7" i="3"/>
  <c r="J7" i="3" s="1"/>
  <c r="E30" i="3"/>
  <c r="M30" i="3" s="1"/>
  <c r="C21" i="3"/>
  <c r="K21" i="3" s="1"/>
  <c r="B14" i="3"/>
  <c r="J14" i="3" s="1"/>
  <c r="D30" i="3"/>
  <c r="L30" i="3" s="1"/>
  <c r="D14" i="3"/>
  <c r="L14" i="3" s="1"/>
  <c r="C16" i="3"/>
  <c r="K16" i="3" s="1"/>
  <c r="B4" i="3"/>
  <c r="J4" i="3" s="1"/>
  <c r="E24" i="3"/>
  <c r="M24" i="3" s="1"/>
  <c r="E11" i="3"/>
  <c r="M11" i="3" s="1"/>
  <c r="E14" i="3"/>
  <c r="M14" i="3" s="1"/>
  <c r="B19" i="3"/>
  <c r="J19" i="3" s="1"/>
  <c r="E8" i="3"/>
  <c r="M8" i="3" s="1"/>
  <c r="E23" i="3"/>
  <c r="M23" i="3" s="1"/>
  <c r="B24" i="3"/>
  <c r="J24" i="3" s="1"/>
  <c r="D18" i="3"/>
  <c r="L18" i="3" s="1"/>
  <c r="C4" i="3"/>
  <c r="K4" i="3" s="1"/>
  <c r="E5" i="3"/>
  <c r="M5" i="3" s="1"/>
  <c r="B29" i="3"/>
  <c r="J29" i="3" s="1"/>
  <c r="D4" i="3"/>
  <c r="L4" i="3" s="1"/>
  <c r="B27" i="3"/>
  <c r="J27" i="3" s="1"/>
  <c r="C28" i="3"/>
  <c r="K28" i="3" s="1"/>
  <c r="C22" i="3"/>
  <c r="K22" i="3" s="1"/>
  <c r="D25" i="3"/>
  <c r="L25" i="3" s="1"/>
  <c r="C15" i="3"/>
  <c r="K15" i="3" s="1"/>
  <c r="C12" i="3"/>
  <c r="K12" i="3" s="1"/>
  <c r="E21" i="3"/>
  <c r="M21" i="3" s="1"/>
  <c r="E9" i="3"/>
  <c r="M9" i="3" s="1"/>
  <c r="C5" i="3"/>
  <c r="K5" i="3" s="1"/>
  <c r="C30" i="3"/>
  <c r="K30" i="3" s="1"/>
  <c r="C17" i="3"/>
  <c r="K17" i="3" s="1"/>
  <c r="E13" i="3"/>
  <c r="M13" i="3" s="1"/>
  <c r="AW3" i="2"/>
  <c r="E25" i="3"/>
  <c r="M25" i="3" s="1"/>
  <c r="E18" i="3"/>
  <c r="M18" i="3" s="1"/>
  <c r="D16" i="3"/>
  <c r="L16" i="3" s="1"/>
  <c r="C31" i="3"/>
  <c r="K31" i="3" s="1"/>
  <c r="D27" i="3"/>
  <c r="L27" i="3" s="1"/>
  <c r="B6" i="3"/>
  <c r="J6" i="3" s="1"/>
  <c r="C25" i="3"/>
  <c r="K25" i="3" s="1"/>
  <c r="D10" i="3"/>
  <c r="L10" i="3" s="1"/>
  <c r="E29" i="3"/>
  <c r="M29" i="3" s="1"/>
  <c r="B28" i="3"/>
  <c r="J28" i="3" s="1"/>
  <c r="B21" i="3"/>
  <c r="J21" i="3" s="1"/>
  <c r="C19" i="3"/>
  <c r="K19" i="3" s="1"/>
  <c r="D26" i="3"/>
  <c r="L26" i="3" s="1"/>
  <c r="D8" i="3"/>
  <c r="L8" i="3" s="1"/>
  <c r="E15" i="3"/>
  <c r="M15" i="3" s="1"/>
  <c r="C6" i="3"/>
  <c r="K6" i="3" s="1"/>
  <c r="D22" i="3"/>
  <c r="L22" i="3" s="1"/>
  <c r="C26" i="3"/>
  <c r="K26" i="3" s="1"/>
  <c r="W3" i="2"/>
  <c r="AX3" i="2"/>
  <c r="X3" i="2"/>
  <c r="D13" i="3"/>
  <c r="L13" i="3" s="1"/>
  <c r="B26" i="3"/>
  <c r="J26" i="3" s="1"/>
  <c r="C10" i="3"/>
  <c r="K10" i="3" s="1"/>
  <c r="D15" i="3"/>
  <c r="L15" i="3" s="1"/>
  <c r="AV3" i="2"/>
  <c r="AJ3" i="2"/>
  <c r="AI3" i="2"/>
  <c r="AL3" i="2"/>
  <c r="AU3" i="2"/>
  <c r="AK3" i="2"/>
  <c r="B10" i="3"/>
  <c r="J10" i="3" s="1"/>
  <c r="B18" i="3"/>
  <c r="J18" i="3" s="1"/>
  <c r="Z3" i="2"/>
  <c r="C18" i="3"/>
  <c r="K18" i="3" s="1"/>
  <c r="E20" i="3"/>
  <c r="M20" i="3" s="1"/>
  <c r="E12" i="3"/>
  <c r="M12" i="3" s="1"/>
  <c r="B3" i="3" l="1"/>
  <c r="J3" i="3" s="1"/>
  <c r="D3" i="3"/>
  <c r="L3" i="3" s="1"/>
  <c r="E3" i="3"/>
  <c r="M3" i="3" s="1"/>
  <c r="C3" i="3"/>
  <c r="K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<sst xmlns="http://schemas.openxmlformats.org/spreadsheetml/2006/main" count="7178" uniqueCount="1478">
  <si>
    <t>사번</t>
  </si>
  <si>
    <t>성명</t>
  </si>
  <si>
    <t>직위</t>
  </si>
  <si>
    <t>년</t>
  </si>
  <si>
    <t>월</t>
  </si>
  <si>
    <t>근무일수</t>
  </si>
  <si>
    <t>총근무시간_분</t>
  </si>
  <si>
    <t>초과근무시간_분</t>
  </si>
  <si>
    <t>주말근무일수</t>
  </si>
  <si>
    <t>총근무시간</t>
  </si>
  <si>
    <t>초과근무시간</t>
  </si>
  <si>
    <t>일평균근무시간</t>
  </si>
  <si>
    <t>예상정규근무시간</t>
  </si>
  <si>
    <t>근무시간차이</t>
  </si>
  <si>
    <t>윤상규</t>
  </si>
  <si>
    <t>기능주임</t>
  </si>
  <si>
    <t>추상민</t>
  </si>
  <si>
    <t>책임</t>
  </si>
  <si>
    <t>안준철</t>
  </si>
  <si>
    <t>15.400000000000006</t>
  </si>
  <si>
    <t>이범철</t>
  </si>
  <si>
    <t>19.599999999999994</t>
  </si>
  <si>
    <t>제용화</t>
  </si>
  <si>
    <t>41.30000000000001</t>
  </si>
  <si>
    <t>42.30000000000001</t>
  </si>
  <si>
    <t>문은진</t>
  </si>
  <si>
    <t>34.400000000000006</t>
  </si>
  <si>
    <t>21.400000000000006</t>
  </si>
  <si>
    <t>12.300000000000011</t>
  </si>
  <si>
    <t>정용규</t>
  </si>
  <si>
    <t>11.900000000000006</t>
  </si>
  <si>
    <t>39.400000000000006</t>
  </si>
  <si>
    <t>김주호</t>
  </si>
  <si>
    <t>김영준</t>
  </si>
  <si>
    <t>32.099999999999994</t>
  </si>
  <si>
    <t>이용재</t>
  </si>
  <si>
    <t>28.099999999999994</t>
  </si>
  <si>
    <t>18.599999999999994</t>
  </si>
  <si>
    <t>이호진</t>
  </si>
  <si>
    <t>강동현</t>
  </si>
  <si>
    <t>131.60000000000002</t>
  </si>
  <si>
    <t>37.900000000000006</t>
  </si>
  <si>
    <t>23.80000000000001</t>
  </si>
  <si>
    <t>엄중호</t>
  </si>
  <si>
    <t>김욱진</t>
  </si>
  <si>
    <t>28.900000000000006</t>
  </si>
  <si>
    <t>30.30000000000001</t>
  </si>
  <si>
    <t>16.099999999999994</t>
  </si>
  <si>
    <t>김동건</t>
  </si>
  <si>
    <t>46.099999999999994</t>
  </si>
  <si>
    <t>박승규</t>
  </si>
  <si>
    <t>31.19999999999999</t>
  </si>
  <si>
    <t>24.80000000000001</t>
  </si>
  <si>
    <t>19.400000000000006</t>
  </si>
  <si>
    <t>우승윤</t>
  </si>
  <si>
    <t>24.69999999999999</t>
  </si>
  <si>
    <t>이경우</t>
  </si>
  <si>
    <t>43.400000000000006</t>
  </si>
  <si>
    <t>35.69999999999999</t>
  </si>
  <si>
    <t>32.599999999999994</t>
  </si>
  <si>
    <t>이재식</t>
  </si>
  <si>
    <t>45.80000000000001</t>
  </si>
  <si>
    <t>황권식</t>
  </si>
  <si>
    <t>28.599999999999994</t>
  </si>
  <si>
    <t>박종철</t>
  </si>
  <si>
    <t>11.199999999999989</t>
  </si>
  <si>
    <t>양영주</t>
  </si>
  <si>
    <t>22.599999999999994</t>
  </si>
  <si>
    <t>18.80000000000001</t>
  </si>
  <si>
    <t>장길수</t>
  </si>
  <si>
    <t>38.400000000000006</t>
  </si>
  <si>
    <t>17.599999999999994</t>
  </si>
  <si>
    <t>이동구</t>
  </si>
  <si>
    <t>55.599999999999994</t>
  </si>
  <si>
    <t>김석수</t>
  </si>
  <si>
    <t>기능대리</t>
  </si>
  <si>
    <t>53.80000000000001</t>
  </si>
  <si>
    <t>정용선</t>
  </si>
  <si>
    <t>기능과장</t>
  </si>
  <si>
    <t>장성욱</t>
  </si>
  <si>
    <t>51.19999999999999</t>
  </si>
  <si>
    <t>45.599999999999994</t>
  </si>
  <si>
    <t>도윤희</t>
  </si>
  <si>
    <t>36.099999999999994</t>
  </si>
  <si>
    <t>48.900000000000006</t>
  </si>
  <si>
    <t>김주진</t>
  </si>
  <si>
    <t>25.80000000000001</t>
  </si>
  <si>
    <t>17.400000000000006</t>
  </si>
  <si>
    <t>박정현</t>
  </si>
  <si>
    <t>49.19999999999999</t>
  </si>
  <si>
    <t>이장희</t>
  </si>
  <si>
    <t>47.69999999999999</t>
  </si>
  <si>
    <t>44.80000000000001</t>
  </si>
  <si>
    <t>44.30000000000001</t>
  </si>
  <si>
    <t>심재덕</t>
  </si>
  <si>
    <t>50.69999999999999</t>
  </si>
  <si>
    <t>46.69999999999999</t>
  </si>
  <si>
    <t>오정민</t>
  </si>
  <si>
    <t>28.69999999999999</t>
  </si>
  <si>
    <t>19.900000000000006</t>
  </si>
  <si>
    <t>이대희</t>
  </si>
  <si>
    <t>47.80000000000001</t>
  </si>
  <si>
    <t>53.19999999999999</t>
  </si>
  <si>
    <t>38.69999999999999</t>
  </si>
  <si>
    <t>이주화</t>
  </si>
  <si>
    <t>43.69999999999999</t>
  </si>
  <si>
    <t>42.400000000000006</t>
  </si>
  <si>
    <t>29.19999999999999</t>
  </si>
  <si>
    <t>안창용</t>
  </si>
  <si>
    <t>6.400000000000006</t>
  </si>
  <si>
    <t>4.300000000000011</t>
  </si>
  <si>
    <t>8.599999999999994</t>
  </si>
  <si>
    <t>이재현</t>
  </si>
  <si>
    <t>23.19999999999999</t>
  </si>
  <si>
    <t>16.80000000000001</t>
  </si>
  <si>
    <t>박기수</t>
  </si>
  <si>
    <t>선임</t>
  </si>
  <si>
    <t>70.30000000000001</t>
  </si>
  <si>
    <t>신상훈</t>
  </si>
  <si>
    <t>56.400000000000006</t>
  </si>
  <si>
    <t>74.30000000000001</t>
  </si>
  <si>
    <t>53.69999999999999</t>
  </si>
  <si>
    <t>유호남</t>
  </si>
  <si>
    <t>65.80000000000001</t>
  </si>
  <si>
    <t>58.80000000000001</t>
  </si>
  <si>
    <t>박상진</t>
  </si>
  <si>
    <t>29.599999999999994</t>
  </si>
  <si>
    <t>조진웅</t>
  </si>
  <si>
    <t>양천광</t>
  </si>
  <si>
    <t>안국현</t>
  </si>
  <si>
    <t>114.30000000000001</t>
  </si>
  <si>
    <t>서동귀</t>
  </si>
  <si>
    <t>21.80000000000001</t>
  </si>
  <si>
    <t>정철우</t>
  </si>
  <si>
    <t>35.099999999999994</t>
  </si>
  <si>
    <t>17.900000000000006</t>
  </si>
  <si>
    <t>김진석</t>
  </si>
  <si>
    <t>6.700000000000003</t>
  </si>
  <si>
    <t>9.599999999999994</t>
  </si>
  <si>
    <t>박민규</t>
  </si>
  <si>
    <t>김지훈</t>
  </si>
  <si>
    <t>4.199999999999989</t>
  </si>
  <si>
    <t>22.30000000000001</t>
  </si>
  <si>
    <t>이종원</t>
  </si>
  <si>
    <t>이주용</t>
  </si>
  <si>
    <t>24.900000000000006</t>
  </si>
  <si>
    <t>22.900000000000006</t>
  </si>
  <si>
    <t>공태욱</t>
  </si>
  <si>
    <t>기능6급</t>
  </si>
  <si>
    <t>손용현</t>
  </si>
  <si>
    <t>20.599999999999994</t>
  </si>
  <si>
    <t>26.19999999999999</t>
  </si>
  <si>
    <t>10.099999999999994</t>
  </si>
  <si>
    <t>김윤규</t>
  </si>
  <si>
    <t>221.60000000000002</t>
  </si>
  <si>
    <t>정혜원</t>
  </si>
  <si>
    <t>1.2000000000000028</t>
  </si>
  <si>
    <t>김주원</t>
  </si>
  <si>
    <t>18.19999999999999</t>
  </si>
  <si>
    <t>김선미</t>
  </si>
  <si>
    <t>31.80000000000001</t>
  </si>
  <si>
    <t>28.30000000000001</t>
  </si>
  <si>
    <t>송현석</t>
  </si>
  <si>
    <t>27.80000000000001</t>
  </si>
  <si>
    <t>양정환</t>
  </si>
  <si>
    <t>40.900000000000006</t>
  </si>
  <si>
    <t>한대웅</t>
  </si>
  <si>
    <t>조승현</t>
  </si>
  <si>
    <t>45.099999999999994</t>
  </si>
  <si>
    <t>17.19999999999999</t>
  </si>
  <si>
    <t>이예리</t>
  </si>
  <si>
    <t>사원</t>
  </si>
  <si>
    <t>14.400000000000006</t>
  </si>
  <si>
    <t>16.900000000000006</t>
  </si>
  <si>
    <t>5.699999999999989</t>
  </si>
  <si>
    <t>조영준</t>
  </si>
  <si>
    <t>36.19999999999999</t>
  </si>
  <si>
    <t>51.599999999999994</t>
  </si>
  <si>
    <t>81.30000000000001</t>
  </si>
  <si>
    <t>최지훈</t>
  </si>
  <si>
    <t>22.099999999999994</t>
  </si>
  <si>
    <t>38.900000000000006</t>
  </si>
  <si>
    <t>박종욱</t>
  </si>
  <si>
    <t>49.900000000000006</t>
  </si>
  <si>
    <t>23.099999999999994</t>
  </si>
  <si>
    <t>15.300000000000011</t>
  </si>
  <si>
    <t>차지윤</t>
  </si>
  <si>
    <t>373.29999999999995</t>
  </si>
  <si>
    <t>서수현</t>
  </si>
  <si>
    <t>39.900000000000006</t>
  </si>
  <si>
    <t>36.69999999999999</t>
  </si>
  <si>
    <t>20.69999999999999</t>
  </si>
  <si>
    <t>박상훈</t>
  </si>
  <si>
    <t>30.69999999999999</t>
  </si>
  <si>
    <t>34.80000000000001</t>
  </si>
  <si>
    <t>류성근</t>
  </si>
  <si>
    <t>19.30000000000001</t>
  </si>
  <si>
    <t>8.700000000000003</t>
  </si>
  <si>
    <t>이동훈</t>
  </si>
  <si>
    <t>이무형</t>
  </si>
  <si>
    <t>김영욱</t>
  </si>
  <si>
    <t>1.8000000000000114</t>
  </si>
  <si>
    <t>김명진</t>
  </si>
  <si>
    <t>23.900000000000006</t>
  </si>
  <si>
    <t>나진수</t>
  </si>
  <si>
    <t>18.900000000000006</t>
  </si>
  <si>
    <t>성열민</t>
  </si>
  <si>
    <t>42.599999999999994</t>
  </si>
  <si>
    <t>권순욱</t>
  </si>
  <si>
    <t>이기혁</t>
  </si>
  <si>
    <t>강동영</t>
  </si>
  <si>
    <t>이재혁</t>
  </si>
  <si>
    <t>8.099999999999994</t>
  </si>
  <si>
    <t>김재만</t>
  </si>
  <si>
    <t>정종현</t>
  </si>
  <si>
    <t>43.599999999999994</t>
  </si>
  <si>
    <t>26.69999999999999</t>
  </si>
  <si>
    <t>정성민</t>
  </si>
  <si>
    <t>서성환</t>
  </si>
  <si>
    <t>19.099999999999994</t>
  </si>
  <si>
    <t>21.30000000000001</t>
  </si>
  <si>
    <t>김병주</t>
  </si>
  <si>
    <t>최문석</t>
  </si>
  <si>
    <t>이종성</t>
  </si>
  <si>
    <t>박기범</t>
  </si>
  <si>
    <t>72.80000000000001</t>
  </si>
  <si>
    <t>남동식</t>
  </si>
  <si>
    <t>김운배</t>
  </si>
  <si>
    <t>10.699999999999989</t>
  </si>
  <si>
    <t>허재영</t>
  </si>
  <si>
    <t>심재원</t>
  </si>
  <si>
    <t>양재석</t>
  </si>
  <si>
    <t>정기성</t>
  </si>
  <si>
    <t>29.400000000000006</t>
  </si>
  <si>
    <t>13.199999999999989</t>
  </si>
  <si>
    <t>김영모</t>
  </si>
  <si>
    <t>110.80000000000001</t>
  </si>
  <si>
    <t>배진형</t>
  </si>
  <si>
    <t>2.1999999999999993</t>
  </si>
  <si>
    <t>3.6000000000000014</t>
  </si>
  <si>
    <t>박종호</t>
  </si>
  <si>
    <t>52.19999999999999</t>
  </si>
  <si>
    <t>30.900000000000006</t>
  </si>
  <si>
    <t>손성우</t>
  </si>
  <si>
    <t>82.30000000000001</t>
  </si>
  <si>
    <t>12.400000000000006</t>
  </si>
  <si>
    <t>김진수</t>
  </si>
  <si>
    <t>27.099999999999994</t>
  </si>
  <si>
    <t>24.30000000000001</t>
  </si>
  <si>
    <t>이중희</t>
  </si>
  <si>
    <t>46.900000000000006</t>
  </si>
  <si>
    <t>32.900000000000006</t>
  </si>
  <si>
    <t>김용섭</t>
  </si>
  <si>
    <t>33.80000000000001</t>
  </si>
  <si>
    <t>14.800000000000011</t>
  </si>
  <si>
    <t>이병윤</t>
  </si>
  <si>
    <t>39.599999999999994</t>
  </si>
  <si>
    <t>42.900000000000006</t>
  </si>
  <si>
    <t>39.099999999999994</t>
  </si>
  <si>
    <t>이화주</t>
  </si>
  <si>
    <t>37.69999999999999</t>
  </si>
  <si>
    <t>22.80000000000001</t>
  </si>
  <si>
    <t>이민희</t>
  </si>
  <si>
    <t>11.400000000000006</t>
  </si>
  <si>
    <t>20.80000000000001</t>
  </si>
  <si>
    <t>김홍민</t>
  </si>
  <si>
    <t>8.400000000000006</t>
  </si>
  <si>
    <t>11.599999999999994</t>
  </si>
  <si>
    <t>10.900000000000006</t>
  </si>
  <si>
    <t>전현하</t>
  </si>
  <si>
    <t>9.300000000000011</t>
  </si>
  <si>
    <t>16.19999999999999</t>
  </si>
  <si>
    <t>21.799999999999997</t>
  </si>
  <si>
    <t>여성호</t>
  </si>
  <si>
    <t>5.599999999999994</t>
  </si>
  <si>
    <t>이세리</t>
  </si>
  <si>
    <t>41.900000000000006</t>
  </si>
  <si>
    <t>38.30000000000001</t>
  </si>
  <si>
    <t>김용신</t>
  </si>
  <si>
    <t>440.20000000000005</t>
  </si>
  <si>
    <t>예송</t>
  </si>
  <si>
    <t>51.69999999999999</t>
  </si>
  <si>
    <t>이승효</t>
  </si>
  <si>
    <t>51.099999999999994</t>
  </si>
  <si>
    <t>13.599999999999994</t>
  </si>
  <si>
    <t>박용승</t>
  </si>
  <si>
    <t>55.69999999999999</t>
  </si>
  <si>
    <t>53.400000000000006</t>
  </si>
  <si>
    <t>57.69999999999999</t>
  </si>
  <si>
    <t>류병훈</t>
  </si>
  <si>
    <t>66.19999999999999</t>
  </si>
  <si>
    <t>54.099999999999994</t>
  </si>
  <si>
    <t>정영주</t>
  </si>
  <si>
    <t>152.39999999999998</t>
  </si>
  <si>
    <t>54.30000000000001</t>
  </si>
  <si>
    <t>이소영</t>
  </si>
  <si>
    <t>19.69999999999999</t>
  </si>
  <si>
    <t>데니스</t>
  </si>
  <si>
    <t>29.900000000000006</t>
  </si>
  <si>
    <t>33.599999999999994</t>
  </si>
  <si>
    <t>16.599999999999994</t>
  </si>
  <si>
    <t>박수진</t>
  </si>
  <si>
    <t>15.900000000000006</t>
  </si>
  <si>
    <t>19.80000000000001</t>
  </si>
  <si>
    <t>10.400000000000006</t>
  </si>
  <si>
    <t>김재기</t>
  </si>
  <si>
    <t>13.699999999999989</t>
  </si>
  <si>
    <t>김라성</t>
  </si>
  <si>
    <t>김하나</t>
  </si>
  <si>
    <t>34.19999999999999</t>
  </si>
  <si>
    <t>김장권</t>
  </si>
  <si>
    <t>2.200000000000003</t>
  </si>
  <si>
    <t>진주현</t>
  </si>
  <si>
    <t>최동호</t>
  </si>
  <si>
    <t>31.099999999999994</t>
  </si>
  <si>
    <t>41.099999999999994</t>
  </si>
  <si>
    <t>서귀옥</t>
  </si>
  <si>
    <t>김규진</t>
  </si>
  <si>
    <t>62.599999999999994</t>
  </si>
  <si>
    <t>배준호</t>
  </si>
  <si>
    <t>13.400000000000006</t>
  </si>
  <si>
    <t>신중현</t>
  </si>
  <si>
    <t>4.400000000000006</t>
  </si>
  <si>
    <t>6.199999999999989</t>
  </si>
  <si>
    <t>김성우</t>
  </si>
  <si>
    <t>35.400000000000006</t>
  </si>
  <si>
    <t>56.69999999999999</t>
  </si>
  <si>
    <t>8.800000000000011</t>
  </si>
  <si>
    <t>박재문</t>
  </si>
  <si>
    <t>이진경</t>
  </si>
  <si>
    <t>12.800000000000011</t>
  </si>
  <si>
    <t>7.300000000000011</t>
  </si>
  <si>
    <t>이한솔</t>
  </si>
  <si>
    <t>44.69999999999999</t>
  </si>
  <si>
    <t>27.400000000000006</t>
  </si>
  <si>
    <t>이승보</t>
  </si>
  <si>
    <t>76.30000000000001</t>
  </si>
  <si>
    <t>52.80000000000001</t>
  </si>
  <si>
    <t>정기연</t>
  </si>
  <si>
    <t>24.599999999999994</t>
  </si>
  <si>
    <t>배성한</t>
  </si>
  <si>
    <t>22.400000000000006</t>
  </si>
  <si>
    <t>23.30000000000001</t>
  </si>
  <si>
    <t>12.099999999999994</t>
  </si>
  <si>
    <t>김현철</t>
  </si>
  <si>
    <t>14.900000000000006</t>
  </si>
  <si>
    <t>서준만</t>
  </si>
  <si>
    <t>23.69999999999999</t>
  </si>
  <si>
    <t>김준영</t>
  </si>
  <si>
    <t>146.89999999999998</t>
  </si>
  <si>
    <t>13.700000000000003</t>
  </si>
  <si>
    <t>김준혁</t>
  </si>
  <si>
    <t>정경태</t>
  </si>
  <si>
    <t>7.599999999999994</t>
  </si>
  <si>
    <t>조가람</t>
  </si>
  <si>
    <t>112.69999999999999</t>
  </si>
  <si>
    <t>83.69999999999999</t>
  </si>
  <si>
    <t>34.30000000000001</t>
  </si>
  <si>
    <t>김중모</t>
  </si>
  <si>
    <t>26.599999999999994</t>
  </si>
  <si>
    <t>29.30000000000001</t>
  </si>
  <si>
    <t>김일경</t>
  </si>
  <si>
    <t>39.30000000000001</t>
  </si>
  <si>
    <t>34.69999999999999</t>
  </si>
  <si>
    <t>임민준</t>
  </si>
  <si>
    <t>30.80000000000001</t>
  </si>
  <si>
    <t>0.5999999999999943</t>
  </si>
  <si>
    <t>정만주</t>
  </si>
  <si>
    <t>48.30000000000001</t>
  </si>
  <si>
    <t>고경록</t>
  </si>
  <si>
    <t>31.599999999999994</t>
  </si>
  <si>
    <t>김무진</t>
  </si>
  <si>
    <t>조수빈</t>
  </si>
  <si>
    <t>11.099999999999994</t>
  </si>
  <si>
    <t>안수진</t>
  </si>
  <si>
    <t>7.900000000000006</t>
  </si>
  <si>
    <t>이재훈</t>
  </si>
  <si>
    <t>17.799999999999997</t>
  </si>
  <si>
    <t>36.400000000000006</t>
  </si>
  <si>
    <t>15.800000000000011</t>
  </si>
  <si>
    <t>정은영</t>
  </si>
  <si>
    <t>43.19999999999999</t>
  </si>
  <si>
    <t>9.199999999999989</t>
  </si>
  <si>
    <t>진미영</t>
  </si>
  <si>
    <t>12.900000000000006</t>
  </si>
  <si>
    <t>정다훈</t>
  </si>
  <si>
    <t>윤동민</t>
  </si>
  <si>
    <t>5.400000000000006</t>
  </si>
  <si>
    <t>38.599999999999994</t>
  </si>
  <si>
    <t>이재성</t>
  </si>
  <si>
    <t>한성연</t>
  </si>
  <si>
    <t>40.30000000000001</t>
  </si>
  <si>
    <t>박성우</t>
  </si>
  <si>
    <t>0.4000000000000057</t>
  </si>
  <si>
    <t>류동성</t>
  </si>
  <si>
    <t>75.19999999999999</t>
  </si>
  <si>
    <t>60.099999999999994</t>
  </si>
  <si>
    <t>36.900000000000006</t>
  </si>
  <si>
    <t>정현준</t>
  </si>
  <si>
    <t>60.900000000000006</t>
  </si>
  <si>
    <t>서지연</t>
  </si>
  <si>
    <t>11.800000000000011</t>
  </si>
  <si>
    <t>박해남</t>
  </si>
  <si>
    <t>26.30000000000001</t>
  </si>
  <si>
    <t>25.400000000000006</t>
  </si>
  <si>
    <t>김경훈</t>
  </si>
  <si>
    <t>김현진</t>
  </si>
  <si>
    <t>3.4000000000000057</t>
  </si>
  <si>
    <t>0.7999999999999972</t>
  </si>
  <si>
    <t>백지연</t>
  </si>
  <si>
    <t>27.19999999999999</t>
  </si>
  <si>
    <t>심훈섭</t>
  </si>
  <si>
    <t>11.799999999999997</t>
  </si>
  <si>
    <t>박진표</t>
  </si>
  <si>
    <t>김태훈</t>
  </si>
  <si>
    <t>20.400000000000006</t>
  </si>
  <si>
    <t>김동우</t>
  </si>
  <si>
    <t>35.599999999999994</t>
  </si>
  <si>
    <t>38.80000000000001</t>
  </si>
  <si>
    <t>김만호</t>
  </si>
  <si>
    <t>60.80000000000001</t>
  </si>
  <si>
    <t>서갑진</t>
  </si>
  <si>
    <t>5.800000000000011</t>
  </si>
  <si>
    <t>임다혜</t>
  </si>
  <si>
    <t>43.900000000000006</t>
  </si>
  <si>
    <t>부성원</t>
  </si>
  <si>
    <t>10.199999999999989</t>
  </si>
  <si>
    <t>박진형</t>
  </si>
  <si>
    <t>33.400000000000006</t>
  </si>
  <si>
    <t>이채림</t>
  </si>
  <si>
    <t>45.19999999999999</t>
  </si>
  <si>
    <t>15.199999999999989</t>
  </si>
  <si>
    <t>이현수</t>
  </si>
  <si>
    <t>147.89999999999998</t>
  </si>
  <si>
    <t>72.19999999999999</t>
  </si>
  <si>
    <t>서정훈</t>
  </si>
  <si>
    <t>16.69999999999999</t>
  </si>
  <si>
    <t>22.69999999999999</t>
  </si>
  <si>
    <t>강권택</t>
  </si>
  <si>
    <t>14.300000000000011</t>
  </si>
  <si>
    <t>정석인</t>
  </si>
  <si>
    <t>45.69999999999999</t>
  </si>
  <si>
    <t>전민</t>
  </si>
  <si>
    <t>손재홍</t>
  </si>
  <si>
    <t>정민형</t>
  </si>
  <si>
    <t>26.299999999999997</t>
  </si>
  <si>
    <t>18.400000000000006</t>
  </si>
  <si>
    <t>오이정</t>
  </si>
  <si>
    <t>26.80000000000001</t>
  </si>
  <si>
    <t>한민규</t>
  </si>
  <si>
    <t>신혜진</t>
  </si>
  <si>
    <t>김시원</t>
  </si>
  <si>
    <t>40.400000000000006</t>
  </si>
  <si>
    <t>56.19999999999999</t>
  </si>
  <si>
    <t>윤서진</t>
  </si>
  <si>
    <t>18.700000000000003</t>
  </si>
  <si>
    <t>이건우</t>
  </si>
  <si>
    <t>18.69999999999999</t>
  </si>
  <si>
    <t>42.80000000000001</t>
  </si>
  <si>
    <t>채명길</t>
  </si>
  <si>
    <t>40.099999999999994</t>
  </si>
  <si>
    <t>김현민</t>
  </si>
  <si>
    <t>24.400000000000006</t>
  </si>
  <si>
    <t>류지훈</t>
  </si>
  <si>
    <t>최규빈</t>
  </si>
  <si>
    <t>김종완</t>
  </si>
  <si>
    <t>1.6000000000000014</t>
  </si>
  <si>
    <t>박세환</t>
  </si>
  <si>
    <t>37.19999999999999</t>
  </si>
  <si>
    <t>52.400000000000006</t>
  </si>
  <si>
    <t>이준호</t>
  </si>
  <si>
    <t>31.30000000000001</t>
  </si>
  <si>
    <t>27.30000000000001</t>
  </si>
  <si>
    <t>이원재</t>
  </si>
  <si>
    <t>69.69999999999999</t>
  </si>
  <si>
    <t>37.80000000000001</t>
  </si>
  <si>
    <t>이승현</t>
  </si>
  <si>
    <t>7.700000000000003</t>
  </si>
  <si>
    <t>이호준</t>
  </si>
  <si>
    <t>73.19999999999999</t>
  </si>
  <si>
    <t>유나경</t>
  </si>
  <si>
    <t>고민정</t>
  </si>
  <si>
    <t>9.900000000000006</t>
  </si>
  <si>
    <t>9.800000000000011</t>
  </si>
  <si>
    <t>김성민</t>
  </si>
  <si>
    <t>13.799999999999997</t>
  </si>
  <si>
    <t>임창헌</t>
  </si>
  <si>
    <t>문성철</t>
  </si>
  <si>
    <t>59.599999999999994</t>
  </si>
  <si>
    <t>49.099999999999994</t>
  </si>
  <si>
    <t>심지빈</t>
  </si>
  <si>
    <t>12.599999999999994</t>
  </si>
  <si>
    <t>정주영</t>
  </si>
  <si>
    <t>82.69999999999999</t>
  </si>
  <si>
    <t>박세정</t>
  </si>
  <si>
    <t>1.7000000000000028</t>
  </si>
  <si>
    <t>김찬호</t>
  </si>
  <si>
    <t>48.599999999999994</t>
  </si>
  <si>
    <t>정인영</t>
  </si>
  <si>
    <t>67.19999999999999</t>
  </si>
  <si>
    <t>황준수</t>
  </si>
  <si>
    <t>32.19999999999999</t>
  </si>
  <si>
    <t>안상준</t>
  </si>
  <si>
    <t>김환</t>
  </si>
  <si>
    <t>41.19999999999999</t>
  </si>
  <si>
    <t>57.099999999999994</t>
  </si>
  <si>
    <t>김경영</t>
  </si>
  <si>
    <t>54.599999999999994</t>
  </si>
  <si>
    <t>이창화</t>
  </si>
  <si>
    <t>32.80000000000001</t>
  </si>
  <si>
    <t>정부용</t>
  </si>
  <si>
    <t>50.400000000000006</t>
  </si>
  <si>
    <t>권민정</t>
  </si>
  <si>
    <t>29.80000000000001</t>
  </si>
  <si>
    <t>최민석</t>
  </si>
  <si>
    <t>박소희</t>
  </si>
  <si>
    <t>최성용</t>
  </si>
  <si>
    <t>25.599999999999994</t>
  </si>
  <si>
    <t>8.699999999999989</t>
  </si>
  <si>
    <t>신디</t>
  </si>
  <si>
    <t>31.900000000000006</t>
  </si>
  <si>
    <t>25.30000000000001</t>
  </si>
  <si>
    <t>자보히르</t>
  </si>
  <si>
    <t>26.400000000000006</t>
  </si>
  <si>
    <t>19.19999999999999</t>
  </si>
  <si>
    <t>허세린</t>
  </si>
  <si>
    <t>민경록</t>
  </si>
  <si>
    <t>26.099999999999994</t>
  </si>
  <si>
    <t>박준호</t>
  </si>
  <si>
    <t>57.900000000000006</t>
  </si>
  <si>
    <t>박성원</t>
  </si>
  <si>
    <t>58.19999999999999</t>
  </si>
  <si>
    <t>46.30000000000001</t>
  </si>
  <si>
    <t>양은혜</t>
  </si>
  <si>
    <t>김정현</t>
  </si>
  <si>
    <t>10.799999999999997</t>
  </si>
  <si>
    <t>조해정</t>
  </si>
  <si>
    <t>48.19999999999999</t>
  </si>
  <si>
    <t>최재원</t>
  </si>
  <si>
    <t>26.900000000000006</t>
  </si>
  <si>
    <t>3.6999999999999886</t>
  </si>
  <si>
    <t>정연우</t>
  </si>
  <si>
    <t>24.19999999999999</t>
  </si>
  <si>
    <t>임지은</t>
  </si>
  <si>
    <t>김종민</t>
  </si>
  <si>
    <t>6.599999999999994</t>
  </si>
  <si>
    <t>29.099999999999994</t>
  </si>
  <si>
    <t>이승철</t>
  </si>
  <si>
    <t>10.599999999999994</t>
  </si>
  <si>
    <t>국인웅</t>
  </si>
  <si>
    <t>35.19999999999999</t>
  </si>
  <si>
    <t>장서연</t>
  </si>
  <si>
    <t>13.900000000000006</t>
  </si>
  <si>
    <t>안영욱</t>
  </si>
  <si>
    <t>56.099999999999994</t>
  </si>
  <si>
    <t>홍성열</t>
  </si>
  <si>
    <t>이창진</t>
  </si>
  <si>
    <t>정시윤</t>
  </si>
  <si>
    <t>8.799999999999997</t>
  </si>
  <si>
    <t>0.9000000000000057</t>
  </si>
  <si>
    <t>박진수</t>
  </si>
  <si>
    <t>권형기</t>
  </si>
  <si>
    <t>23.799999999999997</t>
  </si>
  <si>
    <t>10.700000000000003</t>
  </si>
  <si>
    <t>구도훈</t>
  </si>
  <si>
    <t>최재혁</t>
  </si>
  <si>
    <t>3.200000000000003</t>
  </si>
  <si>
    <t>27.599999999999994</t>
  </si>
  <si>
    <t>김도환</t>
  </si>
  <si>
    <t>윤종문</t>
  </si>
  <si>
    <t>김태휘</t>
  </si>
  <si>
    <t>47.099999999999994</t>
  </si>
  <si>
    <t>장일하</t>
  </si>
  <si>
    <t>6.099999999999994</t>
  </si>
  <si>
    <t>2.799999999999997</t>
  </si>
  <si>
    <t>박성배</t>
  </si>
  <si>
    <t>59.80000000000001</t>
  </si>
  <si>
    <t>41.69999999999999</t>
  </si>
  <si>
    <t>김영관</t>
  </si>
  <si>
    <t>37.400000000000006</t>
  </si>
  <si>
    <t>안재우</t>
  </si>
  <si>
    <t>30.599999999999994</t>
  </si>
  <si>
    <t>18.200000000000003</t>
  </si>
  <si>
    <t>이장원</t>
  </si>
  <si>
    <t>22.19999999999999</t>
  </si>
  <si>
    <t>진정학</t>
  </si>
  <si>
    <t>이현민</t>
  </si>
  <si>
    <t>2.1000000000000014</t>
  </si>
  <si>
    <t>G221050</t>
  </si>
  <si>
    <t>G221072</t>
  </si>
  <si>
    <t>G221073</t>
  </si>
  <si>
    <t>G221074</t>
  </si>
  <si>
    <t>G221088</t>
  </si>
  <si>
    <t>G221091</t>
  </si>
  <si>
    <t>G221093</t>
  </si>
  <si>
    <t>G221095</t>
  </si>
  <si>
    <t>G221096</t>
  </si>
  <si>
    <t>G221119</t>
  </si>
  <si>
    <t>G222012</t>
  </si>
  <si>
    <t>G222013</t>
  </si>
  <si>
    <t>G222016</t>
  </si>
  <si>
    <t>G222018</t>
  </si>
  <si>
    <t>G222025</t>
  </si>
  <si>
    <t>G223003</t>
  </si>
  <si>
    <t>G223004</t>
  </si>
  <si>
    <t>G223009</t>
  </si>
  <si>
    <t>G223010</t>
  </si>
  <si>
    <t>G223011</t>
  </si>
  <si>
    <t>G223012</t>
  </si>
  <si>
    <t>G223016</t>
  </si>
  <si>
    <t>G223041</t>
  </si>
  <si>
    <t>G223042</t>
  </si>
  <si>
    <t>G223046</t>
  </si>
  <si>
    <t>G223047</t>
  </si>
  <si>
    <t>G223050</t>
  </si>
  <si>
    <t>G223051</t>
  </si>
  <si>
    <t>G223063</t>
  </si>
  <si>
    <t>G223064</t>
  </si>
  <si>
    <t>G223065</t>
  </si>
  <si>
    <t>G223072</t>
  </si>
  <si>
    <t>G223073</t>
  </si>
  <si>
    <t>G223074</t>
  </si>
  <si>
    <t>G223078</t>
  </si>
  <si>
    <t>G223079</t>
  </si>
  <si>
    <t>G223082</t>
  </si>
  <si>
    <t>G223083</t>
  </si>
  <si>
    <t>G223084</t>
  </si>
  <si>
    <t>G223176</t>
  </si>
  <si>
    <t>G223381</t>
  </si>
  <si>
    <t>G223386</t>
  </si>
  <si>
    <t>G223392</t>
  </si>
  <si>
    <t>G223394</t>
  </si>
  <si>
    <t>G223395</t>
  </si>
  <si>
    <t>G223396</t>
  </si>
  <si>
    <t>G223397</t>
  </si>
  <si>
    <t>G223412</t>
  </si>
  <si>
    <t>G224003</t>
  </si>
  <si>
    <t>G224004</t>
  </si>
  <si>
    <t>G224005</t>
  </si>
  <si>
    <t>G224007</t>
  </si>
  <si>
    <t>G224008</t>
  </si>
  <si>
    <t>G224009</t>
  </si>
  <si>
    <t>G224014</t>
  </si>
  <si>
    <t>G224015</t>
  </si>
  <si>
    <t>G224017</t>
  </si>
  <si>
    <t>G224047</t>
  </si>
  <si>
    <t>G224048</t>
  </si>
  <si>
    <t>G224049</t>
  </si>
  <si>
    <t>G224052</t>
  </si>
  <si>
    <t>G224053</t>
  </si>
  <si>
    <t>G224068</t>
  </si>
  <si>
    <t>G224078</t>
  </si>
  <si>
    <t>G224098</t>
  </si>
  <si>
    <t>G224099</t>
  </si>
  <si>
    <t>G224105</t>
  </si>
  <si>
    <t>G224109</t>
  </si>
  <si>
    <t>G225005</t>
  </si>
  <si>
    <t>G225006</t>
  </si>
  <si>
    <t>G225007</t>
  </si>
  <si>
    <t>G225008</t>
  </si>
  <si>
    <t>G225014</t>
  </si>
  <si>
    <t>G225022</t>
  </si>
  <si>
    <t>G225023</t>
  </si>
  <si>
    <t>G225026</t>
  </si>
  <si>
    <t>G225027</t>
  </si>
  <si>
    <t>G225043</t>
  </si>
  <si>
    <t>G225044</t>
  </si>
  <si>
    <t>G225045</t>
  </si>
  <si>
    <t>G225046</t>
  </si>
  <si>
    <t>G225047</t>
  </si>
  <si>
    <t>G225048</t>
  </si>
  <si>
    <t>G225049</t>
  </si>
  <si>
    <t>G225051</t>
  </si>
  <si>
    <t>이름</t>
    <phoneticPr fontId="18" type="noConversion"/>
  </si>
  <si>
    <t>사번</t>
    <phoneticPr fontId="18" type="noConversion"/>
  </si>
  <si>
    <t>팀</t>
  </si>
  <si>
    <t>팀</t>
    <phoneticPr fontId="18" type="noConversion"/>
  </si>
  <si>
    <t>직급</t>
    <phoneticPr fontId="18" type="noConversion"/>
  </si>
  <si>
    <t>전체</t>
  </si>
  <si>
    <t>전체</t>
    <phoneticPr fontId="18" type="noConversion"/>
  </si>
  <si>
    <t>근무시간</t>
    <phoneticPr fontId="18" type="noConversion"/>
  </si>
  <si>
    <t>정규근무일수</t>
    <phoneticPr fontId="18" type="noConversion"/>
  </si>
  <si>
    <t>6월 총근무시간</t>
    <phoneticPr fontId="18" type="noConversion"/>
  </si>
  <si>
    <t>책임</t>
    <phoneticPr fontId="18" type="noConversion"/>
  </si>
  <si>
    <t>선임</t>
    <phoneticPr fontId="18" type="noConversion"/>
  </si>
  <si>
    <t>사원</t>
    <phoneticPr fontId="18" type="noConversion"/>
  </si>
  <si>
    <t>7월 총근무시간</t>
    <phoneticPr fontId="18" type="noConversion"/>
  </si>
  <si>
    <t>8월 총근무시간</t>
    <phoneticPr fontId="18" type="noConversion"/>
  </si>
  <si>
    <t>6월 평균근무일수</t>
    <phoneticPr fontId="18" type="noConversion"/>
  </si>
  <si>
    <t>기준근무시간</t>
    <phoneticPr fontId="18" type="noConversion"/>
  </si>
  <si>
    <t>6월 FTE</t>
    <phoneticPr fontId="18" type="noConversion"/>
  </si>
  <si>
    <t>7월 FTE</t>
    <phoneticPr fontId="18" type="noConversion"/>
  </si>
  <si>
    <t>8월 FTE</t>
    <phoneticPr fontId="18" type="noConversion"/>
  </si>
  <si>
    <t>현재 인원수</t>
    <phoneticPr fontId="18" type="noConversion"/>
  </si>
  <si>
    <t>통합</t>
    <phoneticPr fontId="18" type="noConversion"/>
  </si>
  <si>
    <t>FTE/인원수</t>
    <phoneticPr fontId="18" type="noConversion"/>
  </si>
  <si>
    <t>7월 평균근무일수</t>
    <phoneticPr fontId="18" type="noConversion"/>
  </si>
  <si>
    <t>8월 평균근무일수</t>
    <phoneticPr fontId="18" type="noConversion"/>
  </si>
  <si>
    <t>평균 FTE (6월 ~ 8월)</t>
    <phoneticPr fontId="18" type="noConversion"/>
  </si>
  <si>
    <t>NO</t>
    <phoneticPr fontId="18" type="noConversion"/>
  </si>
  <si>
    <t>소속</t>
    <phoneticPr fontId="18" type="noConversion"/>
  </si>
  <si>
    <t>직종</t>
    <phoneticPr fontId="18" type="noConversion"/>
  </si>
  <si>
    <t>직원구분</t>
    <phoneticPr fontId="18" type="noConversion"/>
  </si>
  <si>
    <t>사업본부</t>
    <phoneticPr fontId="18" type="noConversion"/>
  </si>
  <si>
    <t>부서명</t>
    <phoneticPr fontId="18" type="noConversion"/>
  </si>
  <si>
    <t>그룹입사일</t>
    <phoneticPr fontId="18" type="noConversion"/>
  </si>
  <si>
    <t>차직급승진일</t>
    <phoneticPr fontId="18" type="noConversion"/>
  </si>
  <si>
    <t>이메일</t>
    <phoneticPr fontId="18" type="noConversion"/>
  </si>
  <si>
    <t>일반직</t>
  </si>
  <si>
    <t>정규직</t>
  </si>
  <si>
    <t>노동조합</t>
  </si>
  <si>
    <t>G1</t>
  </si>
  <si>
    <t>gwiok0156@hsrna.com</t>
  </si>
  <si>
    <t>*사외이사, 별정직, 계약직 제외</t>
    <phoneticPr fontId="18" type="noConversion"/>
  </si>
  <si>
    <t>㈜화승R&amp;A</t>
  </si>
  <si>
    <t>대표이사</t>
  </si>
  <si>
    <t>E5</t>
  </si>
  <si>
    <t>HARRY@hsrna.com</t>
  </si>
  <si>
    <t>기술연구본부</t>
  </si>
  <si>
    <t>E2</t>
  </si>
  <si>
    <t>KY4050@hsrna.com</t>
  </si>
  <si>
    <t>생산기술센터</t>
  </si>
  <si>
    <t>EP</t>
  </si>
  <si>
    <t>POBY@hsrna.com</t>
  </si>
  <si>
    <t>생산기술실</t>
  </si>
  <si>
    <t>UDCHOI@hsrna.com</t>
  </si>
  <si>
    <t>선행개발실</t>
  </si>
  <si>
    <t>G5</t>
  </si>
  <si>
    <t>KIMYJ@hsrna.com</t>
  </si>
  <si>
    <t>공정혁신팀</t>
  </si>
  <si>
    <t>JHPARK04@hsrna.com</t>
  </si>
  <si>
    <t>SL생산기술팀</t>
  </si>
  <si>
    <t>YKJEONG@hsrna.com</t>
  </si>
  <si>
    <t>FL생산기술팀</t>
  </si>
  <si>
    <t>G4</t>
  </si>
  <si>
    <t>DLDYWO@hsrna.com</t>
  </si>
  <si>
    <t>FEJJANG@hsrna.com</t>
  </si>
  <si>
    <t>선행개발팀</t>
  </si>
  <si>
    <t>BAROMETER@hsrna.com</t>
  </si>
  <si>
    <t>SL설계팀</t>
  </si>
  <si>
    <t>ZERONIUM@hsrna.com</t>
  </si>
  <si>
    <t>FL설계팀</t>
  </si>
  <si>
    <t>SAILSHIP@hsrna.com</t>
  </si>
  <si>
    <t>성능개발팀</t>
  </si>
  <si>
    <t>RMSKF999@hsrna.com</t>
  </si>
  <si>
    <t>KYK0082@hsrna.com</t>
  </si>
  <si>
    <t>제조자동화팀</t>
  </si>
  <si>
    <t>sjm8798@hsrna.com</t>
  </si>
  <si>
    <t>cho12cho@hsrna.com</t>
  </si>
  <si>
    <t>LEEJS2577@hsrna.com</t>
  </si>
  <si>
    <t>KIBUM6544@hsrna.com</t>
  </si>
  <si>
    <t>JINH14@hsrna.com</t>
  </si>
  <si>
    <t>YOUNGJU1983@HSRNA.COM</t>
  </si>
  <si>
    <t>DENIZ2016@hsrna.com</t>
  </si>
  <si>
    <t>jhchin22@hsrna.com</t>
  </si>
  <si>
    <t>jhshin@hsrna.com</t>
  </si>
  <si>
    <t>KIMWJ@hsrna.com</t>
  </si>
  <si>
    <t>G3</t>
  </si>
  <si>
    <t>BJ4203@hsrna.com</t>
  </si>
  <si>
    <t>wespe@hsrna.com</t>
  </si>
  <si>
    <t>ckdejr1000@hsrna.com</t>
  </si>
  <si>
    <t>JKWON@hsrna.com</t>
  </si>
  <si>
    <t>elastomer89@hsrna.com</t>
  </si>
  <si>
    <t>SFILIAL3@hsrna.com</t>
  </si>
  <si>
    <t>KHM7512@hsrna.com</t>
  </si>
  <si>
    <t>PJD88@hsrna.com</t>
  </si>
  <si>
    <t>SJW@hsrna.com</t>
  </si>
  <si>
    <t>SHART1020@hsrna.com</t>
  </si>
  <si>
    <t>KUB123@hsrna.com</t>
  </si>
  <si>
    <t>mhkim@hsrna.com</t>
  </si>
  <si>
    <t>ghksl18@hsrna.com</t>
  </si>
  <si>
    <t>JYCHA@hsrna.com</t>
  </si>
  <si>
    <t>HSUK1016@hsrna.com</t>
  </si>
  <si>
    <t>LMH4067@hsrna.com</t>
  </si>
  <si>
    <t>kyw@hsrna.com</t>
  </si>
  <si>
    <t>jbae@hsrna.com</t>
  </si>
  <si>
    <t>BGD92@hsrna.com</t>
  </si>
  <si>
    <t>SASEUMIDA11@hsrna.com</t>
  </si>
  <si>
    <t>NDS0806@hsrna.com</t>
  </si>
  <si>
    <t>G2</t>
  </si>
  <si>
    <t>SUNG7825@hsrna.com</t>
  </si>
  <si>
    <t>sg.kim@hsrna.com</t>
  </si>
  <si>
    <t>PJH0226@hsrna.com</t>
  </si>
  <si>
    <t>gmali@hsrna.com</t>
  </si>
  <si>
    <t>jine91@hsrna.com</t>
  </si>
  <si>
    <t>yu.an@hsrna.com</t>
  </si>
  <si>
    <t>whygs0508@hsrna.com</t>
  </si>
  <si>
    <t>kghk8642@hsrna.com</t>
  </si>
  <si>
    <t>ehdrbs2406@hsrna.com</t>
  </si>
  <si>
    <t>wlstn0817@hsrna.com</t>
  </si>
  <si>
    <t>jhlee720@hsrna.com</t>
  </si>
  <si>
    <t>lcj1509@hsrna.com</t>
  </si>
  <si>
    <t>chj0914@hsrna.com</t>
  </si>
  <si>
    <t>cg.kim@hsrna.com</t>
  </si>
  <si>
    <t>whgus8989@hsrna.com</t>
  </si>
  <si>
    <t>ansj5746@hsrna.com</t>
  </si>
  <si>
    <t>tk.sung@hsrna.com</t>
  </si>
  <si>
    <t>jihoon4174@hsrna.com</t>
  </si>
  <si>
    <t>kka9494@hsrna.com</t>
  </si>
  <si>
    <t>greenmhy@hsrna.com</t>
  </si>
  <si>
    <t>kgh950505@hsrna.com</t>
  </si>
  <si>
    <t>hjaay77@hsrna.com</t>
  </si>
  <si>
    <t>hyun54@hsrna.com</t>
  </si>
  <si>
    <t>lhj42@hsrna.com</t>
  </si>
  <si>
    <t>ericaa318@hsrna.com</t>
  </si>
  <si>
    <t>nameisgmj@hsrna.com</t>
  </si>
  <si>
    <t>joy020248@hsrna.com</t>
  </si>
  <si>
    <t>kjh1022@hsrna.com</t>
  </si>
  <si>
    <t>sy817@hsrna.com</t>
  </si>
  <si>
    <t>A1</t>
  </si>
  <si>
    <t>wldusdl097@hsrna.com</t>
  </si>
  <si>
    <t>adgjmptw7089@hsrna.com</t>
  </si>
  <si>
    <t>수습</t>
  </si>
  <si>
    <t>gusals1751@hsrna.com</t>
  </si>
  <si>
    <t>jh0407jin@hsrna.com</t>
  </si>
  <si>
    <t>SL사업본부</t>
  </si>
  <si>
    <t>yoonhee.lee@hsrna.com</t>
  </si>
  <si>
    <t>SL담당</t>
  </si>
  <si>
    <t>0805HURDAM@hsrna.com</t>
  </si>
  <si>
    <t>SL품질보증팀</t>
  </si>
  <si>
    <t>ALEXKIM@hsrna.com</t>
  </si>
  <si>
    <t>SL영업팀</t>
  </si>
  <si>
    <t>COOLLEE@hsrna.com</t>
  </si>
  <si>
    <t>SL개발팀</t>
  </si>
  <si>
    <t>JUHWA011@hsrna.com</t>
  </si>
  <si>
    <t>SL운영실</t>
  </si>
  <si>
    <t>duwon.jang@hsrna.com</t>
  </si>
  <si>
    <t>SL구매팀</t>
  </si>
  <si>
    <t>KKING99@hsrna.com</t>
  </si>
  <si>
    <t>JHINHS@hsrna.com</t>
  </si>
  <si>
    <t>SL운영팀</t>
  </si>
  <si>
    <t>NABI1318@hsrna.com</t>
  </si>
  <si>
    <t>SILBILEE@hsrna.com</t>
  </si>
  <si>
    <t>AN@hsrna.com</t>
  </si>
  <si>
    <t>JCW16@hsrna.com</t>
  </si>
  <si>
    <t>SL생산팀</t>
  </si>
  <si>
    <t>HWJEONG@hsrna.com</t>
  </si>
  <si>
    <t>SHS2012@hsrna.com</t>
  </si>
  <si>
    <t>KSJUNG11@hsrna.com</t>
  </si>
  <si>
    <t>JGK0@hsrna.com</t>
  </si>
  <si>
    <t>PSK554@hsrna.com</t>
  </si>
  <si>
    <t>JIMGKAKA@hsrna.com</t>
  </si>
  <si>
    <t>SKY13590@hsrna.com</t>
  </si>
  <si>
    <t>SIMPLE75@hsrna.com</t>
  </si>
  <si>
    <t>IMCH1@hsrna.com</t>
  </si>
  <si>
    <t>DEANYA88@hsrna.com</t>
  </si>
  <si>
    <t>CHOJW@hsrna.com</t>
  </si>
  <si>
    <t>HYEOK1104@hsrna.com</t>
  </si>
  <si>
    <t>KMJ@hsrna.com</t>
  </si>
  <si>
    <t>jsi@hsrna.com</t>
  </si>
  <si>
    <t>KHLEE1988@hsrna.com</t>
  </si>
  <si>
    <t>LSP19@hsrna.com</t>
  </si>
  <si>
    <t>SSW7286@hsrna.com</t>
  </si>
  <si>
    <t>YONGSEOB22@hsrna.com</t>
  </si>
  <si>
    <t>feelrefresh@hsrna.com</t>
  </si>
  <si>
    <t>kjw@hsrna.com</t>
  </si>
  <si>
    <t>ilyaf6830@hsrna.com</t>
  </si>
  <si>
    <t>jungos@hsrna.com</t>
  </si>
  <si>
    <t>jun9524@hsrna.com</t>
  </si>
  <si>
    <t>jinpyo1621@hsrna.com</t>
  </si>
  <si>
    <t>hoonseop.sim@hsrna.com</t>
  </si>
  <si>
    <t>qtdn0117@hsrna.com</t>
  </si>
  <si>
    <t>syhan@hsrna.com</t>
  </si>
  <si>
    <t>jmy@hsrna.com</t>
  </si>
  <si>
    <t>zeta0724@hsrna.com</t>
  </si>
  <si>
    <t>dlfrud644@hsrna.com</t>
  </si>
  <si>
    <t>kth819@hsrna.com</t>
  </si>
  <si>
    <t>gudo@hsrna.com</t>
  </si>
  <si>
    <t>DUTYBOXER@hsrna.com</t>
  </si>
  <si>
    <t>sjh8063@hsrna.com</t>
  </si>
  <si>
    <t>DCMS0955@hsrna.com</t>
  </si>
  <si>
    <t>lkh@hsrna.com</t>
  </si>
  <si>
    <t>jieun.im@hsrna.com</t>
  </si>
  <si>
    <t>kch1@hsrna.com</t>
  </si>
  <si>
    <t>lina.heo@hsrna.com</t>
  </si>
  <si>
    <t>minkr331@hsrna.com</t>
  </si>
  <si>
    <t>yeonu12200@hsrna.com</t>
  </si>
  <si>
    <t>PSJ7243@hsrna.com</t>
  </si>
  <si>
    <t>wlqls3698@hsrna.com</t>
  </si>
  <si>
    <t>yijeongoh@hsrna.com</t>
  </si>
  <si>
    <t>mingyu98@hsrna.com</t>
  </si>
  <si>
    <t>minj2942@hsrna.com</t>
  </si>
  <si>
    <t>dltnswk1943@hsrna.com</t>
  </si>
  <si>
    <t>cjh1217@hsrna.com</t>
  </si>
  <si>
    <t>SCM담당</t>
  </si>
  <si>
    <t>품질경영팀</t>
  </si>
  <si>
    <t>PJC12@hsrna.com</t>
  </si>
  <si>
    <t>SCM팀</t>
  </si>
  <si>
    <t>WWWMEJ@hsrna.com</t>
  </si>
  <si>
    <t>BROTHER@hsrna.com</t>
  </si>
  <si>
    <t>SCAVENGOR@hsrna.com</t>
  </si>
  <si>
    <t>DESPERADO@hsrna.com</t>
  </si>
  <si>
    <t>LJS@hsrna.com</t>
  </si>
  <si>
    <t>SKYLIGHT78@hsrna.com</t>
  </si>
  <si>
    <t>LEEJW11@hsrna.com</t>
  </si>
  <si>
    <t>iwk@hsrna.com</t>
  </si>
  <si>
    <t>KJS4128@hsrna.com</t>
  </si>
  <si>
    <t>vscv2693@hsrna.com</t>
  </si>
  <si>
    <t>kkt@hsrna.com</t>
  </si>
  <si>
    <t>kdw@hsrna.com</t>
  </si>
  <si>
    <t>jyseo@hsrna.com</t>
  </si>
  <si>
    <t>bvcxx0427@hsrna.com</t>
  </si>
  <si>
    <t>LEE0719@hsrna.com</t>
  </si>
  <si>
    <t>ssbin1206@hsrna.com</t>
  </si>
  <si>
    <t>SYA0224@HSRNA.COM</t>
  </si>
  <si>
    <t>tiger284@hsrna.com</t>
  </si>
  <si>
    <t>관체사업단</t>
  </si>
  <si>
    <t>E1</t>
  </si>
  <si>
    <t>ROYKIM@hsrna.com</t>
  </si>
  <si>
    <t>관체사업팀</t>
  </si>
  <si>
    <t>YHDO@hsrna.com</t>
  </si>
  <si>
    <t>LDH10225@hsrna.com</t>
  </si>
  <si>
    <t>scmoon@hsrna.com</t>
  </si>
  <si>
    <t>KCHANG@hsrna.com</t>
  </si>
  <si>
    <t>CAP307@hsrna.com</t>
  </si>
  <si>
    <t>BLUEMOON1116@hsrna.com</t>
  </si>
  <si>
    <t>JSM20021@hsrna.com</t>
  </si>
  <si>
    <t>ILOVEJH87@hsrna.com</t>
  </si>
  <si>
    <t>aikk1205@hsrna.com</t>
  </si>
  <si>
    <t>guswns2931@hsrna.com</t>
  </si>
  <si>
    <t>HUNHA77@hsrna.com</t>
  </si>
  <si>
    <t>B/H사업단</t>
  </si>
  <si>
    <t>B/H사업팀</t>
  </si>
  <si>
    <t>YMSUNG38@hsrna.com</t>
  </si>
  <si>
    <t>YYJ@hsrna.com</t>
  </si>
  <si>
    <t>HIMAN@hsrna.com</t>
  </si>
  <si>
    <t>jmkim3@hsrna.com</t>
  </si>
  <si>
    <t>SSH0114@hsrna.com</t>
  </si>
  <si>
    <t>ljs2652965@hsrna.com</t>
  </si>
  <si>
    <t>열관리사업단</t>
  </si>
  <si>
    <t>moon2864kr@hsrna.com</t>
  </si>
  <si>
    <t>열관리사업팀</t>
  </si>
  <si>
    <t>DLEHDRN97@hsrna.com</t>
  </si>
  <si>
    <t>NINEPOSITION@hsrna.com</t>
  </si>
  <si>
    <t>han99@hsrna.com</t>
  </si>
  <si>
    <t>KSW4088@hsrna.com</t>
  </si>
  <si>
    <t>donghochoi@hsrna.com</t>
  </si>
  <si>
    <t>shpark12@hsrna.com</t>
  </si>
  <si>
    <t>저압사업단</t>
  </si>
  <si>
    <t>cwlee@hsrna.com</t>
  </si>
  <si>
    <t>상생협력팀</t>
  </si>
  <si>
    <t>SHSHIN@hsrna.com</t>
  </si>
  <si>
    <t>구매원가팀</t>
  </si>
  <si>
    <t>DRAGON@hsrna.com</t>
  </si>
  <si>
    <t>JDHEAT21@hsrna.com</t>
  </si>
  <si>
    <t>LEEKW@hsrna.com</t>
  </si>
  <si>
    <t>JMKIM35@hsrna.com</t>
  </si>
  <si>
    <t>SUPERKOREAN112@hsrna.com</t>
  </si>
  <si>
    <t>kwan2085@hsrna.com</t>
  </si>
  <si>
    <t>dsryu@hsrna.com</t>
  </si>
  <si>
    <t>THANK427@hsrna.com</t>
  </si>
  <si>
    <t>yoon0878@hsrna.com</t>
  </si>
  <si>
    <t>jhryu@hsrna.com</t>
  </si>
  <si>
    <t>ajw4083@hsrna.com</t>
  </si>
  <si>
    <t>FL사업지원담당</t>
  </si>
  <si>
    <t>KJUJIN@hsrna.com</t>
  </si>
  <si>
    <t>FL품질보증팀</t>
  </si>
  <si>
    <t>LJH98@hsrna.com</t>
  </si>
  <si>
    <t>FL개발팀</t>
  </si>
  <si>
    <t>KADOHY0079@hsrna.com</t>
  </si>
  <si>
    <t>SEO16@hsrna.com</t>
  </si>
  <si>
    <t>PMK@hsrna.com</t>
  </si>
  <si>
    <t>FL영업팀</t>
  </si>
  <si>
    <t>PJH@hsrna.com</t>
  </si>
  <si>
    <t>GORHN@hsrna.com</t>
  </si>
  <si>
    <t>GUNI0306@hsrna.com</t>
  </si>
  <si>
    <t>EUREKA1456@hsrna.com</t>
  </si>
  <si>
    <t>HD611@hsrna.com</t>
  </si>
  <si>
    <t>ilha.jang@hsrna.com</t>
  </si>
  <si>
    <t>HSYS1467@hsrna.com</t>
  </si>
  <si>
    <t>CYJ1410@hsrna.com</t>
  </si>
  <si>
    <t>CARPEDIEM721@hsrna.com</t>
  </si>
  <si>
    <t>RSG2014@hsrna.com</t>
  </si>
  <si>
    <t>RBH1739@hsrna.com</t>
  </si>
  <si>
    <t>khm830502@hsrna.com</t>
  </si>
  <si>
    <t>bsw@hsrna.com</t>
  </si>
  <si>
    <t>YJS2008@hsrna.com</t>
  </si>
  <si>
    <t>KIKISU83@hsrna.com</t>
  </si>
  <si>
    <t>RIVE1111@hsrna.com</t>
  </si>
  <si>
    <t>MRSONYH@hsrna.com</t>
  </si>
  <si>
    <t>nirvana@hsrna.com</t>
  </si>
  <si>
    <t>lwj0402@hsrna.com</t>
  </si>
  <si>
    <t>kwlee@hsrna.com</t>
  </si>
  <si>
    <t>sjh7374@hsrna.com</t>
  </si>
  <si>
    <t>kimth@hsrna.com</t>
  </si>
  <si>
    <t>jhlee94@hsrna.com</t>
  </si>
  <si>
    <t>wlsrud0127@hsrna.com</t>
  </si>
  <si>
    <t>roo789@hsrna.com</t>
  </si>
  <si>
    <t>pjm2208@hsrna.com</t>
  </si>
  <si>
    <t>zoey318@hsrna.com</t>
  </si>
  <si>
    <t>yunseojin0504@hsrna.com</t>
  </si>
  <si>
    <t>siwon3505@hsrna.com</t>
  </si>
  <si>
    <t>hjs12@hsrna.com</t>
  </si>
  <si>
    <t>phn@hsrna.com</t>
  </si>
  <si>
    <t>psj0314@hsrna.com</t>
  </si>
  <si>
    <t>alsals0301@hsrna.com</t>
  </si>
  <si>
    <t>qkrwnsgh4346@hsrna.com</t>
  </si>
  <si>
    <t>hyungki95@hsrna.com</t>
  </si>
  <si>
    <t>kdh98@hsrna.com</t>
  </si>
  <si>
    <t>재무담당</t>
  </si>
  <si>
    <t>jcs6741@hsrna.com</t>
  </si>
  <si>
    <t>재무팀</t>
  </si>
  <si>
    <t>SEANALE77@hsrna.com</t>
  </si>
  <si>
    <t>LSB@hsrna.com</t>
  </si>
  <si>
    <t>SSONG1580@hsrna.com</t>
  </si>
  <si>
    <t>ksw0513@hsrna.com</t>
  </si>
  <si>
    <t>rok1478@hsrna.com</t>
  </si>
  <si>
    <t>kgy09@hsrna.com</t>
  </si>
  <si>
    <t>경영기획담당</t>
  </si>
  <si>
    <t>sangmin@hsrna.com</t>
  </si>
  <si>
    <t>경영지원팀</t>
  </si>
  <si>
    <t>PLAN@hsrna.com</t>
  </si>
  <si>
    <t>YELLOWSKJ2@hsrna.com</t>
  </si>
  <si>
    <t>기획팀</t>
  </si>
  <si>
    <t>SUNMI.KIM@hsrna.com</t>
  </si>
  <si>
    <t>ESG팀</t>
  </si>
  <si>
    <t>PUCKARMY07@hsrna.com</t>
  </si>
  <si>
    <t>SHIPPER2@hsrna.com</t>
  </si>
  <si>
    <t>hslee@hsrna.com</t>
  </si>
  <si>
    <t>ekgp1745@hsrna.com</t>
  </si>
  <si>
    <t>jmkim1@hsrna.com</t>
  </si>
  <si>
    <t>iy.jeong@hsrna.com</t>
  </si>
  <si>
    <t>hjs331@hsrna.com</t>
  </si>
  <si>
    <t>chlee1@hsrna.com</t>
  </si>
  <si>
    <t>rlaanwls08@hsrna.com</t>
  </si>
  <si>
    <t>hsu2477@hsrna.com</t>
  </si>
  <si>
    <t>chrim@hsrna.com</t>
  </si>
  <si>
    <t>jeongby@hsrna.com</t>
  </si>
  <si>
    <t>jey0906@hsrna.com</t>
  </si>
  <si>
    <t>별정(운전)</t>
  </si>
  <si>
    <t>aig7471@hsrna.com</t>
  </si>
  <si>
    <t>촉탁</t>
  </si>
  <si>
    <t>HR/안전담당</t>
  </si>
  <si>
    <t>AJC@hsrna.com</t>
  </si>
  <si>
    <t>안전보안팀</t>
  </si>
  <si>
    <t>SINI1207@hsrna.com</t>
  </si>
  <si>
    <t>HR팀</t>
  </si>
  <si>
    <t>JO2287@hsrna.com</t>
  </si>
  <si>
    <t>hsy1@hsrna.com</t>
  </si>
  <si>
    <t>cjw1@hsrna.com</t>
  </si>
  <si>
    <t>kjy2084@hsrna.com</t>
  </si>
  <si>
    <t>gr0216@hsrna.com</t>
  </si>
  <si>
    <t>gt56@hsrna.com</t>
  </si>
  <si>
    <t>asjun8003@hsrna.com</t>
  </si>
  <si>
    <t>kjh6@hsrna.com</t>
  </si>
  <si>
    <t>jsyjsy1202@hsrna.com</t>
  </si>
  <si>
    <t>ljw47210@hsrna.com</t>
  </si>
  <si>
    <t>통합기술본부</t>
  </si>
  <si>
    <t>재료연구센터</t>
  </si>
  <si>
    <t>G223049</t>
  </si>
  <si>
    <t>wonhee.lee1@hscorp.com</t>
  </si>
  <si>
    <t>인재역량강화실</t>
  </si>
  <si>
    <t>minhong.chung@hscorp.com</t>
  </si>
  <si>
    <t>기술기획실</t>
  </si>
  <si>
    <t>G221076</t>
  </si>
  <si>
    <t>ilkyung.sung@hscorp.com</t>
  </si>
  <si>
    <t>PI팀</t>
  </si>
  <si>
    <t>kyuhong.jun@hscorp.com</t>
  </si>
  <si>
    <t>시스템운영팀</t>
  </si>
  <si>
    <t>taehoon.ryu@hscorp.com</t>
  </si>
  <si>
    <t>시스템개발팀</t>
  </si>
  <si>
    <t>sunghyun.kim@hscorp.com</t>
  </si>
  <si>
    <t>기술전략화팀</t>
  </si>
  <si>
    <t>hyokyung.kim@hscorp.com</t>
  </si>
  <si>
    <t>sangmin.lee@hscorp.com</t>
  </si>
  <si>
    <t>AI전략팀</t>
  </si>
  <si>
    <t>byungjoo.kim@hscorp.com</t>
  </si>
  <si>
    <t>재료개발실</t>
  </si>
  <si>
    <t>hyunsu.jung@hscorp.com</t>
  </si>
  <si>
    <t>기술기획팀</t>
  </si>
  <si>
    <t>taegeun.kim@hscorp.com</t>
  </si>
  <si>
    <t>인더스트리얼재료팀</t>
  </si>
  <si>
    <t>hanhwal.choi@hscorp.com</t>
  </si>
  <si>
    <t>Specialty개발팀</t>
  </si>
  <si>
    <t>taekyung.lee1@hscorp.com</t>
  </si>
  <si>
    <t>myungjoo.kang@hscorp.com</t>
  </si>
  <si>
    <t>신재료연구팀</t>
  </si>
  <si>
    <t>minsoo.kim1@hscorp.com</t>
  </si>
  <si>
    <t>daewon.cho@hscorp.com</t>
  </si>
  <si>
    <t>seokhwan.park@hscorp.com</t>
  </si>
  <si>
    <t>sukhwan.je@hscorp.com</t>
  </si>
  <si>
    <t>jwahan.yoon@hscorp.com</t>
  </si>
  <si>
    <t>FL재료팀</t>
  </si>
  <si>
    <t>heumwoo.baek@hscorp.com</t>
  </si>
  <si>
    <t>doyeon.kim@hscorp.com</t>
  </si>
  <si>
    <t>minwook.choi@hscorp.com</t>
  </si>
  <si>
    <t>youngwook.park@hscorp.com</t>
  </si>
  <si>
    <t>hyunseok.oh@hscorp.com</t>
  </si>
  <si>
    <t>SL재료팀</t>
  </si>
  <si>
    <t>changuk.han@hscorp.com</t>
  </si>
  <si>
    <t>TPE개발팀</t>
  </si>
  <si>
    <t>sanghyun.lee@hscorp.com</t>
  </si>
  <si>
    <t>sohyun.park@hscorp.com</t>
  </si>
  <si>
    <t>jungil.cha@hscorp.com</t>
  </si>
  <si>
    <t>wooseok.jeong@hscorp.com</t>
  </si>
  <si>
    <t>geonil.kim@hscorp.com</t>
  </si>
  <si>
    <t>hoseok.lee@hscorp.com</t>
  </si>
  <si>
    <t>nyeonggi.choi@hscorp.com</t>
  </si>
  <si>
    <t>heejin.oh@hscorp.com</t>
  </si>
  <si>
    <t>yemee.kim@hscorp.com</t>
  </si>
  <si>
    <t>jaewook.jeon@hscorp.com</t>
  </si>
  <si>
    <t>jaemoon.lee@hscorp.com</t>
  </si>
  <si>
    <t>junghun.park@hscorp.com</t>
  </si>
  <si>
    <t>changhyeon.park@hscorp.com</t>
  </si>
  <si>
    <t>jinwoo.seo@hscorp.com</t>
  </si>
  <si>
    <t>sungwoo.mo@hscorp.com</t>
  </si>
  <si>
    <t>taeseok.kim@hscorp.com</t>
  </si>
  <si>
    <t>changmin.lee@hscorp.com</t>
  </si>
  <si>
    <t>kangmin.kim1@hscorp.com</t>
  </si>
  <si>
    <t>kyeongmin.jeon@hscorp.com</t>
  </si>
  <si>
    <t>kyungmok.jung@hscorp.com</t>
  </si>
  <si>
    <t>jieun.kim1@hscorp.com</t>
  </si>
  <si>
    <t>juwon.kim@hscorp.com</t>
  </si>
  <si>
    <t>gyuri.kim@hscorp.com</t>
  </si>
  <si>
    <t>jiwon.yoo@hscorp.com</t>
  </si>
  <si>
    <t>jaeyoon.yu@hscorp.com</t>
  </si>
  <si>
    <t>jaehyun.jo@hscorp.com</t>
  </si>
  <si>
    <t>jongmin.lee@hscorp.com</t>
  </si>
  <si>
    <t>bokyeong.choi@hscorp.com</t>
  </si>
  <si>
    <t>hyunseung.choi@hscorp.com</t>
  </si>
  <si>
    <t>sehun.kim@hscorp.com</t>
  </si>
  <si>
    <t>hyoyong.kim@hscorp.com</t>
  </si>
  <si>
    <t>jaehyeon.lee@hscorp.com</t>
  </si>
  <si>
    <t>jeongsol.kwen@hscorp.com</t>
  </si>
  <si>
    <t>yejun.park@hscorp.com</t>
  </si>
  <si>
    <t>yeji.kim@hscorp.com</t>
  </si>
  <si>
    <t>byeongryeol.moon@hscorp.com</t>
  </si>
  <si>
    <t>yewon.jeong@hscorp.com</t>
  </si>
  <si>
    <t>seoyoung.lee@hscorp.com</t>
  </si>
  <si>
    <t>dabin.park@hscorp.com</t>
  </si>
  <si>
    <t>jiwoong.seo@hscorp.com</t>
  </si>
  <si>
    <t>byeol.han@hscorp.com</t>
  </si>
  <si>
    <t>joonwoo.jeon@hscorp.com</t>
  </si>
  <si>
    <t>mingyu.kim@hscorp.com</t>
  </si>
  <si>
    <t>seonjun.lee@hscorp.com</t>
  </si>
  <si>
    <t>bitna.choi@hscorp.com</t>
  </si>
  <si>
    <t>sunghyun.choi@hscorp.com</t>
  </si>
  <si>
    <t>chanju.yeo@hscorp.com</t>
  </si>
  <si>
    <t>geonsu.kim@hscorp.com</t>
  </si>
  <si>
    <t>jiwon.moon@hscorp.com</t>
  </si>
  <si>
    <t>yejin.lee@hscorp.com</t>
  </si>
  <si>
    <t>heunsu.kim@hscorp.com</t>
  </si>
  <si>
    <t>sungha.kwon@hscorp.com</t>
  </si>
  <si>
    <t>jiwon.jeong@hscorp.com</t>
  </si>
  <si>
    <t>jina.han@hscorp.com</t>
  </si>
  <si>
    <t>jiwoo.kim@hscorp.com</t>
  </si>
  <si>
    <t>jiho.jung@hscorp.com</t>
  </si>
  <si>
    <t>yeongmi.kim@hscorp.com</t>
  </si>
  <si>
    <t>taehee.kim@hscorp.com</t>
  </si>
  <si>
    <t>sugon.kim@hscorp.com</t>
  </si>
  <si>
    <t>haeun.jung@hscorp.com</t>
  </si>
  <si>
    <t>gahyeon.lee@hscorp.com</t>
  </si>
  <si>
    <t>G225059</t>
  </si>
  <si>
    <t>seongun.jeong@hscorp.com</t>
  </si>
  <si>
    <t>G225060</t>
  </si>
  <si>
    <t>yerin.yun@hscorp.com</t>
  </si>
  <si>
    <t>solhwa.yu@hscorp.com</t>
  </si>
  <si>
    <t>R&amp;A</t>
    <phoneticPr fontId="18" type="noConversion"/>
  </si>
  <si>
    <t>SL상생협력팀</t>
  </si>
  <si>
    <t>R&amp;A</t>
    <phoneticPr fontId="22" type="noConversion"/>
  </si>
  <si>
    <t>Corp.</t>
    <phoneticPr fontId="22" type="noConversion"/>
  </si>
  <si>
    <t>1217067</t>
  </si>
  <si>
    <t>총회장</t>
  </si>
  <si>
    <t>1212159</t>
  </si>
  <si>
    <t>E7</t>
  </si>
  <si>
    <t>부회장</t>
  </si>
  <si>
    <t>1202003</t>
  </si>
  <si>
    <t>E6</t>
  </si>
  <si>
    <t>1210033</t>
  </si>
  <si>
    <t>1225084</t>
  </si>
  <si>
    <t>1196176</t>
  </si>
  <si>
    <t>1214062</t>
  </si>
  <si>
    <t>1204106</t>
  </si>
  <si>
    <t>1215086</t>
  </si>
  <si>
    <t>1204003</t>
  </si>
  <si>
    <t>1204115</t>
  </si>
  <si>
    <t>1203036</t>
  </si>
  <si>
    <t>1207036</t>
  </si>
  <si>
    <t>1207091</t>
  </si>
  <si>
    <t>1208016</t>
  </si>
  <si>
    <t>1210020</t>
  </si>
  <si>
    <t>1211208</t>
  </si>
  <si>
    <t>1222008</t>
  </si>
  <si>
    <t>1222009</t>
  </si>
  <si>
    <t>1214181</t>
  </si>
  <si>
    <t>1214201</t>
  </si>
  <si>
    <t>1215084</t>
  </si>
  <si>
    <t>1216132</t>
  </si>
  <si>
    <t>1216179</t>
  </si>
  <si>
    <t>1217029</t>
  </si>
  <si>
    <t>1218008</t>
  </si>
  <si>
    <t>1205115</t>
  </si>
  <si>
    <t>1214170</t>
  </si>
  <si>
    <t>1217068</t>
  </si>
  <si>
    <t>1217024</t>
  </si>
  <si>
    <t>1217023</t>
  </si>
  <si>
    <t>1217012</t>
  </si>
  <si>
    <t>1216119</t>
  </si>
  <si>
    <t>1216012</t>
  </si>
  <si>
    <t>1215052</t>
  </si>
  <si>
    <t>1215048</t>
  </si>
  <si>
    <t>1215033</t>
  </si>
  <si>
    <t>1215010</t>
  </si>
  <si>
    <t>1223035</t>
  </si>
  <si>
    <t>1224045</t>
  </si>
  <si>
    <t>1213028</t>
  </si>
  <si>
    <t>1213132</t>
  </si>
  <si>
    <t>1213151</t>
  </si>
  <si>
    <t>1213173</t>
  </si>
  <si>
    <t>1218006</t>
  </si>
  <si>
    <t>1214172</t>
  </si>
  <si>
    <t>1214178</t>
  </si>
  <si>
    <t>1215007</t>
  </si>
  <si>
    <t>1216025</t>
  </si>
  <si>
    <t>1223036</t>
  </si>
  <si>
    <t>1215055</t>
  </si>
  <si>
    <t>1222051</t>
  </si>
  <si>
    <t>1222043</t>
  </si>
  <si>
    <t>1225035</t>
  </si>
  <si>
    <t>1221049</t>
  </si>
  <si>
    <t>1225081</t>
  </si>
  <si>
    <t>1225080</t>
  </si>
  <si>
    <t>1225051</t>
  </si>
  <si>
    <t>1222042</t>
  </si>
  <si>
    <t>1225044</t>
  </si>
  <si>
    <t>1225008</t>
  </si>
  <si>
    <t>1225047</t>
  </si>
  <si>
    <t>1225077</t>
  </si>
  <si>
    <t>1222038</t>
  </si>
  <si>
    <t>1222040</t>
  </si>
  <si>
    <t>1222041</t>
  </si>
  <si>
    <t>1222057</t>
  </si>
  <si>
    <t>1223023</t>
  </si>
  <si>
    <t>1223024</t>
  </si>
  <si>
    <t>1223025</t>
  </si>
  <si>
    <t>1223104</t>
  </si>
  <si>
    <t>1223105</t>
  </si>
  <si>
    <t>1223106</t>
  </si>
  <si>
    <t>1223108</t>
  </si>
  <si>
    <t>1225005</t>
  </si>
  <si>
    <t>1225007</t>
  </si>
  <si>
    <t>1225046</t>
  </si>
  <si>
    <t>1223029</t>
  </si>
  <si>
    <t>1221026</t>
  </si>
  <si>
    <t>1225079</t>
  </si>
  <si>
    <t>1225078</t>
  </si>
  <si>
    <t>1223060</t>
  </si>
  <si>
    <t>1220002</t>
  </si>
  <si>
    <t>1204063</t>
  </si>
  <si>
    <t>1206047</t>
  </si>
  <si>
    <t>1207081</t>
  </si>
  <si>
    <t>1223057</t>
  </si>
  <si>
    <t>1202155</t>
  </si>
  <si>
    <t>1210014</t>
  </si>
  <si>
    <t>1210025</t>
  </si>
  <si>
    <t>1210111</t>
  </si>
  <si>
    <t>1211025</t>
  </si>
  <si>
    <t>1211030</t>
  </si>
  <si>
    <t>1211209</t>
  </si>
  <si>
    <t>1212023</t>
  </si>
  <si>
    <t>1215079</t>
  </si>
  <si>
    <t>1216192</t>
  </si>
  <si>
    <t>1207010</t>
  </si>
  <si>
    <t>1210005</t>
  </si>
  <si>
    <t>1216011</t>
  </si>
  <si>
    <t>1211031</t>
  </si>
  <si>
    <t>1224009</t>
  </si>
  <si>
    <t>1213150</t>
  </si>
  <si>
    <t>1211016</t>
  </si>
  <si>
    <t>1214159</t>
  </si>
  <si>
    <t>1214002</t>
  </si>
  <si>
    <t>1223067</t>
  </si>
  <si>
    <t>1214105</t>
  </si>
  <si>
    <t>1215006</t>
  </si>
  <si>
    <t>1215098</t>
  </si>
  <si>
    <t>1215137</t>
  </si>
  <si>
    <t>1221034</t>
  </si>
  <si>
    <t>1223096</t>
  </si>
  <si>
    <t>1223095</t>
  </si>
  <si>
    <t>1223077</t>
  </si>
  <si>
    <t>1223069</t>
  </si>
  <si>
    <t>1223032</t>
  </si>
  <si>
    <t>1223031</t>
  </si>
  <si>
    <t>1223009</t>
  </si>
  <si>
    <t>1223008</t>
  </si>
  <si>
    <t>1222050</t>
  </si>
  <si>
    <t>1222033</t>
  </si>
  <si>
    <t>1222031</t>
  </si>
  <si>
    <t>1225063</t>
  </si>
  <si>
    <t>1225054</t>
  </si>
  <si>
    <t>1211015</t>
  </si>
  <si>
    <t>1223076</t>
  </si>
  <si>
    <t>1214138</t>
  </si>
  <si>
    <t>1225016</t>
  </si>
  <si>
    <t>1225011</t>
  </si>
  <si>
    <t>1224025</t>
  </si>
  <si>
    <t>1225001</t>
  </si>
  <si>
    <t>1225002</t>
  </si>
  <si>
    <t>1225010</t>
  </si>
  <si>
    <t>1216181</t>
  </si>
  <si>
    <t>1224020</t>
  </si>
  <si>
    <t>1223079</t>
  </si>
  <si>
    <t>1223081</t>
  </si>
  <si>
    <t>1224050</t>
  </si>
  <si>
    <t>1222053</t>
  </si>
  <si>
    <t>1225055</t>
  </si>
  <si>
    <t>1208044</t>
  </si>
  <si>
    <t>1203053</t>
  </si>
  <si>
    <t>1223050</t>
  </si>
  <si>
    <t>1211111</t>
  </si>
  <si>
    <t>1210026</t>
  </si>
  <si>
    <t>1207092</t>
  </si>
  <si>
    <t>1211018</t>
  </si>
  <si>
    <t>1211110</t>
  </si>
  <si>
    <t>1225014</t>
  </si>
  <si>
    <t>1215099</t>
  </si>
  <si>
    <t>1225013</t>
  </si>
  <si>
    <t>1223066</t>
  </si>
  <si>
    <t>1223034</t>
  </si>
  <si>
    <t>1223013</t>
  </si>
  <si>
    <t>1224055</t>
  </si>
  <si>
    <t>1213008</t>
  </si>
  <si>
    <t>1222037</t>
  </si>
  <si>
    <t>1216155</t>
  </si>
  <si>
    <t>1225004</t>
  </si>
  <si>
    <t>1225087</t>
  </si>
  <si>
    <t>1209058</t>
  </si>
  <si>
    <t>1210021</t>
  </si>
  <si>
    <t>1224012</t>
  </si>
  <si>
    <t>1208073</t>
  </si>
  <si>
    <t>1214163</t>
  </si>
  <si>
    <t>1213016</t>
  </si>
  <si>
    <t>1214164</t>
  </si>
  <si>
    <t>1212055</t>
  </si>
  <si>
    <t>1223098</t>
  </si>
  <si>
    <t>1223011</t>
  </si>
  <si>
    <t>1216022</t>
  </si>
  <si>
    <t>1214099</t>
  </si>
  <si>
    <t>1208052</t>
  </si>
  <si>
    <t>1223086</t>
  </si>
  <si>
    <t>1225012</t>
  </si>
  <si>
    <t>1214165</t>
  </si>
  <si>
    <t>1222055</t>
  </si>
  <si>
    <t>1225088</t>
  </si>
  <si>
    <t>1208077</t>
  </si>
  <si>
    <t>1211076</t>
  </si>
  <si>
    <t>1217016</t>
  </si>
  <si>
    <t>1214104</t>
  </si>
  <si>
    <t>1217043</t>
  </si>
  <si>
    <t>1223097</t>
  </si>
  <si>
    <t>1224046</t>
  </si>
  <si>
    <t>1210154</t>
  </si>
  <si>
    <t>1203052</t>
  </si>
  <si>
    <t>1210019</t>
  </si>
  <si>
    <t>1207078</t>
  </si>
  <si>
    <t>1214162</t>
  </si>
  <si>
    <t>1215138</t>
  </si>
  <si>
    <t>1225066</t>
  </si>
  <si>
    <t>1223010</t>
  </si>
  <si>
    <t>1216044</t>
  </si>
  <si>
    <t>1225057</t>
  </si>
  <si>
    <t>1223094</t>
  </si>
  <si>
    <t>1225068</t>
  </si>
  <si>
    <t>1209074</t>
  </si>
  <si>
    <t>1215101</t>
  </si>
  <si>
    <t>1205094</t>
  </si>
  <si>
    <t>1211027</t>
  </si>
  <si>
    <t>1211032</t>
  </si>
  <si>
    <t>1209084</t>
  </si>
  <si>
    <t>1210237</t>
  </si>
  <si>
    <t>1206003</t>
  </si>
  <si>
    <t>1209046</t>
  </si>
  <si>
    <t>1212081</t>
  </si>
  <si>
    <t>1225064</t>
  </si>
  <si>
    <t>1216123</t>
  </si>
  <si>
    <t>1213015</t>
  </si>
  <si>
    <t>1213019</t>
  </si>
  <si>
    <t>1213101</t>
  </si>
  <si>
    <t>1216125</t>
  </si>
  <si>
    <t>1223087</t>
  </si>
  <si>
    <t>1223045</t>
  </si>
  <si>
    <t>1215059</t>
  </si>
  <si>
    <t>1210115</t>
  </si>
  <si>
    <t>1212004</t>
  </si>
  <si>
    <t>1211151</t>
  </si>
  <si>
    <t>1225065</t>
  </si>
  <si>
    <t>1223099</t>
  </si>
  <si>
    <t>1223085</t>
  </si>
  <si>
    <t>1223065</t>
  </si>
  <si>
    <t>1223033</t>
  </si>
  <si>
    <t>1223012</t>
  </si>
  <si>
    <t>1219014</t>
  </si>
  <si>
    <t>1222034</t>
  </si>
  <si>
    <t>1219013</t>
  </si>
  <si>
    <t>1224021</t>
  </si>
  <si>
    <t>1223084</t>
  </si>
  <si>
    <t>1223083</t>
  </si>
  <si>
    <t>1223082</t>
  </si>
  <si>
    <t>1223022</t>
  </si>
  <si>
    <t>1224024</t>
  </si>
  <si>
    <t>1224051</t>
  </si>
  <si>
    <t>1225003</t>
  </si>
  <si>
    <t>1225053</t>
  </si>
  <si>
    <t>1225056</t>
  </si>
  <si>
    <t>1225086</t>
  </si>
  <si>
    <t>1213066</t>
  </si>
  <si>
    <t>1220016</t>
  </si>
  <si>
    <t>1216118</t>
  </si>
  <si>
    <t>1219011</t>
  </si>
  <si>
    <t>1222035</t>
  </si>
  <si>
    <t>1224047</t>
  </si>
  <si>
    <t>1225085</t>
  </si>
  <si>
    <t>1213083</t>
  </si>
  <si>
    <t>1223037</t>
  </si>
  <si>
    <t>1212013</t>
  </si>
  <si>
    <t>1215081</t>
  </si>
  <si>
    <t>1215149</t>
  </si>
  <si>
    <t>1219016</t>
  </si>
  <si>
    <t>1223044</t>
  </si>
  <si>
    <t>1222025</t>
  </si>
  <si>
    <t>1224027</t>
  </si>
  <si>
    <t>1224028</t>
  </si>
  <si>
    <t>1224048</t>
  </si>
  <si>
    <t>1222036</t>
  </si>
  <si>
    <t>1223061</t>
  </si>
  <si>
    <t>1223053</t>
  </si>
  <si>
    <t>1224049</t>
  </si>
  <si>
    <t>1222047</t>
  </si>
  <si>
    <t>1222049</t>
  </si>
  <si>
    <t>1221023</t>
  </si>
  <si>
    <t>1202183</t>
  </si>
  <si>
    <t>1216071</t>
  </si>
  <si>
    <t>1212180</t>
  </si>
  <si>
    <t>1225037</t>
  </si>
  <si>
    <t>1225009</t>
  </si>
  <si>
    <t>1222011</t>
  </si>
  <si>
    <t>1222021</t>
  </si>
  <si>
    <t>1222019</t>
  </si>
  <si>
    <t>1224032</t>
  </si>
  <si>
    <t>1222012</t>
  </si>
  <si>
    <t>1225015</t>
  </si>
  <si>
    <t>1225070</t>
  </si>
  <si>
    <t>HYUNSEUNGHOON@HSRNA.COM</t>
  </si>
  <si>
    <t>JHHYUN@hsrna.com</t>
  </si>
  <si>
    <t>SL생산기술팀 (R&amp;A)</t>
  </si>
  <si>
    <t>SL운영팀 (R&amp;A)</t>
  </si>
  <si>
    <t>HR팀 (R&amp;A)</t>
  </si>
  <si>
    <t>구매원가팀 (R&amp;A)</t>
  </si>
  <si>
    <t>SCM팀 (R&amp;A)</t>
  </si>
  <si>
    <t>SL품질보증팀 (R&amp;A)</t>
  </si>
  <si>
    <t>열관리설계팀 (R&amp;A)</t>
  </si>
  <si>
    <t>FL생산기술팀 (R&amp;A)</t>
  </si>
  <si>
    <t>FL개발팀 (R&amp;A)</t>
  </si>
  <si>
    <t>SL구매팀 (R&amp;A)</t>
  </si>
  <si>
    <t>품질경영팀 (R&amp;A)</t>
  </si>
  <si>
    <t>B/H사업팀 (R&amp;A)</t>
  </si>
  <si>
    <t>관체사업팀 (R&amp;A)</t>
  </si>
  <si>
    <t>열관리사업팀 (R&amp;A)</t>
  </si>
  <si>
    <t>SL상생협력팀 (R&amp;A)</t>
  </si>
  <si>
    <t>FL영업팀 (R&amp;A)</t>
  </si>
  <si>
    <t>FL사업지원실 (R&amp;A)</t>
  </si>
  <si>
    <t>상생협력팀 (R&amp;A)</t>
  </si>
  <si>
    <t>Brake설계팀 (R&amp;A)</t>
  </si>
  <si>
    <t>FL품질보증팀 (R&amp;A)</t>
  </si>
  <si>
    <t>SL생산팀 (R&amp;A)</t>
  </si>
  <si>
    <t>기획팀 (R&amp;A)</t>
  </si>
  <si>
    <t>SL설계팀 (R&amp;A)</t>
  </si>
  <si>
    <t>재무팀 (R&amp;A)</t>
  </si>
  <si>
    <t>경영지원팀 (R&amp;A)</t>
  </si>
  <si>
    <t>SL개발팀 (R&amp;A)</t>
  </si>
  <si>
    <t>SL영업팀 (R&amp;A)</t>
  </si>
  <si>
    <t>ESG팀 (R&amp;A)</t>
  </si>
  <si>
    <t>안전보안팀 (R&amp;A)</t>
  </si>
  <si>
    <t>설비기획팀 (R&amp;A)</t>
  </si>
  <si>
    <t>노동조합 (R&amp;A)</t>
  </si>
  <si>
    <t>소속팀</t>
    <phoneticPr fontId="18" type="noConversion"/>
  </si>
  <si>
    <t>신본부</t>
    <phoneticPr fontId="18" type="noConversion"/>
  </si>
  <si>
    <t>신조직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</si>
</sst>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\-mm\-dd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77" fontId="21" fillId="0" borderId="10" xfId="0" applyNumberFormat="1" applyFont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177" fontId="21" fillId="0" borderId="10" xfId="0" applyNumberFormat="1" applyFont="1" applyFill="1" applyBorder="1" applyAlignment="1">
      <alignment horizontal="center" vertical="center" wrapText="1"/>
    </xf>
    <xf numFmtId="0" fontId="20" fillId="0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928-6FF4-4B1C-B7CC-94E39E07176B}">
  <sheetPr filterMode="1"/>
  <dimension ref="A1:Q726"/>
  <sheetViews>
    <sheetView tabSelected="1" zoomScale="70" zoomScaleNormal="70" workbookViewId="0">
      <selection activeCell="J24" sqref="J24"/>
    </sheetView>
  </sheetViews>
  <sheetFormatPr defaultRowHeight="17" x14ac:dyDescent="0.45"/>
  <cols>
    <col min="3" max="3" width="22.08203125" customWidth="1"/>
    <col min="5" max="5" width="15.5" customWidth="1"/>
    <col min="13" max="13" width="11.33203125" customWidth="1"/>
  </cols>
  <sheetData>
    <row r="1" spans="1:17" x14ac:dyDescent="0.45">
      <c r="A1" t="s">
        <v>0</v>
      </c>
      <c r="B1" t="s">
        <v>1</v>
      </c>
      <c r="C1" t="s">
        <v>1475</v>
      </c>
      <c r="D1" t="s">
        <v>1476</v>
      </c>
      <c r="E1" t="s">
        <v>1477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hidden="1" x14ac:dyDescent="0.45">
      <c r="A2">
        <v>1199158</v>
      </c>
      <c r="B2" t="s">
        <v>14</v>
      </c>
      <c r="C2" t="s">
        <v>1444</v>
      </c>
      <c r="D2" t="e">
        <v>#N/A</v>
      </c>
      <c r="E2" t="e">
        <v>#N/A</v>
      </c>
      <c r="F2" t="s">
        <v>15</v>
      </c>
      <c r="G2">
        <v>2025</v>
      </c>
      <c r="H2">
        <v>6</v>
      </c>
      <c r="I2">
        <v>30</v>
      </c>
      <c r="J2">
        <v>8053</v>
      </c>
      <c r="K2">
        <v>0</v>
      </c>
      <c r="L2">
        <v>9</v>
      </c>
      <c r="M2">
        <v>134.19999999999999</v>
      </c>
      <c r="N2">
        <v>0</v>
      </c>
      <c r="O2">
        <v>4.5</v>
      </c>
      <c r="P2">
        <v>168</v>
      </c>
      <c r="Q2">
        <v>-33.799999999999997</v>
      </c>
    </row>
    <row r="3" spans="1:17" hidden="1" x14ac:dyDescent="0.45">
      <c r="A3">
        <v>1199158</v>
      </c>
      <c r="B3" t="s">
        <v>14</v>
      </c>
      <c r="C3" t="s">
        <v>1444</v>
      </c>
      <c r="D3" t="e">
        <v>#N/A</v>
      </c>
      <c r="E3" t="e">
        <v>#N/A</v>
      </c>
      <c r="F3" t="s">
        <v>15</v>
      </c>
      <c r="G3">
        <v>2025</v>
      </c>
      <c r="H3">
        <v>7</v>
      </c>
      <c r="I3">
        <v>31</v>
      </c>
      <c r="J3">
        <v>7095</v>
      </c>
      <c r="K3">
        <v>0</v>
      </c>
      <c r="L3">
        <v>8</v>
      </c>
      <c r="M3">
        <v>118.2</v>
      </c>
      <c r="N3">
        <v>0</v>
      </c>
      <c r="O3">
        <v>3.8</v>
      </c>
      <c r="P3">
        <v>184</v>
      </c>
      <c r="Q3">
        <v>-65.8</v>
      </c>
    </row>
    <row r="4" spans="1:17" hidden="1" x14ac:dyDescent="0.45">
      <c r="A4">
        <v>1199158</v>
      </c>
      <c r="B4" t="s">
        <v>14</v>
      </c>
      <c r="C4" t="s">
        <v>1444</v>
      </c>
      <c r="D4" t="e">
        <v>#N/A</v>
      </c>
      <c r="E4" t="e">
        <v>#N/A</v>
      </c>
      <c r="F4" t="s">
        <v>15</v>
      </c>
      <c r="G4">
        <v>2025</v>
      </c>
      <c r="H4">
        <v>8</v>
      </c>
      <c r="I4">
        <v>22</v>
      </c>
      <c r="J4">
        <v>4949</v>
      </c>
      <c r="K4">
        <v>0</v>
      </c>
      <c r="L4">
        <v>5</v>
      </c>
      <c r="M4">
        <v>82.5</v>
      </c>
      <c r="N4">
        <v>0</v>
      </c>
      <c r="O4">
        <v>3.8</v>
      </c>
      <c r="P4">
        <v>136</v>
      </c>
      <c r="Q4">
        <v>-53.5</v>
      </c>
    </row>
    <row r="5" spans="1:17" hidden="1" x14ac:dyDescent="0.45">
      <c r="A5">
        <v>1202155</v>
      </c>
      <c r="B5" t="s">
        <v>16</v>
      </c>
      <c r="C5" t="s">
        <v>1445</v>
      </c>
      <c r="D5" t="s">
        <v>815</v>
      </c>
      <c r="E5" t="s">
        <v>827</v>
      </c>
      <c r="F5" t="s">
        <v>17</v>
      </c>
      <c r="G5">
        <v>2025</v>
      </c>
      <c r="H5">
        <v>6</v>
      </c>
      <c r="I5">
        <v>1</v>
      </c>
      <c r="J5">
        <v>207</v>
      </c>
      <c r="K5">
        <v>0</v>
      </c>
      <c r="L5">
        <v>0</v>
      </c>
      <c r="M5">
        <v>3.4</v>
      </c>
      <c r="N5">
        <v>0</v>
      </c>
      <c r="O5">
        <v>3.4</v>
      </c>
      <c r="P5">
        <v>8</v>
      </c>
      <c r="Q5">
        <v>-4.5999999999999996</v>
      </c>
    </row>
    <row r="6" spans="1:17" hidden="1" x14ac:dyDescent="0.45">
      <c r="A6">
        <v>1202183</v>
      </c>
      <c r="B6" t="s">
        <v>18</v>
      </c>
      <c r="C6" t="s">
        <v>1446</v>
      </c>
      <c r="D6" t="s">
        <v>1032</v>
      </c>
      <c r="E6" t="s">
        <v>1032</v>
      </c>
      <c r="F6" t="s">
        <v>17</v>
      </c>
      <c r="G6">
        <v>2025</v>
      </c>
      <c r="H6">
        <v>6</v>
      </c>
      <c r="I6">
        <v>20</v>
      </c>
      <c r="J6">
        <v>10677</v>
      </c>
      <c r="K6">
        <v>0</v>
      </c>
      <c r="L6">
        <v>1</v>
      </c>
      <c r="M6">
        <v>178</v>
      </c>
      <c r="N6">
        <v>0</v>
      </c>
      <c r="O6">
        <v>8.9</v>
      </c>
      <c r="P6">
        <v>152</v>
      </c>
      <c r="Q6">
        <v>26</v>
      </c>
    </row>
    <row r="7" spans="1:17" hidden="1" x14ac:dyDescent="0.45">
      <c r="A7">
        <v>1202183</v>
      </c>
      <c r="B7" t="s">
        <v>18</v>
      </c>
      <c r="C7" t="s">
        <v>1446</v>
      </c>
      <c r="D7" t="s">
        <v>1032</v>
      </c>
      <c r="E7" t="s">
        <v>1032</v>
      </c>
      <c r="F7" t="s">
        <v>17</v>
      </c>
      <c r="G7">
        <v>2025</v>
      </c>
      <c r="H7">
        <v>7</v>
      </c>
      <c r="I7">
        <v>20</v>
      </c>
      <c r="J7">
        <v>10409</v>
      </c>
      <c r="K7">
        <v>0</v>
      </c>
      <c r="L7">
        <v>0</v>
      </c>
      <c r="M7">
        <v>173.5</v>
      </c>
      <c r="N7">
        <v>0</v>
      </c>
      <c r="O7">
        <v>8.6999999999999993</v>
      </c>
      <c r="P7">
        <v>160</v>
      </c>
      <c r="Q7">
        <v>13.5</v>
      </c>
    </row>
    <row r="8" spans="1:17" hidden="1" x14ac:dyDescent="0.45">
      <c r="A8">
        <v>1202183</v>
      </c>
      <c r="B8" t="s">
        <v>18</v>
      </c>
      <c r="C8" t="s">
        <v>1446</v>
      </c>
      <c r="D8" t="s">
        <v>1032</v>
      </c>
      <c r="E8" t="s">
        <v>1032</v>
      </c>
      <c r="F8" t="s">
        <v>17</v>
      </c>
      <c r="G8">
        <v>2025</v>
      </c>
      <c r="H8">
        <v>8</v>
      </c>
      <c r="I8">
        <v>17</v>
      </c>
      <c r="J8">
        <v>8607</v>
      </c>
      <c r="K8">
        <v>0</v>
      </c>
      <c r="L8">
        <v>1</v>
      </c>
      <c r="M8">
        <v>143.4</v>
      </c>
      <c r="N8">
        <v>0</v>
      </c>
      <c r="O8">
        <v>8.4</v>
      </c>
      <c r="P8">
        <v>128</v>
      </c>
      <c r="Q8" s="1" t="s">
        <v>19</v>
      </c>
    </row>
    <row r="9" spans="1:17" hidden="1" x14ac:dyDescent="0.45">
      <c r="A9">
        <v>1203036</v>
      </c>
      <c r="B9" t="s">
        <v>20</v>
      </c>
      <c r="C9" t="s">
        <v>1444</v>
      </c>
      <c r="D9" t="s">
        <v>718</v>
      </c>
      <c r="E9" t="s">
        <v>731</v>
      </c>
      <c r="F9" t="s">
        <v>17</v>
      </c>
      <c r="G9">
        <v>2025</v>
      </c>
      <c r="H9">
        <v>6</v>
      </c>
      <c r="I9">
        <v>18</v>
      </c>
      <c r="J9">
        <v>9663</v>
      </c>
      <c r="K9">
        <v>0</v>
      </c>
      <c r="L9">
        <v>0</v>
      </c>
      <c r="M9">
        <v>161</v>
      </c>
      <c r="N9">
        <v>0</v>
      </c>
      <c r="O9">
        <v>8.9</v>
      </c>
      <c r="P9">
        <v>144</v>
      </c>
      <c r="Q9">
        <v>17</v>
      </c>
    </row>
    <row r="10" spans="1:17" hidden="1" x14ac:dyDescent="0.45">
      <c r="A10">
        <v>1203036</v>
      </c>
      <c r="B10" t="s">
        <v>20</v>
      </c>
      <c r="C10" t="s">
        <v>1444</v>
      </c>
      <c r="D10" t="s">
        <v>718</v>
      </c>
      <c r="E10" t="s">
        <v>731</v>
      </c>
      <c r="F10" t="s">
        <v>17</v>
      </c>
      <c r="G10">
        <v>2025</v>
      </c>
      <c r="H10">
        <v>7</v>
      </c>
      <c r="I10">
        <v>19</v>
      </c>
      <c r="J10">
        <v>10298</v>
      </c>
      <c r="K10">
        <v>0</v>
      </c>
      <c r="L10">
        <v>0</v>
      </c>
      <c r="M10">
        <v>171.6</v>
      </c>
      <c r="N10">
        <v>0</v>
      </c>
      <c r="O10">
        <v>9</v>
      </c>
      <c r="P10">
        <v>152</v>
      </c>
      <c r="Q10" s="1" t="s">
        <v>21</v>
      </c>
    </row>
    <row r="11" spans="1:17" hidden="1" x14ac:dyDescent="0.45">
      <c r="A11">
        <v>1203036</v>
      </c>
      <c r="B11" t="s">
        <v>20</v>
      </c>
      <c r="C11" t="s">
        <v>1444</v>
      </c>
      <c r="D11" t="s">
        <v>718</v>
      </c>
      <c r="E11" t="s">
        <v>731</v>
      </c>
      <c r="F11" t="s">
        <v>17</v>
      </c>
      <c r="G11">
        <v>2025</v>
      </c>
      <c r="H11">
        <v>8</v>
      </c>
      <c r="I11">
        <v>14</v>
      </c>
      <c r="J11">
        <v>7532</v>
      </c>
      <c r="K11">
        <v>0</v>
      </c>
      <c r="L11">
        <v>0</v>
      </c>
      <c r="M11">
        <v>125.5</v>
      </c>
      <c r="N11">
        <v>0</v>
      </c>
      <c r="O11">
        <v>9</v>
      </c>
      <c r="P11">
        <v>112</v>
      </c>
      <c r="Q11">
        <v>13.5</v>
      </c>
    </row>
    <row r="12" spans="1:17" hidden="1" x14ac:dyDescent="0.45">
      <c r="A12">
        <v>1203052</v>
      </c>
      <c r="B12" t="s">
        <v>22</v>
      </c>
      <c r="C12" t="s">
        <v>1447</v>
      </c>
      <c r="D12" t="s">
        <v>938</v>
      </c>
      <c r="E12" t="s">
        <v>942</v>
      </c>
      <c r="F12" t="s">
        <v>17</v>
      </c>
      <c r="G12">
        <v>2025</v>
      </c>
      <c r="H12">
        <v>6</v>
      </c>
      <c r="I12">
        <v>17</v>
      </c>
      <c r="J12">
        <v>10472</v>
      </c>
      <c r="K12">
        <v>1160</v>
      </c>
      <c r="L12">
        <v>0</v>
      </c>
      <c r="M12">
        <v>174.5</v>
      </c>
      <c r="N12">
        <v>19.3</v>
      </c>
      <c r="O12">
        <v>10.3</v>
      </c>
      <c r="P12">
        <v>136</v>
      </c>
      <c r="Q12">
        <v>38.5</v>
      </c>
    </row>
    <row r="13" spans="1:17" hidden="1" x14ac:dyDescent="0.45">
      <c r="A13">
        <v>1203052</v>
      </c>
      <c r="B13" t="s">
        <v>22</v>
      </c>
      <c r="C13" t="s">
        <v>1447</v>
      </c>
      <c r="D13" t="s">
        <v>938</v>
      </c>
      <c r="E13" t="s">
        <v>942</v>
      </c>
      <c r="F13" t="s">
        <v>17</v>
      </c>
      <c r="G13">
        <v>2025</v>
      </c>
      <c r="H13">
        <v>7</v>
      </c>
      <c r="I13">
        <v>19</v>
      </c>
      <c r="J13">
        <v>11600</v>
      </c>
      <c r="K13">
        <v>1221</v>
      </c>
      <c r="L13">
        <v>0</v>
      </c>
      <c r="M13">
        <v>193.3</v>
      </c>
      <c r="N13">
        <v>20.399999999999999</v>
      </c>
      <c r="O13">
        <v>10.199999999999999</v>
      </c>
      <c r="P13">
        <v>152</v>
      </c>
      <c r="Q13" s="1" t="s">
        <v>23</v>
      </c>
    </row>
    <row r="14" spans="1:17" hidden="1" x14ac:dyDescent="0.45">
      <c r="A14">
        <v>1203052</v>
      </c>
      <c r="B14" t="s">
        <v>22</v>
      </c>
      <c r="C14" t="s">
        <v>1447</v>
      </c>
      <c r="D14" t="s">
        <v>938</v>
      </c>
      <c r="E14" t="s">
        <v>942</v>
      </c>
      <c r="F14" t="s">
        <v>17</v>
      </c>
      <c r="G14">
        <v>2025</v>
      </c>
      <c r="H14">
        <v>8</v>
      </c>
      <c r="I14">
        <v>16</v>
      </c>
      <c r="J14">
        <v>10220</v>
      </c>
      <c r="K14">
        <v>1240</v>
      </c>
      <c r="L14">
        <v>0</v>
      </c>
      <c r="M14">
        <v>170.3</v>
      </c>
      <c r="N14">
        <v>20.7</v>
      </c>
      <c r="O14">
        <v>10.6</v>
      </c>
      <c r="P14">
        <v>128</v>
      </c>
      <c r="Q14" s="1" t="s">
        <v>24</v>
      </c>
    </row>
    <row r="15" spans="1:17" hidden="1" x14ac:dyDescent="0.45">
      <c r="A15">
        <v>1203053</v>
      </c>
      <c r="B15" t="s">
        <v>25</v>
      </c>
      <c r="C15" t="s">
        <v>1448</v>
      </c>
      <c r="D15" t="s">
        <v>884</v>
      </c>
      <c r="E15" t="s">
        <v>887</v>
      </c>
      <c r="F15" t="s">
        <v>17</v>
      </c>
      <c r="G15">
        <v>2025</v>
      </c>
      <c r="H15">
        <v>6</v>
      </c>
      <c r="I15">
        <v>17</v>
      </c>
      <c r="J15">
        <v>10225</v>
      </c>
      <c r="K15">
        <v>753</v>
      </c>
      <c r="L15">
        <v>0</v>
      </c>
      <c r="M15">
        <v>170.4</v>
      </c>
      <c r="N15">
        <v>12.6</v>
      </c>
      <c r="O15">
        <v>10</v>
      </c>
      <c r="P15">
        <v>136</v>
      </c>
      <c r="Q15" s="1" t="s">
        <v>26</v>
      </c>
    </row>
    <row r="16" spans="1:17" hidden="1" x14ac:dyDescent="0.45">
      <c r="A16">
        <v>1203053</v>
      </c>
      <c r="B16" t="s">
        <v>25</v>
      </c>
      <c r="C16" t="s">
        <v>1448</v>
      </c>
      <c r="D16" t="s">
        <v>884</v>
      </c>
      <c r="E16" t="s">
        <v>887</v>
      </c>
      <c r="F16" t="s">
        <v>17</v>
      </c>
      <c r="G16">
        <v>2025</v>
      </c>
      <c r="H16">
        <v>7</v>
      </c>
      <c r="I16">
        <v>18</v>
      </c>
      <c r="J16">
        <v>9923</v>
      </c>
      <c r="K16">
        <v>191</v>
      </c>
      <c r="L16">
        <v>0</v>
      </c>
      <c r="M16">
        <v>165.4</v>
      </c>
      <c r="N16">
        <v>3.2</v>
      </c>
      <c r="O16">
        <v>9.1999999999999993</v>
      </c>
      <c r="P16">
        <v>144</v>
      </c>
      <c r="Q16" s="1" t="s">
        <v>27</v>
      </c>
    </row>
    <row r="17" spans="1:17" hidden="1" x14ac:dyDescent="0.45">
      <c r="A17">
        <v>1203053</v>
      </c>
      <c r="B17" t="s">
        <v>25</v>
      </c>
      <c r="C17" t="s">
        <v>1448</v>
      </c>
      <c r="D17" t="s">
        <v>884</v>
      </c>
      <c r="E17" t="s">
        <v>887</v>
      </c>
      <c r="F17" t="s">
        <v>17</v>
      </c>
      <c r="G17">
        <v>2025</v>
      </c>
      <c r="H17">
        <v>8</v>
      </c>
      <c r="I17">
        <v>16</v>
      </c>
      <c r="J17">
        <v>8418</v>
      </c>
      <c r="K17">
        <v>124</v>
      </c>
      <c r="L17">
        <v>0</v>
      </c>
      <c r="M17">
        <v>140.30000000000001</v>
      </c>
      <c r="N17">
        <v>2.1</v>
      </c>
      <c r="O17">
        <v>8.8000000000000007</v>
      </c>
      <c r="P17">
        <v>128</v>
      </c>
      <c r="Q17" s="1" t="s">
        <v>28</v>
      </c>
    </row>
    <row r="18" spans="1:17" hidden="1" x14ac:dyDescent="0.45">
      <c r="A18">
        <v>1204003</v>
      </c>
      <c r="B18" t="s">
        <v>29</v>
      </c>
      <c r="C18" t="s">
        <v>1444</v>
      </c>
      <c r="D18" t="s">
        <v>718</v>
      </c>
      <c r="E18" t="s">
        <v>731</v>
      </c>
      <c r="F18" t="s">
        <v>17</v>
      </c>
      <c r="G18">
        <v>2025</v>
      </c>
      <c r="H18">
        <v>6</v>
      </c>
      <c r="I18">
        <v>17</v>
      </c>
      <c r="J18">
        <v>8872</v>
      </c>
      <c r="K18">
        <v>0</v>
      </c>
      <c r="L18">
        <v>0</v>
      </c>
      <c r="M18">
        <v>147.9</v>
      </c>
      <c r="N18">
        <v>0</v>
      </c>
      <c r="O18">
        <v>8.6999999999999993</v>
      </c>
      <c r="P18">
        <v>136</v>
      </c>
      <c r="Q18" s="1" t="s">
        <v>30</v>
      </c>
    </row>
    <row r="19" spans="1:17" hidden="1" x14ac:dyDescent="0.45">
      <c r="A19">
        <v>1204003</v>
      </c>
      <c r="B19" t="s">
        <v>29</v>
      </c>
      <c r="C19" t="s">
        <v>1444</v>
      </c>
      <c r="D19" t="s">
        <v>718</v>
      </c>
      <c r="E19" t="s">
        <v>731</v>
      </c>
      <c r="F19" t="s">
        <v>17</v>
      </c>
      <c r="G19">
        <v>2025</v>
      </c>
      <c r="H19">
        <v>7</v>
      </c>
      <c r="I19">
        <v>19</v>
      </c>
      <c r="J19">
        <v>11481</v>
      </c>
      <c r="K19">
        <v>0</v>
      </c>
      <c r="L19">
        <v>0</v>
      </c>
      <c r="M19">
        <v>191.4</v>
      </c>
      <c r="N19">
        <v>0</v>
      </c>
      <c r="O19">
        <v>10.1</v>
      </c>
      <c r="P19">
        <v>152</v>
      </c>
      <c r="Q19" s="1" t="s">
        <v>31</v>
      </c>
    </row>
    <row r="20" spans="1:17" hidden="1" x14ac:dyDescent="0.45">
      <c r="A20">
        <v>1204003</v>
      </c>
      <c r="B20" t="s">
        <v>29</v>
      </c>
      <c r="C20" t="s">
        <v>1444</v>
      </c>
      <c r="D20" t="s">
        <v>718</v>
      </c>
      <c r="E20" t="s">
        <v>731</v>
      </c>
      <c r="F20" t="s">
        <v>17</v>
      </c>
      <c r="G20">
        <v>2025</v>
      </c>
      <c r="H20">
        <v>8</v>
      </c>
      <c r="I20">
        <v>16</v>
      </c>
      <c r="J20">
        <v>8970</v>
      </c>
      <c r="K20">
        <v>0</v>
      </c>
      <c r="L20">
        <v>0</v>
      </c>
      <c r="M20">
        <v>149.5</v>
      </c>
      <c r="N20">
        <v>0</v>
      </c>
      <c r="O20">
        <v>9.3000000000000007</v>
      </c>
      <c r="P20">
        <v>128</v>
      </c>
      <c r="Q20">
        <v>21.5</v>
      </c>
    </row>
    <row r="21" spans="1:17" hidden="1" x14ac:dyDescent="0.45">
      <c r="A21">
        <v>1204063</v>
      </c>
      <c r="B21" t="s">
        <v>32</v>
      </c>
      <c r="C21" t="s">
        <v>1449</v>
      </c>
      <c r="D21" t="s">
        <v>815</v>
      </c>
      <c r="E21" t="s">
        <v>819</v>
      </c>
      <c r="F21" t="s">
        <v>17</v>
      </c>
      <c r="G21">
        <v>2025</v>
      </c>
      <c r="H21">
        <v>6</v>
      </c>
      <c r="I21">
        <v>2</v>
      </c>
      <c r="J21">
        <v>417</v>
      </c>
      <c r="K21">
        <v>0</v>
      </c>
      <c r="L21">
        <v>0</v>
      </c>
      <c r="M21">
        <v>7</v>
      </c>
      <c r="N21">
        <v>0</v>
      </c>
      <c r="O21">
        <v>3.5</v>
      </c>
      <c r="P21">
        <v>16</v>
      </c>
      <c r="Q21">
        <v>-9</v>
      </c>
    </row>
    <row r="22" spans="1:17" hidden="1" x14ac:dyDescent="0.45">
      <c r="A22">
        <v>1204063</v>
      </c>
      <c r="B22" t="s">
        <v>32</v>
      </c>
      <c r="C22" t="s">
        <v>1449</v>
      </c>
      <c r="D22" t="s">
        <v>815</v>
      </c>
      <c r="E22" t="s">
        <v>819</v>
      </c>
      <c r="F22" t="s">
        <v>17</v>
      </c>
      <c r="G22">
        <v>2025</v>
      </c>
      <c r="H22">
        <v>7</v>
      </c>
      <c r="I22">
        <v>4</v>
      </c>
      <c r="J22">
        <v>27</v>
      </c>
      <c r="K22">
        <v>0</v>
      </c>
      <c r="L22">
        <v>0</v>
      </c>
      <c r="M22">
        <v>0.4</v>
      </c>
      <c r="N22">
        <v>0</v>
      </c>
      <c r="O22">
        <v>0.1</v>
      </c>
      <c r="P22">
        <v>32</v>
      </c>
      <c r="Q22">
        <v>-31.6</v>
      </c>
    </row>
    <row r="23" spans="1:17" hidden="1" x14ac:dyDescent="0.45">
      <c r="A23">
        <v>1204063</v>
      </c>
      <c r="B23" t="s">
        <v>32</v>
      </c>
      <c r="C23" t="s">
        <v>1449</v>
      </c>
      <c r="D23" t="s">
        <v>815</v>
      </c>
      <c r="E23" t="s">
        <v>819</v>
      </c>
      <c r="F23" t="s">
        <v>17</v>
      </c>
      <c r="G23">
        <v>2025</v>
      </c>
      <c r="H23">
        <v>8</v>
      </c>
      <c r="I23">
        <v>4</v>
      </c>
      <c r="J23">
        <v>1365</v>
      </c>
      <c r="K23">
        <v>0</v>
      </c>
      <c r="L23">
        <v>0</v>
      </c>
      <c r="M23">
        <v>22.8</v>
      </c>
      <c r="N23">
        <v>0</v>
      </c>
      <c r="O23">
        <v>5.7</v>
      </c>
      <c r="P23">
        <v>32</v>
      </c>
      <c r="Q23">
        <v>-9.1999999999999993</v>
      </c>
    </row>
    <row r="24" spans="1:17" hidden="1" x14ac:dyDescent="0.45">
      <c r="A24">
        <v>1204106</v>
      </c>
      <c r="B24" t="s">
        <v>33</v>
      </c>
      <c r="C24" t="s">
        <v>1450</v>
      </c>
      <c r="D24" t="s">
        <v>718</v>
      </c>
      <c r="E24" t="s">
        <v>726</v>
      </c>
      <c r="F24" t="s">
        <v>17</v>
      </c>
      <c r="G24">
        <v>2025</v>
      </c>
      <c r="H24">
        <v>6</v>
      </c>
      <c r="I24">
        <v>19</v>
      </c>
      <c r="J24">
        <v>13135</v>
      </c>
      <c r="K24">
        <v>0</v>
      </c>
      <c r="L24">
        <v>5</v>
      </c>
      <c r="M24">
        <v>218.9</v>
      </c>
      <c r="N24">
        <v>0</v>
      </c>
      <c r="O24">
        <v>11.5</v>
      </c>
      <c r="P24">
        <v>112</v>
      </c>
      <c r="Q24">
        <v>106.9</v>
      </c>
    </row>
    <row r="25" spans="1:17" hidden="1" x14ac:dyDescent="0.45">
      <c r="A25">
        <v>1204106</v>
      </c>
      <c r="B25" t="s">
        <v>33</v>
      </c>
      <c r="C25" t="s">
        <v>1450</v>
      </c>
      <c r="D25" t="s">
        <v>718</v>
      </c>
      <c r="E25" t="s">
        <v>726</v>
      </c>
      <c r="F25" t="s">
        <v>17</v>
      </c>
      <c r="G25">
        <v>2025</v>
      </c>
      <c r="H25">
        <v>7</v>
      </c>
      <c r="I25">
        <v>19</v>
      </c>
      <c r="J25">
        <v>9604</v>
      </c>
      <c r="K25">
        <v>0</v>
      </c>
      <c r="L25">
        <v>3</v>
      </c>
      <c r="M25">
        <v>160.1</v>
      </c>
      <c r="N25">
        <v>0</v>
      </c>
      <c r="O25">
        <v>8.4</v>
      </c>
      <c r="P25">
        <v>128</v>
      </c>
      <c r="Q25" s="1" t="s">
        <v>34</v>
      </c>
    </row>
    <row r="26" spans="1:17" hidden="1" x14ac:dyDescent="0.45">
      <c r="A26">
        <v>1204106</v>
      </c>
      <c r="B26" t="s">
        <v>33</v>
      </c>
      <c r="C26" t="s">
        <v>1450</v>
      </c>
      <c r="D26" t="s">
        <v>718</v>
      </c>
      <c r="E26" t="s">
        <v>726</v>
      </c>
      <c r="F26" t="s">
        <v>17</v>
      </c>
      <c r="G26">
        <v>2025</v>
      </c>
      <c r="H26">
        <v>8</v>
      </c>
      <c r="I26">
        <v>16</v>
      </c>
      <c r="J26">
        <v>7980</v>
      </c>
      <c r="K26">
        <v>0</v>
      </c>
      <c r="L26">
        <v>1</v>
      </c>
      <c r="M26">
        <v>133</v>
      </c>
      <c r="N26">
        <v>0</v>
      </c>
      <c r="O26">
        <v>8.3000000000000007</v>
      </c>
      <c r="P26">
        <v>120</v>
      </c>
      <c r="Q26">
        <v>13</v>
      </c>
    </row>
    <row r="27" spans="1:17" x14ac:dyDescent="0.45">
      <c r="A27">
        <v>1204115</v>
      </c>
      <c r="B27" t="s">
        <v>35</v>
      </c>
      <c r="C27" t="s">
        <v>1451</v>
      </c>
      <c r="D27" t="s">
        <v>718</v>
      </c>
      <c r="E27" t="s">
        <v>733</v>
      </c>
      <c r="F27" t="s">
        <v>17</v>
      </c>
      <c r="G27">
        <v>2025</v>
      </c>
      <c r="H27">
        <v>6</v>
      </c>
      <c r="I27">
        <v>18</v>
      </c>
      <c r="J27">
        <v>10328</v>
      </c>
      <c r="K27">
        <v>0</v>
      </c>
      <c r="L27">
        <v>0</v>
      </c>
      <c r="M27">
        <v>172.1</v>
      </c>
      <c r="N27">
        <v>0</v>
      </c>
      <c r="O27">
        <v>9.6</v>
      </c>
      <c r="P27">
        <v>144</v>
      </c>
      <c r="Q27" s="1" t="s">
        <v>36</v>
      </c>
    </row>
    <row r="28" spans="1:17" x14ac:dyDescent="0.45">
      <c r="A28">
        <v>1204115</v>
      </c>
      <c r="B28" t="s">
        <v>35</v>
      </c>
      <c r="C28" t="s">
        <v>1451</v>
      </c>
      <c r="D28" t="s">
        <v>718</v>
      </c>
      <c r="E28" t="s">
        <v>733</v>
      </c>
      <c r="F28" t="s">
        <v>17</v>
      </c>
      <c r="G28">
        <v>2025</v>
      </c>
      <c r="H28">
        <v>7</v>
      </c>
      <c r="I28">
        <v>18</v>
      </c>
      <c r="J28">
        <v>10438</v>
      </c>
      <c r="K28">
        <v>0</v>
      </c>
      <c r="L28">
        <v>0</v>
      </c>
      <c r="M28">
        <v>174</v>
      </c>
      <c r="N28">
        <v>0</v>
      </c>
      <c r="O28">
        <v>9.6999999999999993</v>
      </c>
      <c r="P28">
        <v>144</v>
      </c>
      <c r="Q28">
        <v>30</v>
      </c>
    </row>
    <row r="29" spans="1:17" x14ac:dyDescent="0.45">
      <c r="A29">
        <v>1204115</v>
      </c>
      <c r="B29" t="s">
        <v>35</v>
      </c>
      <c r="C29" t="s">
        <v>1451</v>
      </c>
      <c r="D29" t="s">
        <v>718</v>
      </c>
      <c r="E29" t="s">
        <v>733</v>
      </c>
      <c r="F29" t="s">
        <v>17</v>
      </c>
      <c r="G29">
        <v>2025</v>
      </c>
      <c r="H29">
        <v>8</v>
      </c>
      <c r="I29">
        <v>16</v>
      </c>
      <c r="J29">
        <v>8796</v>
      </c>
      <c r="K29">
        <v>0</v>
      </c>
      <c r="L29">
        <v>0</v>
      </c>
      <c r="M29">
        <v>146.6</v>
      </c>
      <c r="N29">
        <v>0</v>
      </c>
      <c r="O29">
        <v>9.1999999999999993</v>
      </c>
      <c r="P29">
        <v>128</v>
      </c>
      <c r="Q29" s="1" t="s">
        <v>37</v>
      </c>
    </row>
    <row r="30" spans="1:17" hidden="1" x14ac:dyDescent="0.45">
      <c r="A30">
        <v>1205081</v>
      </c>
      <c r="B30" t="s">
        <v>38</v>
      </c>
      <c r="C30" t="s">
        <v>1448</v>
      </c>
      <c r="D30" t="e">
        <v>#N/A</v>
      </c>
      <c r="E30" t="e">
        <v>#N/A</v>
      </c>
      <c r="F30" t="s">
        <v>15</v>
      </c>
      <c r="G30">
        <v>2025</v>
      </c>
      <c r="H30">
        <v>7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</v>
      </c>
      <c r="Q30">
        <v>-8</v>
      </c>
    </row>
    <row r="31" spans="1:17" hidden="1" x14ac:dyDescent="0.45">
      <c r="A31">
        <v>1205094</v>
      </c>
      <c r="B31" t="s">
        <v>39</v>
      </c>
      <c r="C31" t="s">
        <v>1452</v>
      </c>
      <c r="D31" t="s">
        <v>954</v>
      </c>
      <c r="E31" t="s">
        <v>958</v>
      </c>
      <c r="F31" t="s">
        <v>17</v>
      </c>
      <c r="G31">
        <v>2025</v>
      </c>
      <c r="H31">
        <v>6</v>
      </c>
      <c r="I31">
        <v>24</v>
      </c>
      <c r="J31">
        <v>17014</v>
      </c>
      <c r="K31">
        <v>507</v>
      </c>
      <c r="L31">
        <v>5</v>
      </c>
      <c r="M31">
        <v>283.60000000000002</v>
      </c>
      <c r="N31">
        <v>8.4</v>
      </c>
      <c r="O31">
        <v>11.8</v>
      </c>
      <c r="P31">
        <v>152</v>
      </c>
      <c r="Q31" s="1" t="s">
        <v>40</v>
      </c>
    </row>
    <row r="32" spans="1:17" hidden="1" x14ac:dyDescent="0.45">
      <c r="A32">
        <v>1205094</v>
      </c>
      <c r="B32" t="s">
        <v>39</v>
      </c>
      <c r="C32" t="s">
        <v>1452</v>
      </c>
      <c r="D32" t="s">
        <v>954</v>
      </c>
      <c r="E32" t="s">
        <v>958</v>
      </c>
      <c r="F32" t="s">
        <v>17</v>
      </c>
      <c r="G32">
        <v>2025</v>
      </c>
      <c r="H32">
        <v>7</v>
      </c>
      <c r="I32">
        <v>16</v>
      </c>
      <c r="J32">
        <v>9952</v>
      </c>
      <c r="K32">
        <v>809</v>
      </c>
      <c r="L32">
        <v>0</v>
      </c>
      <c r="M32">
        <v>165.9</v>
      </c>
      <c r="N32">
        <v>13.5</v>
      </c>
      <c r="O32">
        <v>10.4</v>
      </c>
      <c r="P32">
        <v>128</v>
      </c>
      <c r="Q32" s="1" t="s">
        <v>41</v>
      </c>
    </row>
    <row r="33" spans="1:17" hidden="1" x14ac:dyDescent="0.45">
      <c r="A33">
        <v>1205094</v>
      </c>
      <c r="B33" t="s">
        <v>39</v>
      </c>
      <c r="C33" t="s">
        <v>1452</v>
      </c>
      <c r="D33" t="s">
        <v>954</v>
      </c>
      <c r="E33" t="s">
        <v>958</v>
      </c>
      <c r="F33" t="s">
        <v>17</v>
      </c>
      <c r="G33">
        <v>2025</v>
      </c>
      <c r="H33">
        <v>8</v>
      </c>
      <c r="I33">
        <v>16</v>
      </c>
      <c r="J33">
        <v>9109</v>
      </c>
      <c r="K33">
        <v>300</v>
      </c>
      <c r="L33">
        <v>0</v>
      </c>
      <c r="M33">
        <v>151.80000000000001</v>
      </c>
      <c r="N33">
        <v>5</v>
      </c>
      <c r="O33">
        <v>9.5</v>
      </c>
      <c r="P33">
        <v>128</v>
      </c>
      <c r="Q33" s="1" t="s">
        <v>42</v>
      </c>
    </row>
    <row r="34" spans="1:17" hidden="1" x14ac:dyDescent="0.45">
      <c r="A34">
        <v>1205105</v>
      </c>
      <c r="B34" t="s">
        <v>43</v>
      </c>
      <c r="C34" t="s">
        <v>1449</v>
      </c>
      <c r="D34" t="e">
        <v>#N/A</v>
      </c>
      <c r="E34" t="e">
        <v>#N/A</v>
      </c>
      <c r="F34" t="s">
        <v>15</v>
      </c>
      <c r="G34">
        <v>2025</v>
      </c>
      <c r="H34">
        <v>6</v>
      </c>
      <c r="I34">
        <v>20</v>
      </c>
      <c r="J34">
        <v>6216</v>
      </c>
      <c r="K34">
        <v>0</v>
      </c>
      <c r="L34">
        <v>0</v>
      </c>
      <c r="M34">
        <v>103.6</v>
      </c>
      <c r="N34">
        <v>0</v>
      </c>
      <c r="O34">
        <v>5.2</v>
      </c>
      <c r="P34">
        <v>160</v>
      </c>
      <c r="Q34">
        <v>-56.4</v>
      </c>
    </row>
    <row r="35" spans="1:17" hidden="1" x14ac:dyDescent="0.45">
      <c r="A35">
        <v>1205105</v>
      </c>
      <c r="B35" t="s">
        <v>43</v>
      </c>
      <c r="C35" t="s">
        <v>1449</v>
      </c>
      <c r="D35" t="e">
        <v>#N/A</v>
      </c>
      <c r="E35" t="e">
        <v>#N/A</v>
      </c>
      <c r="F35" t="s">
        <v>15</v>
      </c>
      <c r="G35">
        <v>2025</v>
      </c>
      <c r="H35">
        <v>7</v>
      </c>
      <c r="I35">
        <v>20</v>
      </c>
      <c r="J35">
        <v>5741</v>
      </c>
      <c r="K35">
        <v>0</v>
      </c>
      <c r="L35">
        <v>1</v>
      </c>
      <c r="M35">
        <v>95.7</v>
      </c>
      <c r="N35">
        <v>0</v>
      </c>
      <c r="O35">
        <v>4.8</v>
      </c>
      <c r="P35">
        <v>152</v>
      </c>
      <c r="Q35">
        <v>-56.3</v>
      </c>
    </row>
    <row r="36" spans="1:17" hidden="1" x14ac:dyDescent="0.45">
      <c r="A36">
        <v>1205105</v>
      </c>
      <c r="B36" t="s">
        <v>43</v>
      </c>
      <c r="C36" t="s">
        <v>1449</v>
      </c>
      <c r="D36" t="e">
        <v>#N/A</v>
      </c>
      <c r="E36" t="e">
        <v>#N/A</v>
      </c>
      <c r="F36" t="s">
        <v>15</v>
      </c>
      <c r="G36">
        <v>2025</v>
      </c>
      <c r="H36">
        <v>8</v>
      </c>
      <c r="I36">
        <v>19</v>
      </c>
      <c r="J36">
        <v>5870</v>
      </c>
      <c r="K36">
        <v>0</v>
      </c>
      <c r="L36">
        <v>2</v>
      </c>
      <c r="M36">
        <v>97.8</v>
      </c>
      <c r="N36">
        <v>0</v>
      </c>
      <c r="O36">
        <v>5.0999999999999996</v>
      </c>
      <c r="P36">
        <v>136</v>
      </c>
      <c r="Q36">
        <v>-38.200000000000003</v>
      </c>
    </row>
    <row r="37" spans="1:17" hidden="1" x14ac:dyDescent="0.45">
      <c r="A37">
        <v>1205115</v>
      </c>
      <c r="B37" t="s">
        <v>44</v>
      </c>
      <c r="C37" t="s">
        <v>1444</v>
      </c>
      <c r="D37" t="s">
        <v>718</v>
      </c>
      <c r="E37" t="s">
        <v>731</v>
      </c>
      <c r="F37" t="s">
        <v>17</v>
      </c>
      <c r="G37">
        <v>2025</v>
      </c>
      <c r="H37">
        <v>6</v>
      </c>
      <c r="I37">
        <v>17</v>
      </c>
      <c r="J37">
        <v>9894</v>
      </c>
      <c r="K37">
        <v>0</v>
      </c>
      <c r="L37">
        <v>0</v>
      </c>
      <c r="M37">
        <v>164.9</v>
      </c>
      <c r="N37">
        <v>0</v>
      </c>
      <c r="O37">
        <v>9.6999999999999993</v>
      </c>
      <c r="P37">
        <v>136</v>
      </c>
      <c r="Q37" s="1" t="s">
        <v>45</v>
      </c>
    </row>
    <row r="38" spans="1:17" hidden="1" x14ac:dyDescent="0.45">
      <c r="A38">
        <v>1205115</v>
      </c>
      <c r="B38" t="s">
        <v>44</v>
      </c>
      <c r="C38" t="s">
        <v>1444</v>
      </c>
      <c r="D38" t="s">
        <v>718</v>
      </c>
      <c r="E38" t="s">
        <v>731</v>
      </c>
      <c r="F38" t="s">
        <v>17</v>
      </c>
      <c r="G38">
        <v>2025</v>
      </c>
      <c r="H38">
        <v>7</v>
      </c>
      <c r="I38">
        <v>17</v>
      </c>
      <c r="J38">
        <v>9977</v>
      </c>
      <c r="K38">
        <v>0</v>
      </c>
      <c r="L38">
        <v>0</v>
      </c>
      <c r="M38">
        <v>166.3</v>
      </c>
      <c r="N38">
        <v>0</v>
      </c>
      <c r="O38">
        <v>9.8000000000000007</v>
      </c>
      <c r="P38">
        <v>136</v>
      </c>
      <c r="Q38" s="1" t="s">
        <v>46</v>
      </c>
    </row>
    <row r="39" spans="1:17" hidden="1" x14ac:dyDescent="0.45">
      <c r="A39">
        <v>1205115</v>
      </c>
      <c r="B39" t="s">
        <v>44</v>
      </c>
      <c r="C39" t="s">
        <v>1444</v>
      </c>
      <c r="D39" t="s">
        <v>718</v>
      </c>
      <c r="E39" t="s">
        <v>731</v>
      </c>
      <c r="F39" t="s">
        <v>17</v>
      </c>
      <c r="G39">
        <v>2025</v>
      </c>
      <c r="H39">
        <v>8</v>
      </c>
      <c r="I39">
        <v>13</v>
      </c>
      <c r="J39">
        <v>7204</v>
      </c>
      <c r="K39">
        <v>0</v>
      </c>
      <c r="L39">
        <v>0</v>
      </c>
      <c r="M39">
        <v>120.1</v>
      </c>
      <c r="N39">
        <v>0</v>
      </c>
      <c r="O39">
        <v>9.1999999999999993</v>
      </c>
      <c r="P39">
        <v>104</v>
      </c>
      <c r="Q39" s="1" t="s">
        <v>47</v>
      </c>
    </row>
    <row r="40" spans="1:17" hidden="1" x14ac:dyDescent="0.45">
      <c r="A40">
        <v>1206003</v>
      </c>
      <c r="B40" t="s">
        <v>48</v>
      </c>
      <c r="C40" t="s">
        <v>1452</v>
      </c>
      <c r="D40" t="s">
        <v>954</v>
      </c>
      <c r="E40" t="s">
        <v>958</v>
      </c>
      <c r="F40" t="s">
        <v>17</v>
      </c>
      <c r="G40">
        <v>2025</v>
      </c>
      <c r="H40">
        <v>6</v>
      </c>
      <c r="I40">
        <v>21</v>
      </c>
      <c r="J40">
        <v>12328</v>
      </c>
      <c r="K40">
        <v>1716</v>
      </c>
      <c r="L40">
        <v>3</v>
      </c>
      <c r="M40">
        <v>205.5</v>
      </c>
      <c r="N40">
        <v>28.6</v>
      </c>
      <c r="O40">
        <v>9.8000000000000007</v>
      </c>
      <c r="P40">
        <v>144</v>
      </c>
      <c r="Q40">
        <v>61.5</v>
      </c>
    </row>
    <row r="41" spans="1:17" hidden="1" x14ac:dyDescent="0.45">
      <c r="A41">
        <v>1206003</v>
      </c>
      <c r="B41" t="s">
        <v>48</v>
      </c>
      <c r="C41" t="s">
        <v>1452</v>
      </c>
      <c r="D41" t="s">
        <v>954</v>
      </c>
      <c r="E41" t="s">
        <v>958</v>
      </c>
      <c r="F41" t="s">
        <v>17</v>
      </c>
      <c r="G41">
        <v>2025</v>
      </c>
      <c r="H41">
        <v>7</v>
      </c>
      <c r="I41">
        <v>19</v>
      </c>
      <c r="J41">
        <v>11888</v>
      </c>
      <c r="K41">
        <v>1110</v>
      </c>
      <c r="L41">
        <v>0</v>
      </c>
      <c r="M41">
        <v>198.1</v>
      </c>
      <c r="N41">
        <v>18.5</v>
      </c>
      <c r="O41">
        <v>10.4</v>
      </c>
      <c r="P41">
        <v>152</v>
      </c>
      <c r="Q41" s="1" t="s">
        <v>49</v>
      </c>
    </row>
    <row r="42" spans="1:17" hidden="1" x14ac:dyDescent="0.45">
      <c r="A42">
        <v>1206003</v>
      </c>
      <c r="B42" t="s">
        <v>48</v>
      </c>
      <c r="C42" t="s">
        <v>1452</v>
      </c>
      <c r="D42" t="s">
        <v>954</v>
      </c>
      <c r="E42" t="s">
        <v>958</v>
      </c>
      <c r="F42" t="s">
        <v>17</v>
      </c>
      <c r="G42">
        <v>2025</v>
      </c>
      <c r="H42">
        <v>8</v>
      </c>
      <c r="I42">
        <v>16</v>
      </c>
      <c r="J42">
        <v>9477</v>
      </c>
      <c r="K42">
        <v>810</v>
      </c>
      <c r="L42">
        <v>0</v>
      </c>
      <c r="M42">
        <v>158</v>
      </c>
      <c r="N42">
        <v>13.5</v>
      </c>
      <c r="O42">
        <v>9.9</v>
      </c>
      <c r="P42">
        <v>128</v>
      </c>
      <c r="Q42">
        <v>30</v>
      </c>
    </row>
    <row r="43" spans="1:17" hidden="1" x14ac:dyDescent="0.45">
      <c r="A43">
        <v>1207010</v>
      </c>
      <c r="B43" t="s">
        <v>50</v>
      </c>
      <c r="C43" t="s">
        <v>1453</v>
      </c>
      <c r="D43" t="s">
        <v>815</v>
      </c>
      <c r="E43" t="s">
        <v>827</v>
      </c>
      <c r="F43" t="s">
        <v>17</v>
      </c>
      <c r="G43">
        <v>2025</v>
      </c>
      <c r="H43">
        <v>6</v>
      </c>
      <c r="I43">
        <v>16</v>
      </c>
      <c r="J43">
        <v>9549</v>
      </c>
      <c r="K43">
        <v>0</v>
      </c>
      <c r="L43">
        <v>0</v>
      </c>
      <c r="M43">
        <v>159.19999999999999</v>
      </c>
      <c r="N43">
        <v>0</v>
      </c>
      <c r="O43">
        <v>10</v>
      </c>
      <c r="P43">
        <v>128</v>
      </c>
      <c r="Q43" s="1" t="s">
        <v>51</v>
      </c>
    </row>
    <row r="44" spans="1:17" hidden="1" x14ac:dyDescent="0.45">
      <c r="A44">
        <v>1207010</v>
      </c>
      <c r="B44" t="s">
        <v>50</v>
      </c>
      <c r="C44" t="s">
        <v>1453</v>
      </c>
      <c r="D44" t="s">
        <v>815</v>
      </c>
      <c r="E44" t="s">
        <v>827</v>
      </c>
      <c r="F44" t="s">
        <v>17</v>
      </c>
      <c r="G44">
        <v>2025</v>
      </c>
      <c r="H44">
        <v>7</v>
      </c>
      <c r="I44">
        <v>18</v>
      </c>
      <c r="J44">
        <v>10128</v>
      </c>
      <c r="K44">
        <v>0</v>
      </c>
      <c r="L44">
        <v>0</v>
      </c>
      <c r="M44">
        <v>168.8</v>
      </c>
      <c r="N44">
        <v>0</v>
      </c>
      <c r="O44">
        <v>9.4</v>
      </c>
      <c r="P44">
        <v>144</v>
      </c>
      <c r="Q44" s="1" t="s">
        <v>52</v>
      </c>
    </row>
    <row r="45" spans="1:17" hidden="1" x14ac:dyDescent="0.45">
      <c r="A45">
        <v>1207010</v>
      </c>
      <c r="B45" t="s">
        <v>50</v>
      </c>
      <c r="C45" t="s">
        <v>1453</v>
      </c>
      <c r="D45" t="s">
        <v>815</v>
      </c>
      <c r="E45" t="s">
        <v>827</v>
      </c>
      <c r="F45" t="s">
        <v>17</v>
      </c>
      <c r="G45">
        <v>2025</v>
      </c>
      <c r="H45">
        <v>8</v>
      </c>
      <c r="I45">
        <v>15</v>
      </c>
      <c r="J45">
        <v>8363</v>
      </c>
      <c r="K45">
        <v>0</v>
      </c>
      <c r="L45">
        <v>0</v>
      </c>
      <c r="M45">
        <v>139.4</v>
      </c>
      <c r="N45">
        <v>0</v>
      </c>
      <c r="O45">
        <v>9.3000000000000007</v>
      </c>
      <c r="P45">
        <v>120</v>
      </c>
      <c r="Q45" s="1" t="s">
        <v>53</v>
      </c>
    </row>
    <row r="46" spans="1:17" hidden="1" x14ac:dyDescent="0.45">
      <c r="A46">
        <v>1207036</v>
      </c>
      <c r="B46" t="s">
        <v>54</v>
      </c>
      <c r="C46" t="s">
        <v>1445</v>
      </c>
      <c r="D46" t="s">
        <v>718</v>
      </c>
      <c r="E46" t="s">
        <v>737</v>
      </c>
      <c r="F46" t="s">
        <v>17</v>
      </c>
      <c r="G46">
        <v>2025</v>
      </c>
      <c r="H46">
        <v>6</v>
      </c>
      <c r="I46">
        <v>17</v>
      </c>
      <c r="J46">
        <v>9164</v>
      </c>
      <c r="K46">
        <v>0</v>
      </c>
      <c r="L46">
        <v>1</v>
      </c>
      <c r="M46">
        <v>152.69999999999999</v>
      </c>
      <c r="N46">
        <v>0</v>
      </c>
      <c r="O46">
        <v>9</v>
      </c>
      <c r="P46">
        <v>128</v>
      </c>
      <c r="Q46" s="1" t="s">
        <v>55</v>
      </c>
    </row>
    <row r="47" spans="1:17" hidden="1" x14ac:dyDescent="0.45">
      <c r="A47">
        <v>1207036</v>
      </c>
      <c r="B47" t="s">
        <v>54</v>
      </c>
      <c r="C47" t="s">
        <v>1445</v>
      </c>
      <c r="D47" t="s">
        <v>718</v>
      </c>
      <c r="E47" t="s">
        <v>737</v>
      </c>
      <c r="F47" t="s">
        <v>17</v>
      </c>
      <c r="G47">
        <v>2025</v>
      </c>
      <c r="H47">
        <v>7</v>
      </c>
      <c r="I47">
        <v>18</v>
      </c>
      <c r="J47">
        <v>8556</v>
      </c>
      <c r="K47">
        <v>0</v>
      </c>
      <c r="L47">
        <v>0</v>
      </c>
      <c r="M47">
        <v>142.6</v>
      </c>
      <c r="N47">
        <v>0</v>
      </c>
      <c r="O47">
        <v>7.9</v>
      </c>
      <c r="P47">
        <v>144</v>
      </c>
      <c r="Q47">
        <v>-1.4</v>
      </c>
    </row>
    <row r="48" spans="1:17" hidden="1" x14ac:dyDescent="0.45">
      <c r="A48">
        <v>1207036</v>
      </c>
      <c r="B48" t="s">
        <v>54</v>
      </c>
      <c r="C48" t="s">
        <v>1445</v>
      </c>
      <c r="D48" t="s">
        <v>718</v>
      </c>
      <c r="E48" t="s">
        <v>737</v>
      </c>
      <c r="F48" t="s">
        <v>17</v>
      </c>
      <c r="G48">
        <v>2025</v>
      </c>
      <c r="H48">
        <v>8</v>
      </c>
      <c r="I48">
        <v>13</v>
      </c>
      <c r="J48">
        <v>6203</v>
      </c>
      <c r="K48">
        <v>0</v>
      </c>
      <c r="L48">
        <v>0</v>
      </c>
      <c r="M48">
        <v>103.4</v>
      </c>
      <c r="N48">
        <v>0</v>
      </c>
      <c r="O48">
        <v>8</v>
      </c>
      <c r="P48">
        <v>104</v>
      </c>
      <c r="Q48">
        <v>-0.6</v>
      </c>
    </row>
    <row r="49" spans="1:17" hidden="1" x14ac:dyDescent="0.45">
      <c r="A49">
        <v>1207078</v>
      </c>
      <c r="B49" t="s">
        <v>56</v>
      </c>
      <c r="C49" t="s">
        <v>1447</v>
      </c>
      <c r="D49" t="s">
        <v>938</v>
      </c>
      <c r="E49" t="s">
        <v>942</v>
      </c>
      <c r="F49" t="s">
        <v>17</v>
      </c>
      <c r="G49">
        <v>2025</v>
      </c>
      <c r="H49">
        <v>6</v>
      </c>
      <c r="I49">
        <v>18</v>
      </c>
      <c r="J49">
        <v>11241</v>
      </c>
      <c r="K49">
        <v>1032</v>
      </c>
      <c r="L49">
        <v>0</v>
      </c>
      <c r="M49">
        <v>187.4</v>
      </c>
      <c r="N49">
        <v>17.2</v>
      </c>
      <c r="O49">
        <v>10.4</v>
      </c>
      <c r="P49">
        <v>144</v>
      </c>
      <c r="Q49" s="1" t="s">
        <v>57</v>
      </c>
    </row>
    <row r="50" spans="1:17" hidden="1" x14ac:dyDescent="0.45">
      <c r="A50">
        <v>1207078</v>
      </c>
      <c r="B50" t="s">
        <v>56</v>
      </c>
      <c r="C50" t="s">
        <v>1447</v>
      </c>
      <c r="D50" t="s">
        <v>938</v>
      </c>
      <c r="E50" t="s">
        <v>942</v>
      </c>
      <c r="F50" t="s">
        <v>17</v>
      </c>
      <c r="G50">
        <v>2025</v>
      </c>
      <c r="H50">
        <v>7</v>
      </c>
      <c r="I50">
        <v>19</v>
      </c>
      <c r="J50">
        <v>11263</v>
      </c>
      <c r="K50">
        <v>509</v>
      </c>
      <c r="L50">
        <v>0</v>
      </c>
      <c r="M50">
        <v>187.7</v>
      </c>
      <c r="N50">
        <v>8.5</v>
      </c>
      <c r="O50">
        <v>9.9</v>
      </c>
      <c r="P50">
        <v>152</v>
      </c>
      <c r="Q50" s="1" t="s">
        <v>58</v>
      </c>
    </row>
    <row r="51" spans="1:17" hidden="1" x14ac:dyDescent="0.45">
      <c r="A51">
        <v>1207078</v>
      </c>
      <c r="B51" t="s">
        <v>56</v>
      </c>
      <c r="C51" t="s">
        <v>1447</v>
      </c>
      <c r="D51" t="s">
        <v>938</v>
      </c>
      <c r="E51" t="s">
        <v>942</v>
      </c>
      <c r="F51" t="s">
        <v>17</v>
      </c>
      <c r="G51">
        <v>2025</v>
      </c>
      <c r="H51">
        <v>8</v>
      </c>
      <c r="I51">
        <v>16</v>
      </c>
      <c r="J51">
        <v>9636</v>
      </c>
      <c r="K51">
        <v>567</v>
      </c>
      <c r="L51">
        <v>0</v>
      </c>
      <c r="M51">
        <v>160.6</v>
      </c>
      <c r="N51">
        <v>9.4</v>
      </c>
      <c r="O51">
        <v>10</v>
      </c>
      <c r="P51">
        <v>128</v>
      </c>
      <c r="Q51" s="1" t="s">
        <v>59</v>
      </c>
    </row>
    <row r="52" spans="1:17" hidden="1" x14ac:dyDescent="0.45">
      <c r="A52">
        <v>1207092</v>
      </c>
      <c r="B52" t="s">
        <v>60</v>
      </c>
      <c r="C52" t="s">
        <v>1448</v>
      </c>
      <c r="D52" t="s">
        <v>884</v>
      </c>
      <c r="E52" t="s">
        <v>887</v>
      </c>
      <c r="F52" t="s">
        <v>17</v>
      </c>
      <c r="G52">
        <v>2025</v>
      </c>
      <c r="H52">
        <v>6</v>
      </c>
      <c r="I52">
        <v>18</v>
      </c>
      <c r="J52">
        <v>11998</v>
      </c>
      <c r="K52">
        <v>1125</v>
      </c>
      <c r="L52">
        <v>0</v>
      </c>
      <c r="M52">
        <v>200</v>
      </c>
      <c r="N52">
        <v>18.8</v>
      </c>
      <c r="O52">
        <v>11.1</v>
      </c>
      <c r="P52">
        <v>144</v>
      </c>
      <c r="Q52">
        <v>56</v>
      </c>
    </row>
    <row r="53" spans="1:17" hidden="1" x14ac:dyDescent="0.45">
      <c r="A53">
        <v>1207092</v>
      </c>
      <c r="B53" t="s">
        <v>60</v>
      </c>
      <c r="C53" t="s">
        <v>1448</v>
      </c>
      <c r="D53" t="s">
        <v>884</v>
      </c>
      <c r="E53" t="s">
        <v>887</v>
      </c>
      <c r="F53" t="s">
        <v>17</v>
      </c>
      <c r="G53">
        <v>2025</v>
      </c>
      <c r="H53">
        <v>7</v>
      </c>
      <c r="I53">
        <v>18</v>
      </c>
      <c r="J53">
        <v>11389</v>
      </c>
      <c r="K53">
        <v>620</v>
      </c>
      <c r="L53">
        <v>0</v>
      </c>
      <c r="M53">
        <v>189.8</v>
      </c>
      <c r="N53">
        <v>10.3</v>
      </c>
      <c r="O53">
        <v>10.5</v>
      </c>
      <c r="P53">
        <v>144</v>
      </c>
      <c r="Q53" s="1" t="s">
        <v>61</v>
      </c>
    </row>
    <row r="54" spans="1:17" hidden="1" x14ac:dyDescent="0.45">
      <c r="A54">
        <v>1207092</v>
      </c>
      <c r="B54" t="s">
        <v>60</v>
      </c>
      <c r="C54" t="s">
        <v>1448</v>
      </c>
      <c r="D54" t="s">
        <v>884</v>
      </c>
      <c r="E54" t="s">
        <v>887</v>
      </c>
      <c r="F54" t="s">
        <v>17</v>
      </c>
      <c r="G54">
        <v>2025</v>
      </c>
      <c r="H54">
        <v>8</v>
      </c>
      <c r="I54">
        <v>15</v>
      </c>
      <c r="J54">
        <v>9030</v>
      </c>
      <c r="K54">
        <v>478</v>
      </c>
      <c r="L54">
        <v>0</v>
      </c>
      <c r="M54">
        <v>150.5</v>
      </c>
      <c r="N54">
        <v>8</v>
      </c>
      <c r="O54">
        <v>10</v>
      </c>
      <c r="P54">
        <v>120</v>
      </c>
      <c r="Q54">
        <v>30.5</v>
      </c>
    </row>
    <row r="55" spans="1:17" hidden="1" x14ac:dyDescent="0.45">
      <c r="A55">
        <v>1208016</v>
      </c>
      <c r="B55" t="s">
        <v>62</v>
      </c>
      <c r="C55" t="s">
        <v>1450</v>
      </c>
      <c r="D55" t="s">
        <v>718</v>
      </c>
      <c r="E55" t="s">
        <v>741</v>
      </c>
      <c r="F55" t="s">
        <v>17</v>
      </c>
      <c r="G55">
        <v>2025</v>
      </c>
      <c r="H55">
        <v>7</v>
      </c>
      <c r="I55">
        <v>17</v>
      </c>
      <c r="J55">
        <v>8798</v>
      </c>
      <c r="K55">
        <v>604</v>
      </c>
      <c r="L55">
        <v>1</v>
      </c>
      <c r="M55">
        <v>146.6</v>
      </c>
      <c r="N55">
        <v>10.1</v>
      </c>
      <c r="O55">
        <v>8.6</v>
      </c>
      <c r="P55">
        <v>128</v>
      </c>
      <c r="Q55" s="1" t="s">
        <v>37</v>
      </c>
    </row>
    <row r="56" spans="1:17" hidden="1" x14ac:dyDescent="0.45">
      <c r="A56">
        <v>1208016</v>
      </c>
      <c r="B56" t="s">
        <v>62</v>
      </c>
      <c r="C56" t="s">
        <v>1450</v>
      </c>
      <c r="D56" t="s">
        <v>718</v>
      </c>
      <c r="E56" t="s">
        <v>741</v>
      </c>
      <c r="F56" t="s">
        <v>17</v>
      </c>
      <c r="G56">
        <v>2025</v>
      </c>
      <c r="H56">
        <v>8</v>
      </c>
      <c r="I56">
        <v>14</v>
      </c>
      <c r="J56">
        <v>8437</v>
      </c>
      <c r="K56">
        <v>159</v>
      </c>
      <c r="L56">
        <v>0</v>
      </c>
      <c r="M56">
        <v>140.6</v>
      </c>
      <c r="N56">
        <v>2.6</v>
      </c>
      <c r="O56">
        <v>10</v>
      </c>
      <c r="P56">
        <v>112</v>
      </c>
      <c r="Q56" s="1" t="s">
        <v>63</v>
      </c>
    </row>
    <row r="57" spans="1:17" hidden="1" x14ac:dyDescent="0.45">
      <c r="A57">
        <v>1208044</v>
      </c>
      <c r="B57" t="s">
        <v>64</v>
      </c>
      <c r="C57" t="s">
        <v>1454</v>
      </c>
      <c r="D57" t="s">
        <v>884</v>
      </c>
      <c r="E57" t="s">
        <v>885</v>
      </c>
      <c r="F57" t="s">
        <v>17</v>
      </c>
      <c r="G57">
        <v>2025</v>
      </c>
      <c r="H57">
        <v>6</v>
      </c>
      <c r="I57">
        <v>20</v>
      </c>
      <c r="J57">
        <v>10275</v>
      </c>
      <c r="K57">
        <v>0</v>
      </c>
      <c r="L57">
        <v>0</v>
      </c>
      <c r="M57">
        <v>171.2</v>
      </c>
      <c r="N57">
        <v>0</v>
      </c>
      <c r="O57">
        <v>8.6</v>
      </c>
      <c r="P57">
        <v>160</v>
      </c>
      <c r="Q57" s="1" t="s">
        <v>65</v>
      </c>
    </row>
    <row r="58" spans="1:17" hidden="1" x14ac:dyDescent="0.45">
      <c r="A58">
        <v>1208044</v>
      </c>
      <c r="B58" t="s">
        <v>64</v>
      </c>
      <c r="C58" t="s">
        <v>1454</v>
      </c>
      <c r="D58" t="s">
        <v>884</v>
      </c>
      <c r="E58" t="s">
        <v>885</v>
      </c>
      <c r="F58" t="s">
        <v>17</v>
      </c>
      <c r="G58">
        <v>2025</v>
      </c>
      <c r="H58">
        <v>7</v>
      </c>
      <c r="I58">
        <v>19</v>
      </c>
      <c r="J58">
        <v>10349</v>
      </c>
      <c r="K58">
        <v>0</v>
      </c>
      <c r="L58">
        <v>0</v>
      </c>
      <c r="M58">
        <v>172.5</v>
      </c>
      <c r="N58">
        <v>0</v>
      </c>
      <c r="O58">
        <v>9.1</v>
      </c>
      <c r="P58">
        <v>152</v>
      </c>
      <c r="Q58">
        <v>20.5</v>
      </c>
    </row>
    <row r="59" spans="1:17" hidden="1" x14ac:dyDescent="0.45">
      <c r="A59">
        <v>1208044</v>
      </c>
      <c r="B59" t="s">
        <v>64</v>
      </c>
      <c r="C59" t="s">
        <v>1454</v>
      </c>
      <c r="D59" t="s">
        <v>884</v>
      </c>
      <c r="E59" t="s">
        <v>885</v>
      </c>
      <c r="F59" t="s">
        <v>17</v>
      </c>
      <c r="G59">
        <v>2025</v>
      </c>
      <c r="H59">
        <v>8</v>
      </c>
      <c r="I59">
        <v>15</v>
      </c>
      <c r="J59">
        <v>7875</v>
      </c>
      <c r="K59">
        <v>0</v>
      </c>
      <c r="L59">
        <v>0</v>
      </c>
      <c r="M59">
        <v>131.19999999999999</v>
      </c>
      <c r="N59">
        <v>0</v>
      </c>
      <c r="O59">
        <v>8.6999999999999993</v>
      </c>
      <c r="P59">
        <v>120</v>
      </c>
      <c r="Q59" s="1" t="s">
        <v>65</v>
      </c>
    </row>
    <row r="60" spans="1:17" hidden="1" x14ac:dyDescent="0.45">
      <c r="A60">
        <v>1208052</v>
      </c>
      <c r="B60" t="s">
        <v>66</v>
      </c>
      <c r="C60" t="s">
        <v>1455</v>
      </c>
      <c r="D60" t="s">
        <v>921</v>
      </c>
      <c r="E60" t="s">
        <v>922</v>
      </c>
      <c r="F60" t="s">
        <v>17</v>
      </c>
      <c r="G60">
        <v>2025</v>
      </c>
      <c r="H60">
        <v>6</v>
      </c>
      <c r="I60">
        <v>14</v>
      </c>
      <c r="J60">
        <v>8073</v>
      </c>
      <c r="K60">
        <v>0</v>
      </c>
      <c r="L60">
        <v>0</v>
      </c>
      <c r="M60">
        <v>134.6</v>
      </c>
      <c r="N60">
        <v>0</v>
      </c>
      <c r="O60">
        <v>9.6</v>
      </c>
      <c r="P60">
        <v>112</v>
      </c>
      <c r="Q60" s="1" t="s">
        <v>67</v>
      </c>
    </row>
    <row r="61" spans="1:17" hidden="1" x14ac:dyDescent="0.45">
      <c r="A61">
        <v>1208052</v>
      </c>
      <c r="B61" t="s">
        <v>66</v>
      </c>
      <c r="C61" t="s">
        <v>1455</v>
      </c>
      <c r="D61" t="s">
        <v>921</v>
      </c>
      <c r="E61" t="s">
        <v>922</v>
      </c>
      <c r="F61" t="s">
        <v>17</v>
      </c>
      <c r="G61">
        <v>2025</v>
      </c>
      <c r="H61">
        <v>7</v>
      </c>
      <c r="I61">
        <v>19</v>
      </c>
      <c r="J61">
        <v>10296</v>
      </c>
      <c r="K61">
        <v>0</v>
      </c>
      <c r="L61">
        <v>0</v>
      </c>
      <c r="M61">
        <v>171.6</v>
      </c>
      <c r="N61">
        <v>0</v>
      </c>
      <c r="O61">
        <v>9</v>
      </c>
      <c r="P61">
        <v>152</v>
      </c>
      <c r="Q61" s="1" t="s">
        <v>21</v>
      </c>
    </row>
    <row r="62" spans="1:17" hidden="1" x14ac:dyDescent="0.45">
      <c r="A62">
        <v>1208052</v>
      </c>
      <c r="B62" t="s">
        <v>66</v>
      </c>
      <c r="C62" t="s">
        <v>1455</v>
      </c>
      <c r="D62" t="s">
        <v>921</v>
      </c>
      <c r="E62" t="s">
        <v>922</v>
      </c>
      <c r="F62" t="s">
        <v>17</v>
      </c>
      <c r="G62">
        <v>2025</v>
      </c>
      <c r="H62">
        <v>8</v>
      </c>
      <c r="I62">
        <v>16</v>
      </c>
      <c r="J62">
        <v>8811</v>
      </c>
      <c r="K62">
        <v>0</v>
      </c>
      <c r="L62">
        <v>0</v>
      </c>
      <c r="M62">
        <v>146.80000000000001</v>
      </c>
      <c r="N62">
        <v>0</v>
      </c>
      <c r="O62">
        <v>9.1999999999999993</v>
      </c>
      <c r="P62">
        <v>128</v>
      </c>
      <c r="Q62" s="1" t="s">
        <v>68</v>
      </c>
    </row>
    <row r="63" spans="1:17" hidden="1" x14ac:dyDescent="0.45">
      <c r="A63">
        <v>1208073</v>
      </c>
      <c r="B63" t="s">
        <v>69</v>
      </c>
      <c r="C63" t="s">
        <v>1456</v>
      </c>
      <c r="D63" t="s">
        <v>906</v>
      </c>
      <c r="E63" t="s">
        <v>909</v>
      </c>
      <c r="F63" t="s">
        <v>17</v>
      </c>
      <c r="G63">
        <v>2025</v>
      </c>
      <c r="H63">
        <v>6</v>
      </c>
      <c r="I63">
        <v>18</v>
      </c>
      <c r="J63">
        <v>11277</v>
      </c>
      <c r="K63">
        <v>125</v>
      </c>
      <c r="L63">
        <v>0</v>
      </c>
      <c r="M63">
        <v>188</v>
      </c>
      <c r="N63">
        <v>2.1</v>
      </c>
      <c r="O63">
        <v>10.4</v>
      </c>
      <c r="P63">
        <v>144</v>
      </c>
      <c r="Q63">
        <v>44</v>
      </c>
    </row>
    <row r="64" spans="1:17" hidden="1" x14ac:dyDescent="0.45">
      <c r="A64">
        <v>1208073</v>
      </c>
      <c r="B64" t="s">
        <v>69</v>
      </c>
      <c r="C64" t="s">
        <v>1456</v>
      </c>
      <c r="D64" t="s">
        <v>906</v>
      </c>
      <c r="E64" t="s">
        <v>909</v>
      </c>
      <c r="F64" t="s">
        <v>17</v>
      </c>
      <c r="G64">
        <v>2025</v>
      </c>
      <c r="H64">
        <v>7</v>
      </c>
      <c r="I64">
        <v>17</v>
      </c>
      <c r="J64">
        <v>10467</v>
      </c>
      <c r="K64">
        <v>384</v>
      </c>
      <c r="L64">
        <v>0</v>
      </c>
      <c r="M64">
        <v>174.4</v>
      </c>
      <c r="N64">
        <v>6.4</v>
      </c>
      <c r="O64">
        <v>10.3</v>
      </c>
      <c r="P64">
        <v>136</v>
      </c>
      <c r="Q64" s="1" t="s">
        <v>70</v>
      </c>
    </row>
    <row r="65" spans="1:17" hidden="1" x14ac:dyDescent="0.45">
      <c r="A65">
        <v>1208073</v>
      </c>
      <c r="B65" t="s">
        <v>69</v>
      </c>
      <c r="C65" t="s">
        <v>1456</v>
      </c>
      <c r="D65" t="s">
        <v>906</v>
      </c>
      <c r="E65" t="s">
        <v>909</v>
      </c>
      <c r="F65" t="s">
        <v>17</v>
      </c>
      <c r="G65">
        <v>2025</v>
      </c>
      <c r="H65">
        <v>8</v>
      </c>
      <c r="I65">
        <v>15</v>
      </c>
      <c r="J65">
        <v>8255</v>
      </c>
      <c r="K65">
        <v>237</v>
      </c>
      <c r="L65">
        <v>0</v>
      </c>
      <c r="M65">
        <v>137.6</v>
      </c>
      <c r="N65">
        <v>4</v>
      </c>
      <c r="O65">
        <v>9.1999999999999993</v>
      </c>
      <c r="P65">
        <v>120</v>
      </c>
      <c r="Q65" s="1" t="s">
        <v>71</v>
      </c>
    </row>
    <row r="66" spans="1:17" hidden="1" x14ac:dyDescent="0.45">
      <c r="A66">
        <v>1208077</v>
      </c>
      <c r="B66" t="s">
        <v>72</v>
      </c>
      <c r="C66" t="s">
        <v>1457</v>
      </c>
      <c r="D66" t="s">
        <v>929</v>
      </c>
      <c r="E66" t="s">
        <v>931</v>
      </c>
      <c r="F66" t="s">
        <v>17</v>
      </c>
      <c r="G66">
        <v>2025</v>
      </c>
      <c r="H66">
        <v>6</v>
      </c>
      <c r="I66">
        <v>15</v>
      </c>
      <c r="J66">
        <v>8887</v>
      </c>
      <c r="K66">
        <v>329</v>
      </c>
      <c r="L66">
        <v>0</v>
      </c>
      <c r="M66">
        <v>148.1</v>
      </c>
      <c r="N66">
        <v>5.5</v>
      </c>
      <c r="O66">
        <v>9.9</v>
      </c>
      <c r="P66">
        <v>120</v>
      </c>
      <c r="Q66" s="1" t="s">
        <v>36</v>
      </c>
    </row>
    <row r="67" spans="1:17" hidden="1" x14ac:dyDescent="0.45">
      <c r="A67">
        <v>1208077</v>
      </c>
      <c r="B67" t="s">
        <v>72</v>
      </c>
      <c r="C67" t="s">
        <v>1457</v>
      </c>
      <c r="D67" t="s">
        <v>929</v>
      </c>
      <c r="E67" t="s">
        <v>931</v>
      </c>
      <c r="F67" t="s">
        <v>17</v>
      </c>
      <c r="G67">
        <v>2025</v>
      </c>
      <c r="H67">
        <v>7</v>
      </c>
      <c r="I67">
        <v>19</v>
      </c>
      <c r="J67">
        <v>11977</v>
      </c>
      <c r="K67">
        <v>0</v>
      </c>
      <c r="L67">
        <v>1</v>
      </c>
      <c r="M67">
        <v>199.6</v>
      </c>
      <c r="N67">
        <v>0</v>
      </c>
      <c r="O67">
        <v>10.5</v>
      </c>
      <c r="P67">
        <v>144</v>
      </c>
      <c r="Q67" s="1" t="s">
        <v>73</v>
      </c>
    </row>
    <row r="68" spans="1:17" hidden="1" x14ac:dyDescent="0.45">
      <c r="A68">
        <v>1208077</v>
      </c>
      <c r="B68" t="s">
        <v>72</v>
      </c>
      <c r="C68" t="s">
        <v>1457</v>
      </c>
      <c r="D68" t="s">
        <v>929</v>
      </c>
      <c r="E68" t="s">
        <v>931</v>
      </c>
      <c r="F68" t="s">
        <v>17</v>
      </c>
      <c r="G68">
        <v>2025</v>
      </c>
      <c r="H68">
        <v>8</v>
      </c>
      <c r="I68">
        <v>16</v>
      </c>
      <c r="J68">
        <v>8042</v>
      </c>
      <c r="K68">
        <v>0</v>
      </c>
      <c r="L68">
        <v>0</v>
      </c>
      <c r="M68">
        <v>134</v>
      </c>
      <c r="N68">
        <v>0</v>
      </c>
      <c r="O68">
        <v>8.4</v>
      </c>
      <c r="P68">
        <v>128</v>
      </c>
      <c r="Q68">
        <v>6</v>
      </c>
    </row>
    <row r="69" spans="1:17" hidden="1" x14ac:dyDescent="0.45">
      <c r="A69">
        <v>1209035</v>
      </c>
      <c r="B69" t="s">
        <v>74</v>
      </c>
      <c r="C69" t="s">
        <v>1452</v>
      </c>
      <c r="D69" t="e">
        <v>#N/A</v>
      </c>
      <c r="E69" t="e">
        <v>#N/A</v>
      </c>
      <c r="F69" t="s">
        <v>75</v>
      </c>
      <c r="G69">
        <v>2025</v>
      </c>
      <c r="H69">
        <v>6</v>
      </c>
      <c r="I69">
        <v>19</v>
      </c>
      <c r="J69">
        <v>11866</v>
      </c>
      <c r="K69">
        <v>0</v>
      </c>
      <c r="L69">
        <v>1</v>
      </c>
      <c r="M69">
        <v>197.8</v>
      </c>
      <c r="N69">
        <v>0</v>
      </c>
      <c r="O69">
        <v>10.4</v>
      </c>
      <c r="P69">
        <v>144</v>
      </c>
      <c r="Q69" s="1" t="s">
        <v>76</v>
      </c>
    </row>
    <row r="70" spans="1:17" hidden="1" x14ac:dyDescent="0.45">
      <c r="A70">
        <v>1209035</v>
      </c>
      <c r="B70" t="s">
        <v>74</v>
      </c>
      <c r="C70" t="s">
        <v>1452</v>
      </c>
      <c r="D70" t="e">
        <v>#N/A</v>
      </c>
      <c r="E70" t="e">
        <v>#N/A</v>
      </c>
      <c r="F70" t="s">
        <v>75</v>
      </c>
      <c r="G70">
        <v>2025</v>
      </c>
      <c r="H70">
        <v>7</v>
      </c>
      <c r="I70">
        <v>19</v>
      </c>
      <c r="J70">
        <v>15021</v>
      </c>
      <c r="K70">
        <v>0</v>
      </c>
      <c r="L70">
        <v>2</v>
      </c>
      <c r="M70">
        <v>250.4</v>
      </c>
      <c r="N70">
        <v>0</v>
      </c>
      <c r="O70">
        <v>13.2</v>
      </c>
      <c r="P70">
        <v>136</v>
      </c>
      <c r="Q70">
        <v>114.4</v>
      </c>
    </row>
    <row r="71" spans="1:17" hidden="1" x14ac:dyDescent="0.45">
      <c r="A71">
        <v>1209035</v>
      </c>
      <c r="B71" t="s">
        <v>74</v>
      </c>
      <c r="C71" t="s">
        <v>1452</v>
      </c>
      <c r="D71" t="e">
        <v>#N/A</v>
      </c>
      <c r="E71" t="e">
        <v>#N/A</v>
      </c>
      <c r="F71" t="s">
        <v>75</v>
      </c>
      <c r="G71">
        <v>2025</v>
      </c>
      <c r="H71">
        <v>8</v>
      </c>
      <c r="I71">
        <v>13</v>
      </c>
      <c r="J71">
        <v>3516</v>
      </c>
      <c r="K71">
        <v>0</v>
      </c>
      <c r="L71">
        <v>0</v>
      </c>
      <c r="M71">
        <v>58.6</v>
      </c>
      <c r="N71">
        <v>0</v>
      </c>
      <c r="O71">
        <v>4.5</v>
      </c>
      <c r="P71">
        <v>104</v>
      </c>
      <c r="Q71">
        <v>-45.4</v>
      </c>
    </row>
    <row r="72" spans="1:17" hidden="1" x14ac:dyDescent="0.45">
      <c r="A72">
        <v>1209039</v>
      </c>
      <c r="B72" t="s">
        <v>77</v>
      </c>
      <c r="C72" t="s">
        <v>1458</v>
      </c>
      <c r="D72" t="e">
        <v>#N/A</v>
      </c>
      <c r="E72" t="e">
        <v>#N/A</v>
      </c>
      <c r="F72" t="s">
        <v>78</v>
      </c>
      <c r="G72">
        <v>2025</v>
      </c>
      <c r="H72">
        <v>6</v>
      </c>
      <c r="I72">
        <v>3</v>
      </c>
      <c r="J72">
        <v>46</v>
      </c>
      <c r="K72">
        <v>0</v>
      </c>
      <c r="L72">
        <v>0</v>
      </c>
      <c r="M72">
        <v>0.8</v>
      </c>
      <c r="N72">
        <v>0</v>
      </c>
      <c r="O72">
        <v>0.3</v>
      </c>
      <c r="P72">
        <v>24</v>
      </c>
      <c r="Q72">
        <v>-23.2</v>
      </c>
    </row>
    <row r="73" spans="1:17" hidden="1" x14ac:dyDescent="0.45">
      <c r="A73">
        <v>1209046</v>
      </c>
      <c r="B73" t="s">
        <v>79</v>
      </c>
      <c r="C73" t="s">
        <v>1459</v>
      </c>
      <c r="D73" t="s">
        <v>954</v>
      </c>
      <c r="E73" t="s">
        <v>962</v>
      </c>
      <c r="F73" t="s">
        <v>17</v>
      </c>
      <c r="G73">
        <v>2025</v>
      </c>
      <c r="H73">
        <v>6</v>
      </c>
      <c r="I73">
        <v>18</v>
      </c>
      <c r="J73">
        <v>11711</v>
      </c>
      <c r="K73">
        <v>1972</v>
      </c>
      <c r="L73">
        <v>0</v>
      </c>
      <c r="M73">
        <v>195.2</v>
      </c>
      <c r="N73">
        <v>32.9</v>
      </c>
      <c r="O73">
        <v>10.8</v>
      </c>
      <c r="P73">
        <v>144</v>
      </c>
      <c r="Q73" s="1" t="s">
        <v>80</v>
      </c>
    </row>
    <row r="74" spans="1:17" hidden="1" x14ac:dyDescent="0.45">
      <c r="A74">
        <v>1209046</v>
      </c>
      <c r="B74" t="s">
        <v>79</v>
      </c>
      <c r="C74" t="s">
        <v>1459</v>
      </c>
      <c r="D74" t="s">
        <v>954</v>
      </c>
      <c r="E74" t="s">
        <v>962</v>
      </c>
      <c r="F74" t="s">
        <v>17</v>
      </c>
      <c r="G74">
        <v>2025</v>
      </c>
      <c r="H74">
        <v>7</v>
      </c>
      <c r="I74">
        <v>18</v>
      </c>
      <c r="J74">
        <v>12060</v>
      </c>
      <c r="K74">
        <v>1807</v>
      </c>
      <c r="L74">
        <v>0</v>
      </c>
      <c r="M74">
        <v>201</v>
      </c>
      <c r="N74">
        <v>30.1</v>
      </c>
      <c r="O74">
        <v>11.2</v>
      </c>
      <c r="P74">
        <v>144</v>
      </c>
      <c r="Q74">
        <v>57</v>
      </c>
    </row>
    <row r="75" spans="1:17" hidden="1" x14ac:dyDescent="0.45">
      <c r="A75">
        <v>1209046</v>
      </c>
      <c r="B75" t="s">
        <v>79</v>
      </c>
      <c r="C75" t="s">
        <v>1459</v>
      </c>
      <c r="D75" t="s">
        <v>954</v>
      </c>
      <c r="E75" t="s">
        <v>962</v>
      </c>
      <c r="F75" t="s">
        <v>17</v>
      </c>
      <c r="G75">
        <v>2025</v>
      </c>
      <c r="H75">
        <v>8</v>
      </c>
      <c r="I75">
        <v>15</v>
      </c>
      <c r="J75">
        <v>9459</v>
      </c>
      <c r="K75">
        <v>1034</v>
      </c>
      <c r="L75">
        <v>1</v>
      </c>
      <c r="M75">
        <v>157.6</v>
      </c>
      <c r="N75">
        <v>17.2</v>
      </c>
      <c r="O75">
        <v>10.5</v>
      </c>
      <c r="P75">
        <v>112</v>
      </c>
      <c r="Q75" s="1" t="s">
        <v>81</v>
      </c>
    </row>
    <row r="76" spans="1:17" hidden="1" x14ac:dyDescent="0.45">
      <c r="A76">
        <v>1209058</v>
      </c>
      <c r="B76" t="s">
        <v>82</v>
      </c>
      <c r="C76" t="s">
        <v>1456</v>
      </c>
      <c r="D76" t="s">
        <v>906</v>
      </c>
      <c r="E76" t="s">
        <v>909</v>
      </c>
      <c r="F76" t="s">
        <v>17</v>
      </c>
      <c r="G76">
        <v>2025</v>
      </c>
      <c r="H76">
        <v>6</v>
      </c>
      <c r="I76">
        <v>19</v>
      </c>
      <c r="J76">
        <v>11286</v>
      </c>
      <c r="K76">
        <v>0</v>
      </c>
      <c r="L76">
        <v>0</v>
      </c>
      <c r="M76">
        <v>188.1</v>
      </c>
      <c r="N76">
        <v>0</v>
      </c>
      <c r="O76">
        <v>9.9</v>
      </c>
      <c r="P76">
        <v>152</v>
      </c>
      <c r="Q76" s="1" t="s">
        <v>83</v>
      </c>
    </row>
    <row r="77" spans="1:17" hidden="1" x14ac:dyDescent="0.45">
      <c r="A77">
        <v>1209058</v>
      </c>
      <c r="B77" t="s">
        <v>82</v>
      </c>
      <c r="C77" t="s">
        <v>1456</v>
      </c>
      <c r="D77" t="s">
        <v>906</v>
      </c>
      <c r="E77" t="s">
        <v>909</v>
      </c>
      <c r="F77" t="s">
        <v>17</v>
      </c>
      <c r="G77">
        <v>2025</v>
      </c>
      <c r="H77">
        <v>7</v>
      </c>
      <c r="I77">
        <v>19</v>
      </c>
      <c r="J77">
        <v>12056</v>
      </c>
      <c r="K77">
        <v>0</v>
      </c>
      <c r="L77">
        <v>0</v>
      </c>
      <c r="M77">
        <v>200.9</v>
      </c>
      <c r="N77">
        <v>0</v>
      </c>
      <c r="O77">
        <v>10.6</v>
      </c>
      <c r="P77">
        <v>152</v>
      </c>
      <c r="Q77" s="1" t="s">
        <v>84</v>
      </c>
    </row>
    <row r="78" spans="1:17" hidden="1" x14ac:dyDescent="0.45">
      <c r="A78">
        <v>1209058</v>
      </c>
      <c r="B78" t="s">
        <v>82</v>
      </c>
      <c r="C78" t="s">
        <v>1456</v>
      </c>
      <c r="D78" t="s">
        <v>906</v>
      </c>
      <c r="E78" t="s">
        <v>909</v>
      </c>
      <c r="F78" t="s">
        <v>17</v>
      </c>
      <c r="G78">
        <v>2025</v>
      </c>
      <c r="H78">
        <v>8</v>
      </c>
      <c r="I78">
        <v>16</v>
      </c>
      <c r="J78">
        <v>8638</v>
      </c>
      <c r="K78">
        <v>0</v>
      </c>
      <c r="L78">
        <v>0</v>
      </c>
      <c r="M78">
        <v>144</v>
      </c>
      <c r="N78">
        <v>0</v>
      </c>
      <c r="O78">
        <v>9</v>
      </c>
      <c r="P78">
        <v>128</v>
      </c>
      <c r="Q78">
        <v>16</v>
      </c>
    </row>
    <row r="79" spans="1:17" hidden="1" x14ac:dyDescent="0.45">
      <c r="A79">
        <v>1209074</v>
      </c>
      <c r="B79" t="s">
        <v>85</v>
      </c>
      <c r="C79" t="s">
        <v>1460</v>
      </c>
      <c r="D79" t="s">
        <v>954</v>
      </c>
      <c r="E79" t="s">
        <v>954</v>
      </c>
      <c r="F79" t="s">
        <v>17</v>
      </c>
      <c r="G79">
        <v>2025</v>
      </c>
      <c r="H79">
        <v>6</v>
      </c>
      <c r="I79">
        <v>18</v>
      </c>
      <c r="J79">
        <v>10567</v>
      </c>
      <c r="K79">
        <v>0</v>
      </c>
      <c r="L79">
        <v>0</v>
      </c>
      <c r="M79">
        <v>176.1</v>
      </c>
      <c r="N79">
        <v>0</v>
      </c>
      <c r="O79">
        <v>9.8000000000000007</v>
      </c>
      <c r="P79">
        <v>144</v>
      </c>
      <c r="Q79" s="1" t="s">
        <v>34</v>
      </c>
    </row>
    <row r="80" spans="1:17" hidden="1" x14ac:dyDescent="0.45">
      <c r="A80">
        <v>1209074</v>
      </c>
      <c r="B80" t="s">
        <v>85</v>
      </c>
      <c r="C80" t="s">
        <v>1460</v>
      </c>
      <c r="D80" t="s">
        <v>954</v>
      </c>
      <c r="E80" t="s">
        <v>954</v>
      </c>
      <c r="F80" t="s">
        <v>17</v>
      </c>
      <c r="G80">
        <v>2025</v>
      </c>
      <c r="H80">
        <v>7</v>
      </c>
      <c r="I80">
        <v>19</v>
      </c>
      <c r="J80">
        <v>10668</v>
      </c>
      <c r="K80">
        <v>0</v>
      </c>
      <c r="L80">
        <v>0</v>
      </c>
      <c r="M80">
        <v>177.8</v>
      </c>
      <c r="N80">
        <v>0</v>
      </c>
      <c r="O80">
        <v>9.4</v>
      </c>
      <c r="P80">
        <v>152</v>
      </c>
      <c r="Q80" s="1" t="s">
        <v>86</v>
      </c>
    </row>
    <row r="81" spans="1:17" hidden="1" x14ac:dyDescent="0.45">
      <c r="A81">
        <v>1209074</v>
      </c>
      <c r="B81" t="s">
        <v>85</v>
      </c>
      <c r="C81" t="s">
        <v>1460</v>
      </c>
      <c r="D81" t="s">
        <v>954</v>
      </c>
      <c r="E81" t="s">
        <v>954</v>
      </c>
      <c r="F81" t="s">
        <v>17</v>
      </c>
      <c r="G81">
        <v>2025</v>
      </c>
      <c r="H81">
        <v>8</v>
      </c>
      <c r="I81">
        <v>16</v>
      </c>
      <c r="J81">
        <v>8726</v>
      </c>
      <c r="K81">
        <v>0</v>
      </c>
      <c r="L81">
        <v>0</v>
      </c>
      <c r="M81">
        <v>145.4</v>
      </c>
      <c r="N81">
        <v>0</v>
      </c>
      <c r="O81">
        <v>9.1</v>
      </c>
      <c r="P81">
        <v>128</v>
      </c>
      <c r="Q81" s="1" t="s">
        <v>87</v>
      </c>
    </row>
    <row r="82" spans="1:17" hidden="1" x14ac:dyDescent="0.45">
      <c r="A82">
        <v>1209084</v>
      </c>
      <c r="B82" t="s">
        <v>88</v>
      </c>
      <c r="C82" t="s">
        <v>1459</v>
      </c>
      <c r="D82" t="s">
        <v>954</v>
      </c>
      <c r="E82" t="s">
        <v>962</v>
      </c>
      <c r="F82" t="s">
        <v>17</v>
      </c>
      <c r="G82">
        <v>2025</v>
      </c>
      <c r="H82">
        <v>6</v>
      </c>
      <c r="I82">
        <v>15</v>
      </c>
      <c r="J82">
        <v>10321</v>
      </c>
      <c r="K82">
        <v>1247</v>
      </c>
      <c r="L82">
        <v>0</v>
      </c>
      <c r="M82">
        <v>172</v>
      </c>
      <c r="N82">
        <v>20.8</v>
      </c>
      <c r="O82">
        <v>11.5</v>
      </c>
      <c r="P82">
        <v>120</v>
      </c>
      <c r="Q82">
        <v>52</v>
      </c>
    </row>
    <row r="83" spans="1:17" hidden="1" x14ac:dyDescent="0.45">
      <c r="A83">
        <v>1209084</v>
      </c>
      <c r="B83" t="s">
        <v>88</v>
      </c>
      <c r="C83" t="s">
        <v>1459</v>
      </c>
      <c r="D83" t="s">
        <v>954</v>
      </c>
      <c r="E83" t="s">
        <v>962</v>
      </c>
      <c r="F83" t="s">
        <v>17</v>
      </c>
      <c r="G83">
        <v>2025</v>
      </c>
      <c r="H83">
        <v>7</v>
      </c>
      <c r="I83">
        <v>17</v>
      </c>
      <c r="J83">
        <v>11109</v>
      </c>
      <c r="K83">
        <v>1597</v>
      </c>
      <c r="L83">
        <v>0</v>
      </c>
      <c r="M83">
        <v>185.2</v>
      </c>
      <c r="N83">
        <v>26.6</v>
      </c>
      <c r="O83">
        <v>10.9</v>
      </c>
      <c r="P83">
        <v>136</v>
      </c>
      <c r="Q83" s="1" t="s">
        <v>89</v>
      </c>
    </row>
    <row r="84" spans="1:17" hidden="1" x14ac:dyDescent="0.45">
      <c r="A84">
        <v>1209084</v>
      </c>
      <c r="B84" t="s">
        <v>88</v>
      </c>
      <c r="C84" t="s">
        <v>1459</v>
      </c>
      <c r="D84" t="s">
        <v>954</v>
      </c>
      <c r="E84" t="s">
        <v>962</v>
      </c>
      <c r="F84" t="s">
        <v>17</v>
      </c>
      <c r="G84">
        <v>2025</v>
      </c>
      <c r="H84">
        <v>8</v>
      </c>
      <c r="I84">
        <v>15</v>
      </c>
      <c r="J84">
        <v>10154</v>
      </c>
      <c r="K84">
        <v>1289</v>
      </c>
      <c r="L84">
        <v>0</v>
      </c>
      <c r="M84">
        <v>169.2</v>
      </c>
      <c r="N84">
        <v>21.5</v>
      </c>
      <c r="O84">
        <v>11.3</v>
      </c>
      <c r="P84">
        <v>120</v>
      </c>
      <c r="Q84" s="1" t="s">
        <v>89</v>
      </c>
    </row>
    <row r="85" spans="1:17" hidden="1" x14ac:dyDescent="0.45">
      <c r="A85">
        <v>1210014</v>
      </c>
      <c r="B85" t="s">
        <v>90</v>
      </c>
      <c r="C85" t="s">
        <v>1453</v>
      </c>
      <c r="D85" t="s">
        <v>815</v>
      </c>
      <c r="E85" t="s">
        <v>827</v>
      </c>
      <c r="F85" t="s">
        <v>17</v>
      </c>
      <c r="G85">
        <v>2025</v>
      </c>
      <c r="H85">
        <v>6</v>
      </c>
      <c r="I85">
        <v>18</v>
      </c>
      <c r="J85">
        <v>11503</v>
      </c>
      <c r="K85">
        <v>879</v>
      </c>
      <c r="L85">
        <v>0</v>
      </c>
      <c r="M85">
        <v>191.7</v>
      </c>
      <c r="N85">
        <v>14.6</v>
      </c>
      <c r="O85">
        <v>10.6</v>
      </c>
      <c r="P85">
        <v>144</v>
      </c>
      <c r="Q85" s="1" t="s">
        <v>91</v>
      </c>
    </row>
    <row r="86" spans="1:17" hidden="1" x14ac:dyDescent="0.45">
      <c r="A86">
        <v>1210014</v>
      </c>
      <c r="B86" t="s">
        <v>90</v>
      </c>
      <c r="C86" t="s">
        <v>1453</v>
      </c>
      <c r="D86" t="s">
        <v>815</v>
      </c>
      <c r="E86" t="s">
        <v>827</v>
      </c>
      <c r="F86" t="s">
        <v>17</v>
      </c>
      <c r="G86">
        <v>2025</v>
      </c>
      <c r="H86">
        <v>7</v>
      </c>
      <c r="I86">
        <v>18</v>
      </c>
      <c r="J86">
        <v>11328</v>
      </c>
      <c r="K86">
        <v>603</v>
      </c>
      <c r="L86">
        <v>0</v>
      </c>
      <c r="M86">
        <v>188.8</v>
      </c>
      <c r="N86">
        <v>10</v>
      </c>
      <c r="O86">
        <v>10.5</v>
      </c>
      <c r="P86">
        <v>144</v>
      </c>
      <c r="Q86" s="1" t="s">
        <v>92</v>
      </c>
    </row>
    <row r="87" spans="1:17" hidden="1" x14ac:dyDescent="0.45">
      <c r="A87">
        <v>1210014</v>
      </c>
      <c r="B87" t="s">
        <v>90</v>
      </c>
      <c r="C87" t="s">
        <v>1453</v>
      </c>
      <c r="D87" t="s">
        <v>815</v>
      </c>
      <c r="E87" t="s">
        <v>827</v>
      </c>
      <c r="F87" t="s">
        <v>17</v>
      </c>
      <c r="G87">
        <v>2025</v>
      </c>
      <c r="H87">
        <v>8</v>
      </c>
      <c r="I87">
        <v>16</v>
      </c>
      <c r="J87">
        <v>10338</v>
      </c>
      <c r="K87">
        <v>1256</v>
      </c>
      <c r="L87">
        <v>0</v>
      </c>
      <c r="M87">
        <v>172.3</v>
      </c>
      <c r="N87">
        <v>20.9</v>
      </c>
      <c r="O87">
        <v>10.8</v>
      </c>
      <c r="P87">
        <v>128</v>
      </c>
      <c r="Q87" s="1" t="s">
        <v>93</v>
      </c>
    </row>
    <row r="88" spans="1:17" hidden="1" x14ac:dyDescent="0.45">
      <c r="A88">
        <v>1210019</v>
      </c>
      <c r="B88" t="s">
        <v>94</v>
      </c>
      <c r="C88" t="s">
        <v>1461</v>
      </c>
      <c r="D88" t="s">
        <v>938</v>
      </c>
      <c r="E88" t="s">
        <v>940</v>
      </c>
      <c r="F88" t="s">
        <v>17</v>
      </c>
      <c r="G88">
        <v>2025</v>
      </c>
      <c r="H88">
        <v>6</v>
      </c>
      <c r="I88">
        <v>18</v>
      </c>
      <c r="J88">
        <v>11682</v>
      </c>
      <c r="K88">
        <v>1687</v>
      </c>
      <c r="L88">
        <v>0</v>
      </c>
      <c r="M88">
        <v>194.7</v>
      </c>
      <c r="N88">
        <v>28.1</v>
      </c>
      <c r="O88">
        <v>10.8</v>
      </c>
      <c r="P88">
        <v>144</v>
      </c>
      <c r="Q88" s="1" t="s">
        <v>95</v>
      </c>
    </row>
    <row r="89" spans="1:17" hidden="1" x14ac:dyDescent="0.45">
      <c r="A89">
        <v>1210019</v>
      </c>
      <c r="B89" t="s">
        <v>94</v>
      </c>
      <c r="C89" t="s">
        <v>1461</v>
      </c>
      <c r="D89" t="s">
        <v>938</v>
      </c>
      <c r="E89" t="s">
        <v>940</v>
      </c>
      <c r="F89" t="s">
        <v>17</v>
      </c>
      <c r="G89">
        <v>2025</v>
      </c>
      <c r="H89">
        <v>7</v>
      </c>
      <c r="I89">
        <v>19</v>
      </c>
      <c r="J89">
        <v>12572</v>
      </c>
      <c r="K89">
        <v>1879</v>
      </c>
      <c r="L89">
        <v>0</v>
      </c>
      <c r="M89">
        <v>209.5</v>
      </c>
      <c r="N89">
        <v>31.3</v>
      </c>
      <c r="O89">
        <v>11</v>
      </c>
      <c r="P89">
        <v>152</v>
      </c>
      <c r="Q89">
        <v>57.5</v>
      </c>
    </row>
    <row r="90" spans="1:17" hidden="1" x14ac:dyDescent="0.45">
      <c r="A90">
        <v>1210019</v>
      </c>
      <c r="B90" t="s">
        <v>94</v>
      </c>
      <c r="C90" t="s">
        <v>1461</v>
      </c>
      <c r="D90" t="s">
        <v>938</v>
      </c>
      <c r="E90" t="s">
        <v>940</v>
      </c>
      <c r="F90" t="s">
        <v>17</v>
      </c>
      <c r="G90">
        <v>2025</v>
      </c>
      <c r="H90">
        <v>8</v>
      </c>
      <c r="I90">
        <v>16</v>
      </c>
      <c r="J90">
        <v>10483</v>
      </c>
      <c r="K90">
        <v>1593</v>
      </c>
      <c r="L90">
        <v>0</v>
      </c>
      <c r="M90">
        <v>174.7</v>
      </c>
      <c r="N90">
        <v>26.6</v>
      </c>
      <c r="O90">
        <v>10.9</v>
      </c>
      <c r="P90">
        <v>128</v>
      </c>
      <c r="Q90" s="1" t="s">
        <v>96</v>
      </c>
    </row>
    <row r="91" spans="1:17" hidden="1" x14ac:dyDescent="0.45">
      <c r="A91">
        <v>1210020</v>
      </c>
      <c r="B91" t="s">
        <v>97</v>
      </c>
      <c r="C91" t="s">
        <v>1462</v>
      </c>
      <c r="D91" t="s">
        <v>718</v>
      </c>
      <c r="E91" t="s">
        <v>743</v>
      </c>
      <c r="F91" t="s">
        <v>17</v>
      </c>
      <c r="G91">
        <v>2025</v>
      </c>
      <c r="H91">
        <v>6</v>
      </c>
      <c r="I91">
        <v>19</v>
      </c>
      <c r="J91">
        <v>10285</v>
      </c>
      <c r="K91">
        <v>0</v>
      </c>
      <c r="L91">
        <v>0</v>
      </c>
      <c r="M91">
        <v>171.4</v>
      </c>
      <c r="N91">
        <v>0</v>
      </c>
      <c r="O91">
        <v>9</v>
      </c>
      <c r="P91">
        <v>152</v>
      </c>
      <c r="Q91" s="1" t="s">
        <v>53</v>
      </c>
    </row>
    <row r="92" spans="1:17" hidden="1" x14ac:dyDescent="0.45">
      <c r="A92">
        <v>1210020</v>
      </c>
      <c r="B92" t="s">
        <v>97</v>
      </c>
      <c r="C92" t="s">
        <v>1462</v>
      </c>
      <c r="D92" t="s">
        <v>718</v>
      </c>
      <c r="E92" t="s">
        <v>743</v>
      </c>
      <c r="F92" t="s">
        <v>17</v>
      </c>
      <c r="G92">
        <v>2025</v>
      </c>
      <c r="H92">
        <v>7</v>
      </c>
      <c r="I92">
        <v>20</v>
      </c>
      <c r="J92">
        <v>10840</v>
      </c>
      <c r="K92">
        <v>330</v>
      </c>
      <c r="L92">
        <v>1</v>
      </c>
      <c r="M92">
        <v>180.7</v>
      </c>
      <c r="N92">
        <v>5.5</v>
      </c>
      <c r="O92">
        <v>9</v>
      </c>
      <c r="P92">
        <v>152</v>
      </c>
      <c r="Q92" s="1" t="s">
        <v>98</v>
      </c>
    </row>
    <row r="93" spans="1:17" hidden="1" x14ac:dyDescent="0.45">
      <c r="A93">
        <v>1210020</v>
      </c>
      <c r="B93" t="s">
        <v>97</v>
      </c>
      <c r="C93" t="s">
        <v>1462</v>
      </c>
      <c r="D93" t="s">
        <v>718</v>
      </c>
      <c r="E93" t="s">
        <v>743</v>
      </c>
      <c r="F93" t="s">
        <v>17</v>
      </c>
      <c r="G93">
        <v>2025</v>
      </c>
      <c r="H93">
        <v>8</v>
      </c>
      <c r="I93">
        <v>16</v>
      </c>
      <c r="J93">
        <v>8872</v>
      </c>
      <c r="K93">
        <v>243</v>
      </c>
      <c r="L93">
        <v>0</v>
      </c>
      <c r="M93">
        <v>147.9</v>
      </c>
      <c r="N93">
        <v>4</v>
      </c>
      <c r="O93">
        <v>9.1999999999999993</v>
      </c>
      <c r="P93">
        <v>128</v>
      </c>
      <c r="Q93" s="1" t="s">
        <v>99</v>
      </c>
    </row>
    <row r="94" spans="1:17" hidden="1" x14ac:dyDescent="0.45">
      <c r="A94">
        <v>1210021</v>
      </c>
      <c r="B94" t="s">
        <v>100</v>
      </c>
      <c r="C94" t="s">
        <v>1456</v>
      </c>
      <c r="D94" t="s">
        <v>906</v>
      </c>
      <c r="E94" t="s">
        <v>909</v>
      </c>
      <c r="F94" t="s">
        <v>17</v>
      </c>
      <c r="G94">
        <v>2025</v>
      </c>
      <c r="H94">
        <v>6</v>
      </c>
      <c r="I94">
        <v>18</v>
      </c>
      <c r="J94">
        <v>11506</v>
      </c>
      <c r="K94">
        <v>0</v>
      </c>
      <c r="L94">
        <v>0</v>
      </c>
      <c r="M94">
        <v>191.8</v>
      </c>
      <c r="N94">
        <v>0</v>
      </c>
      <c r="O94">
        <v>10.7</v>
      </c>
      <c r="P94">
        <v>144</v>
      </c>
      <c r="Q94" s="1" t="s">
        <v>101</v>
      </c>
    </row>
    <row r="95" spans="1:17" hidden="1" x14ac:dyDescent="0.45">
      <c r="A95">
        <v>1210021</v>
      </c>
      <c r="B95" t="s">
        <v>100</v>
      </c>
      <c r="C95" t="s">
        <v>1456</v>
      </c>
      <c r="D95" t="s">
        <v>906</v>
      </c>
      <c r="E95" t="s">
        <v>909</v>
      </c>
      <c r="F95" t="s">
        <v>17</v>
      </c>
      <c r="G95">
        <v>2025</v>
      </c>
      <c r="H95">
        <v>7</v>
      </c>
      <c r="I95">
        <v>18</v>
      </c>
      <c r="J95">
        <v>11833</v>
      </c>
      <c r="K95">
        <v>0</v>
      </c>
      <c r="L95">
        <v>0</v>
      </c>
      <c r="M95">
        <v>197.2</v>
      </c>
      <c r="N95">
        <v>0</v>
      </c>
      <c r="O95">
        <v>11</v>
      </c>
      <c r="P95">
        <v>144</v>
      </c>
      <c r="Q95" s="1" t="s">
        <v>102</v>
      </c>
    </row>
    <row r="96" spans="1:17" hidden="1" x14ac:dyDescent="0.45">
      <c r="A96">
        <v>1210021</v>
      </c>
      <c r="B96" t="s">
        <v>100</v>
      </c>
      <c r="C96" t="s">
        <v>1456</v>
      </c>
      <c r="D96" t="s">
        <v>906</v>
      </c>
      <c r="E96" t="s">
        <v>909</v>
      </c>
      <c r="F96" t="s">
        <v>17</v>
      </c>
      <c r="G96">
        <v>2025</v>
      </c>
      <c r="H96">
        <v>8</v>
      </c>
      <c r="I96">
        <v>16</v>
      </c>
      <c r="J96">
        <v>10000</v>
      </c>
      <c r="K96">
        <v>0</v>
      </c>
      <c r="L96">
        <v>0</v>
      </c>
      <c r="M96">
        <v>166.7</v>
      </c>
      <c r="N96">
        <v>0</v>
      </c>
      <c r="O96">
        <v>10.4</v>
      </c>
      <c r="P96">
        <v>128</v>
      </c>
      <c r="Q96" s="1" t="s">
        <v>103</v>
      </c>
    </row>
    <row r="97" spans="1:17" hidden="1" x14ac:dyDescent="0.45">
      <c r="A97">
        <v>1210025</v>
      </c>
      <c r="B97" t="s">
        <v>104</v>
      </c>
      <c r="C97" t="s">
        <v>1445</v>
      </c>
      <c r="D97" t="s">
        <v>815</v>
      </c>
      <c r="E97" t="s">
        <v>830</v>
      </c>
      <c r="F97" t="s">
        <v>17</v>
      </c>
      <c r="G97">
        <v>2025</v>
      </c>
      <c r="H97">
        <v>6</v>
      </c>
      <c r="I97">
        <v>19</v>
      </c>
      <c r="J97">
        <v>11744</v>
      </c>
      <c r="K97">
        <v>591</v>
      </c>
      <c r="L97">
        <v>0</v>
      </c>
      <c r="M97">
        <v>195.7</v>
      </c>
      <c r="N97">
        <v>9.8000000000000007</v>
      </c>
      <c r="O97">
        <v>10.3</v>
      </c>
      <c r="P97">
        <v>152</v>
      </c>
      <c r="Q97" s="1" t="s">
        <v>105</v>
      </c>
    </row>
    <row r="98" spans="1:17" hidden="1" x14ac:dyDescent="0.45">
      <c r="A98">
        <v>1210025</v>
      </c>
      <c r="B98" t="s">
        <v>104</v>
      </c>
      <c r="C98" t="s">
        <v>1445</v>
      </c>
      <c r="D98" t="s">
        <v>815</v>
      </c>
      <c r="E98" t="s">
        <v>830</v>
      </c>
      <c r="F98" t="s">
        <v>17</v>
      </c>
      <c r="G98">
        <v>2025</v>
      </c>
      <c r="H98">
        <v>7</v>
      </c>
      <c r="I98">
        <v>17</v>
      </c>
      <c r="J98">
        <v>10705</v>
      </c>
      <c r="K98">
        <v>473</v>
      </c>
      <c r="L98">
        <v>0</v>
      </c>
      <c r="M98">
        <v>178.4</v>
      </c>
      <c r="N98">
        <v>7.9</v>
      </c>
      <c r="O98">
        <v>10.5</v>
      </c>
      <c r="P98">
        <v>136</v>
      </c>
      <c r="Q98" s="1" t="s">
        <v>106</v>
      </c>
    </row>
    <row r="99" spans="1:17" hidden="1" x14ac:dyDescent="0.45">
      <c r="A99">
        <v>1210025</v>
      </c>
      <c r="B99" t="s">
        <v>104</v>
      </c>
      <c r="C99" t="s">
        <v>1445</v>
      </c>
      <c r="D99" t="s">
        <v>815</v>
      </c>
      <c r="E99" t="s">
        <v>830</v>
      </c>
      <c r="F99" t="s">
        <v>17</v>
      </c>
      <c r="G99">
        <v>2025</v>
      </c>
      <c r="H99">
        <v>8</v>
      </c>
      <c r="I99">
        <v>15</v>
      </c>
      <c r="J99">
        <v>8951</v>
      </c>
      <c r="K99">
        <v>426</v>
      </c>
      <c r="L99">
        <v>0</v>
      </c>
      <c r="M99">
        <v>149.19999999999999</v>
      </c>
      <c r="N99">
        <v>7.1</v>
      </c>
      <c r="O99">
        <v>9.9</v>
      </c>
      <c r="P99">
        <v>120</v>
      </c>
      <c r="Q99" s="1" t="s">
        <v>107</v>
      </c>
    </row>
    <row r="100" spans="1:17" hidden="1" x14ac:dyDescent="0.45">
      <c r="A100">
        <v>1210026</v>
      </c>
      <c r="B100" t="s">
        <v>108</v>
      </c>
      <c r="C100" t="s">
        <v>1448</v>
      </c>
      <c r="D100" t="s">
        <v>884</v>
      </c>
      <c r="E100" t="s">
        <v>887</v>
      </c>
      <c r="F100" t="s">
        <v>17</v>
      </c>
      <c r="G100">
        <v>2025</v>
      </c>
      <c r="H100">
        <v>6</v>
      </c>
      <c r="I100">
        <v>17</v>
      </c>
      <c r="J100">
        <v>8542</v>
      </c>
      <c r="K100">
        <v>0</v>
      </c>
      <c r="L100">
        <v>0</v>
      </c>
      <c r="M100">
        <v>142.4</v>
      </c>
      <c r="N100">
        <v>0</v>
      </c>
      <c r="O100">
        <v>8.4</v>
      </c>
      <c r="P100">
        <v>136</v>
      </c>
      <c r="Q100" s="1" t="s">
        <v>109</v>
      </c>
    </row>
    <row r="101" spans="1:17" hidden="1" x14ac:dyDescent="0.45">
      <c r="A101">
        <v>1210026</v>
      </c>
      <c r="B101" t="s">
        <v>108</v>
      </c>
      <c r="C101" t="s">
        <v>1448</v>
      </c>
      <c r="D101" t="s">
        <v>884</v>
      </c>
      <c r="E101" t="s">
        <v>887</v>
      </c>
      <c r="F101" t="s">
        <v>17</v>
      </c>
      <c r="G101">
        <v>2025</v>
      </c>
      <c r="H101">
        <v>7</v>
      </c>
      <c r="I101">
        <v>20</v>
      </c>
      <c r="J101">
        <v>9378</v>
      </c>
      <c r="K101">
        <v>120</v>
      </c>
      <c r="L101">
        <v>1</v>
      </c>
      <c r="M101">
        <v>156.30000000000001</v>
      </c>
      <c r="N101">
        <v>2</v>
      </c>
      <c r="O101">
        <v>7.8</v>
      </c>
      <c r="P101">
        <v>152</v>
      </c>
      <c r="Q101" s="1" t="s">
        <v>110</v>
      </c>
    </row>
    <row r="102" spans="1:17" hidden="1" x14ac:dyDescent="0.45">
      <c r="A102">
        <v>1210026</v>
      </c>
      <c r="B102" t="s">
        <v>108</v>
      </c>
      <c r="C102" t="s">
        <v>1448</v>
      </c>
      <c r="D102" t="s">
        <v>884</v>
      </c>
      <c r="E102" t="s">
        <v>887</v>
      </c>
      <c r="F102" t="s">
        <v>17</v>
      </c>
      <c r="G102">
        <v>2025</v>
      </c>
      <c r="H102">
        <v>8</v>
      </c>
      <c r="I102">
        <v>17</v>
      </c>
      <c r="J102">
        <v>8677</v>
      </c>
      <c r="K102">
        <v>0</v>
      </c>
      <c r="L102">
        <v>0</v>
      </c>
      <c r="M102">
        <v>144.6</v>
      </c>
      <c r="N102">
        <v>0</v>
      </c>
      <c r="O102">
        <v>8.5</v>
      </c>
      <c r="P102">
        <v>136</v>
      </c>
      <c r="Q102" s="1" t="s">
        <v>111</v>
      </c>
    </row>
    <row r="103" spans="1:17" hidden="1" x14ac:dyDescent="0.45">
      <c r="A103">
        <v>1210111</v>
      </c>
      <c r="B103" t="s">
        <v>112</v>
      </c>
      <c r="C103" t="s">
        <v>1449</v>
      </c>
      <c r="D103" t="s">
        <v>815</v>
      </c>
      <c r="E103" t="s">
        <v>819</v>
      </c>
      <c r="F103" t="s">
        <v>17</v>
      </c>
      <c r="G103">
        <v>2025</v>
      </c>
      <c r="H103">
        <v>6</v>
      </c>
      <c r="I103">
        <v>17</v>
      </c>
      <c r="J103">
        <v>9555</v>
      </c>
      <c r="K103">
        <v>0</v>
      </c>
      <c r="L103">
        <v>0</v>
      </c>
      <c r="M103">
        <v>159.19999999999999</v>
      </c>
      <c r="N103">
        <v>0</v>
      </c>
      <c r="O103">
        <v>9.4</v>
      </c>
      <c r="P103">
        <v>136</v>
      </c>
      <c r="Q103" s="1" t="s">
        <v>113</v>
      </c>
    </row>
    <row r="104" spans="1:17" hidden="1" x14ac:dyDescent="0.45">
      <c r="A104">
        <v>1210111</v>
      </c>
      <c r="B104" t="s">
        <v>112</v>
      </c>
      <c r="C104" t="s">
        <v>1449</v>
      </c>
      <c r="D104" t="s">
        <v>815</v>
      </c>
      <c r="E104" t="s">
        <v>819</v>
      </c>
      <c r="F104" t="s">
        <v>17</v>
      </c>
      <c r="G104">
        <v>2025</v>
      </c>
      <c r="H104">
        <v>7</v>
      </c>
      <c r="I104">
        <v>18</v>
      </c>
      <c r="J104">
        <v>10497</v>
      </c>
      <c r="K104">
        <v>0</v>
      </c>
      <c r="L104">
        <v>0</v>
      </c>
      <c r="M104">
        <v>175</v>
      </c>
      <c r="N104">
        <v>0</v>
      </c>
      <c r="O104">
        <v>9.6999999999999993</v>
      </c>
      <c r="P104">
        <v>144</v>
      </c>
      <c r="Q104">
        <v>31</v>
      </c>
    </row>
    <row r="105" spans="1:17" hidden="1" x14ac:dyDescent="0.45">
      <c r="A105">
        <v>1210111</v>
      </c>
      <c r="B105" t="s">
        <v>112</v>
      </c>
      <c r="C105" t="s">
        <v>1449</v>
      </c>
      <c r="D105" t="s">
        <v>815</v>
      </c>
      <c r="E105" t="s">
        <v>819</v>
      </c>
      <c r="F105" t="s">
        <v>17</v>
      </c>
      <c r="G105">
        <v>2025</v>
      </c>
      <c r="H105">
        <v>8</v>
      </c>
      <c r="I105">
        <v>16</v>
      </c>
      <c r="J105">
        <v>8689</v>
      </c>
      <c r="K105">
        <v>0</v>
      </c>
      <c r="L105">
        <v>0</v>
      </c>
      <c r="M105">
        <v>144.80000000000001</v>
      </c>
      <c r="N105">
        <v>0</v>
      </c>
      <c r="O105">
        <v>9</v>
      </c>
      <c r="P105">
        <v>128</v>
      </c>
      <c r="Q105" s="1" t="s">
        <v>114</v>
      </c>
    </row>
    <row r="106" spans="1:17" hidden="1" x14ac:dyDescent="0.45">
      <c r="A106">
        <v>1210115</v>
      </c>
      <c r="B106" t="s">
        <v>115</v>
      </c>
      <c r="C106" t="s">
        <v>1452</v>
      </c>
      <c r="D106" t="s">
        <v>954</v>
      </c>
      <c r="E106" t="s">
        <v>958</v>
      </c>
      <c r="F106" t="s">
        <v>116</v>
      </c>
      <c r="G106">
        <v>2025</v>
      </c>
      <c r="H106">
        <v>6</v>
      </c>
      <c r="I106">
        <v>16</v>
      </c>
      <c r="J106">
        <v>11898</v>
      </c>
      <c r="K106">
        <v>2835</v>
      </c>
      <c r="L106">
        <v>0</v>
      </c>
      <c r="M106">
        <v>198.3</v>
      </c>
      <c r="N106">
        <v>47.2</v>
      </c>
      <c r="O106">
        <v>12.4</v>
      </c>
      <c r="P106">
        <v>128</v>
      </c>
      <c r="Q106" s="1" t="s">
        <v>117</v>
      </c>
    </row>
    <row r="107" spans="1:17" hidden="1" x14ac:dyDescent="0.45">
      <c r="A107">
        <v>1210115</v>
      </c>
      <c r="B107" t="s">
        <v>115</v>
      </c>
      <c r="C107" t="s">
        <v>1452</v>
      </c>
      <c r="D107" t="s">
        <v>954</v>
      </c>
      <c r="E107" t="s">
        <v>958</v>
      </c>
      <c r="F107" t="s">
        <v>116</v>
      </c>
      <c r="G107">
        <v>2025</v>
      </c>
      <c r="H107">
        <v>7</v>
      </c>
      <c r="I107">
        <v>17</v>
      </c>
      <c r="J107">
        <v>12749</v>
      </c>
      <c r="K107">
        <v>2880</v>
      </c>
      <c r="L107">
        <v>0</v>
      </c>
      <c r="M107">
        <v>212.5</v>
      </c>
      <c r="N107">
        <v>48</v>
      </c>
      <c r="O107">
        <v>12.5</v>
      </c>
      <c r="P107">
        <v>136</v>
      </c>
      <c r="Q107">
        <v>76.5</v>
      </c>
    </row>
    <row r="108" spans="1:17" hidden="1" x14ac:dyDescent="0.45">
      <c r="A108">
        <v>1210115</v>
      </c>
      <c r="B108" t="s">
        <v>115</v>
      </c>
      <c r="C108" t="s">
        <v>1452</v>
      </c>
      <c r="D108" t="s">
        <v>954</v>
      </c>
      <c r="E108" t="s">
        <v>958</v>
      </c>
      <c r="F108" t="s">
        <v>116</v>
      </c>
      <c r="G108">
        <v>2025</v>
      </c>
      <c r="H108">
        <v>8</v>
      </c>
      <c r="I108">
        <v>15</v>
      </c>
      <c r="J108">
        <v>8582</v>
      </c>
      <c r="K108">
        <v>1249</v>
      </c>
      <c r="L108">
        <v>0</v>
      </c>
      <c r="M108">
        <v>143</v>
      </c>
      <c r="N108">
        <v>20.8</v>
      </c>
      <c r="O108">
        <v>9.5</v>
      </c>
      <c r="P108">
        <v>120</v>
      </c>
      <c r="Q108">
        <v>23</v>
      </c>
    </row>
    <row r="109" spans="1:17" hidden="1" x14ac:dyDescent="0.45">
      <c r="A109">
        <v>1210154</v>
      </c>
      <c r="B109" t="s">
        <v>118</v>
      </c>
      <c r="C109" t="s">
        <v>1461</v>
      </c>
      <c r="D109" t="s">
        <v>938</v>
      </c>
      <c r="E109" t="s">
        <v>940</v>
      </c>
      <c r="F109" t="s">
        <v>17</v>
      </c>
      <c r="G109">
        <v>2025</v>
      </c>
      <c r="H109">
        <v>6</v>
      </c>
      <c r="I109">
        <v>19</v>
      </c>
      <c r="J109">
        <v>12503</v>
      </c>
      <c r="K109">
        <v>2434</v>
      </c>
      <c r="L109">
        <v>0</v>
      </c>
      <c r="M109">
        <v>208.4</v>
      </c>
      <c r="N109">
        <v>40.6</v>
      </c>
      <c r="O109">
        <v>11</v>
      </c>
      <c r="P109">
        <v>152</v>
      </c>
      <c r="Q109" s="1" t="s">
        <v>119</v>
      </c>
    </row>
    <row r="110" spans="1:17" hidden="1" x14ac:dyDescent="0.45">
      <c r="A110">
        <v>1210154</v>
      </c>
      <c r="B110" t="s">
        <v>118</v>
      </c>
      <c r="C110" t="s">
        <v>1461</v>
      </c>
      <c r="D110" t="s">
        <v>938</v>
      </c>
      <c r="E110" t="s">
        <v>940</v>
      </c>
      <c r="F110" t="s">
        <v>17</v>
      </c>
      <c r="G110">
        <v>2025</v>
      </c>
      <c r="H110">
        <v>7</v>
      </c>
      <c r="I110">
        <v>20</v>
      </c>
      <c r="J110">
        <v>14058</v>
      </c>
      <c r="K110">
        <v>3543</v>
      </c>
      <c r="L110">
        <v>0</v>
      </c>
      <c r="M110">
        <v>234.3</v>
      </c>
      <c r="N110">
        <v>59</v>
      </c>
      <c r="O110">
        <v>11.7</v>
      </c>
      <c r="P110">
        <v>160</v>
      </c>
      <c r="Q110" s="1" t="s">
        <v>120</v>
      </c>
    </row>
    <row r="111" spans="1:17" hidden="1" x14ac:dyDescent="0.45">
      <c r="A111">
        <v>1210154</v>
      </c>
      <c r="B111" t="s">
        <v>118</v>
      </c>
      <c r="C111" t="s">
        <v>1461</v>
      </c>
      <c r="D111" t="s">
        <v>938</v>
      </c>
      <c r="E111" t="s">
        <v>940</v>
      </c>
      <c r="F111" t="s">
        <v>17</v>
      </c>
      <c r="G111">
        <v>2025</v>
      </c>
      <c r="H111">
        <v>8</v>
      </c>
      <c r="I111">
        <v>16</v>
      </c>
      <c r="J111">
        <v>10900</v>
      </c>
      <c r="K111">
        <v>2640</v>
      </c>
      <c r="L111">
        <v>0</v>
      </c>
      <c r="M111">
        <v>181.7</v>
      </c>
      <c r="N111">
        <v>44</v>
      </c>
      <c r="O111">
        <v>11.4</v>
      </c>
      <c r="P111">
        <v>128</v>
      </c>
      <c r="Q111" s="1" t="s">
        <v>121</v>
      </c>
    </row>
    <row r="112" spans="1:17" hidden="1" x14ac:dyDescent="0.45">
      <c r="A112">
        <v>1210237</v>
      </c>
      <c r="B112" t="s">
        <v>122</v>
      </c>
      <c r="C112" t="s">
        <v>1459</v>
      </c>
      <c r="D112" t="s">
        <v>954</v>
      </c>
      <c r="E112" t="s">
        <v>962</v>
      </c>
      <c r="F112" t="s">
        <v>17</v>
      </c>
      <c r="G112">
        <v>2025</v>
      </c>
      <c r="H112">
        <v>6</v>
      </c>
      <c r="I112">
        <v>21</v>
      </c>
      <c r="J112">
        <v>14547</v>
      </c>
      <c r="K112">
        <v>1643</v>
      </c>
      <c r="L112">
        <v>2</v>
      </c>
      <c r="M112">
        <v>242.4</v>
      </c>
      <c r="N112">
        <v>27.4</v>
      </c>
      <c r="O112">
        <v>11.5</v>
      </c>
      <c r="P112">
        <v>152</v>
      </c>
      <c r="Q112">
        <v>90.4</v>
      </c>
    </row>
    <row r="113" spans="1:17" hidden="1" x14ac:dyDescent="0.45">
      <c r="A113">
        <v>1210237</v>
      </c>
      <c r="B113" t="s">
        <v>122</v>
      </c>
      <c r="C113" t="s">
        <v>1459</v>
      </c>
      <c r="D113" t="s">
        <v>954</v>
      </c>
      <c r="E113" t="s">
        <v>962</v>
      </c>
      <c r="F113" t="s">
        <v>17</v>
      </c>
      <c r="G113">
        <v>2025</v>
      </c>
      <c r="H113">
        <v>7</v>
      </c>
      <c r="I113">
        <v>20</v>
      </c>
      <c r="J113">
        <v>12589</v>
      </c>
      <c r="K113">
        <v>3265</v>
      </c>
      <c r="L113">
        <v>2</v>
      </c>
      <c r="M113">
        <v>209.8</v>
      </c>
      <c r="N113">
        <v>54.4</v>
      </c>
      <c r="O113">
        <v>10.5</v>
      </c>
      <c r="P113">
        <v>144</v>
      </c>
      <c r="Q113" s="1" t="s">
        <v>123</v>
      </c>
    </row>
    <row r="114" spans="1:17" hidden="1" x14ac:dyDescent="0.45">
      <c r="A114">
        <v>1210237</v>
      </c>
      <c r="B114" t="s">
        <v>122</v>
      </c>
      <c r="C114" t="s">
        <v>1459</v>
      </c>
      <c r="D114" t="s">
        <v>954</v>
      </c>
      <c r="E114" t="s">
        <v>962</v>
      </c>
      <c r="F114" t="s">
        <v>17</v>
      </c>
      <c r="G114">
        <v>2025</v>
      </c>
      <c r="H114">
        <v>8</v>
      </c>
      <c r="I114">
        <v>14</v>
      </c>
      <c r="J114">
        <v>10250</v>
      </c>
      <c r="K114">
        <v>2166</v>
      </c>
      <c r="L114">
        <v>0</v>
      </c>
      <c r="M114">
        <v>170.8</v>
      </c>
      <c r="N114">
        <v>36.1</v>
      </c>
      <c r="O114">
        <v>12.2</v>
      </c>
      <c r="P114">
        <v>112</v>
      </c>
      <c r="Q114" s="1" t="s">
        <v>124</v>
      </c>
    </row>
    <row r="115" spans="1:17" hidden="1" x14ac:dyDescent="0.45">
      <c r="A115">
        <v>1211015</v>
      </c>
      <c r="B115" t="s">
        <v>125</v>
      </c>
      <c r="C115" t="s">
        <v>1458</v>
      </c>
      <c r="D115" t="s">
        <v>815</v>
      </c>
      <c r="E115" t="s">
        <v>827</v>
      </c>
      <c r="F115" t="s">
        <v>116</v>
      </c>
      <c r="G115">
        <v>2025</v>
      </c>
      <c r="H115">
        <v>6</v>
      </c>
      <c r="I115">
        <v>15</v>
      </c>
      <c r="J115">
        <v>8976</v>
      </c>
      <c r="K115">
        <v>0</v>
      </c>
      <c r="L115">
        <v>0</v>
      </c>
      <c r="M115">
        <v>149.6</v>
      </c>
      <c r="N115">
        <v>0</v>
      </c>
      <c r="O115">
        <v>10</v>
      </c>
      <c r="P115">
        <v>120</v>
      </c>
      <c r="Q115" s="1" t="s">
        <v>126</v>
      </c>
    </row>
    <row r="116" spans="1:17" hidden="1" x14ac:dyDescent="0.45">
      <c r="A116">
        <v>1211015</v>
      </c>
      <c r="B116" t="s">
        <v>125</v>
      </c>
      <c r="C116" t="s">
        <v>1458</v>
      </c>
      <c r="D116" t="s">
        <v>815</v>
      </c>
      <c r="E116" t="s">
        <v>827</v>
      </c>
      <c r="F116" t="s">
        <v>116</v>
      </c>
      <c r="G116">
        <v>2025</v>
      </c>
      <c r="H116">
        <v>7</v>
      </c>
      <c r="I116">
        <v>11</v>
      </c>
      <c r="J116">
        <v>6417</v>
      </c>
      <c r="K116">
        <v>0</v>
      </c>
      <c r="L116">
        <v>0</v>
      </c>
      <c r="M116">
        <v>107</v>
      </c>
      <c r="N116">
        <v>0</v>
      </c>
      <c r="O116">
        <v>9.6999999999999993</v>
      </c>
      <c r="P116">
        <v>88</v>
      </c>
      <c r="Q116">
        <v>19</v>
      </c>
    </row>
    <row r="117" spans="1:17" hidden="1" x14ac:dyDescent="0.45">
      <c r="A117">
        <v>1211015</v>
      </c>
      <c r="B117" t="s">
        <v>125</v>
      </c>
      <c r="C117" t="s">
        <v>1458</v>
      </c>
      <c r="D117" t="s">
        <v>815</v>
      </c>
      <c r="E117" t="s">
        <v>827</v>
      </c>
      <c r="F117" t="s">
        <v>116</v>
      </c>
      <c r="G117">
        <v>2025</v>
      </c>
      <c r="H117">
        <v>8</v>
      </c>
      <c r="I117">
        <v>11</v>
      </c>
      <c r="J117">
        <v>5179</v>
      </c>
      <c r="K117">
        <v>0</v>
      </c>
      <c r="L117">
        <v>0</v>
      </c>
      <c r="M117">
        <v>86.3</v>
      </c>
      <c r="N117">
        <v>0</v>
      </c>
      <c r="O117">
        <v>7.8</v>
      </c>
      <c r="P117">
        <v>88</v>
      </c>
      <c r="Q117">
        <v>-1.7</v>
      </c>
    </row>
    <row r="118" spans="1:17" hidden="1" x14ac:dyDescent="0.45">
      <c r="A118">
        <v>1211016</v>
      </c>
      <c r="B118" t="s">
        <v>127</v>
      </c>
      <c r="C118" t="s">
        <v>1449</v>
      </c>
      <c r="D118" t="s">
        <v>815</v>
      </c>
      <c r="E118" t="s">
        <v>819</v>
      </c>
      <c r="F118" t="s">
        <v>116</v>
      </c>
      <c r="G118">
        <v>2025</v>
      </c>
      <c r="H118">
        <v>6</v>
      </c>
      <c r="I118">
        <v>14</v>
      </c>
      <c r="J118">
        <v>6667</v>
      </c>
      <c r="K118">
        <v>0</v>
      </c>
      <c r="L118">
        <v>0</v>
      </c>
      <c r="M118">
        <v>111.1</v>
      </c>
      <c r="N118">
        <v>0</v>
      </c>
      <c r="O118">
        <v>7.9</v>
      </c>
      <c r="P118">
        <v>112</v>
      </c>
      <c r="Q118">
        <v>-0.9</v>
      </c>
    </row>
    <row r="119" spans="1:17" hidden="1" x14ac:dyDescent="0.45">
      <c r="A119">
        <v>1211016</v>
      </c>
      <c r="B119" t="s">
        <v>127</v>
      </c>
      <c r="C119" t="s">
        <v>1449</v>
      </c>
      <c r="D119" t="s">
        <v>815</v>
      </c>
      <c r="E119" t="s">
        <v>819</v>
      </c>
      <c r="F119" t="s">
        <v>116</v>
      </c>
      <c r="G119">
        <v>2025</v>
      </c>
      <c r="H119">
        <v>7</v>
      </c>
      <c r="I119">
        <v>16</v>
      </c>
      <c r="J119">
        <v>6946</v>
      </c>
      <c r="K119">
        <v>0</v>
      </c>
      <c r="L119">
        <v>0</v>
      </c>
      <c r="M119">
        <v>115.8</v>
      </c>
      <c r="N119">
        <v>0</v>
      </c>
      <c r="O119">
        <v>7.2</v>
      </c>
      <c r="P119">
        <v>128</v>
      </c>
      <c r="Q119">
        <v>-12.2</v>
      </c>
    </row>
    <row r="120" spans="1:17" hidden="1" x14ac:dyDescent="0.45">
      <c r="A120">
        <v>1211016</v>
      </c>
      <c r="B120" t="s">
        <v>127</v>
      </c>
      <c r="C120" t="s">
        <v>1449</v>
      </c>
      <c r="D120" t="s">
        <v>815</v>
      </c>
      <c r="E120" t="s">
        <v>819</v>
      </c>
      <c r="F120" t="s">
        <v>116</v>
      </c>
      <c r="G120">
        <v>2025</v>
      </c>
      <c r="H120">
        <v>8</v>
      </c>
      <c r="I120">
        <v>15</v>
      </c>
      <c r="J120">
        <v>6681</v>
      </c>
      <c r="K120">
        <v>0</v>
      </c>
      <c r="L120">
        <v>0</v>
      </c>
      <c r="M120">
        <v>111.4</v>
      </c>
      <c r="N120">
        <v>0</v>
      </c>
      <c r="O120">
        <v>7.4</v>
      </c>
      <c r="P120">
        <v>120</v>
      </c>
      <c r="Q120">
        <v>-8.6</v>
      </c>
    </row>
    <row r="121" spans="1:17" hidden="1" x14ac:dyDescent="0.45">
      <c r="A121">
        <v>1211018</v>
      </c>
      <c r="B121" t="s">
        <v>128</v>
      </c>
      <c r="C121" t="s">
        <v>1454</v>
      </c>
      <c r="D121" t="s">
        <v>884</v>
      </c>
      <c r="E121" t="s">
        <v>885</v>
      </c>
      <c r="F121" t="s">
        <v>116</v>
      </c>
      <c r="G121">
        <v>2025</v>
      </c>
      <c r="H121">
        <v>6</v>
      </c>
      <c r="I121">
        <v>17</v>
      </c>
      <c r="J121">
        <v>9216</v>
      </c>
      <c r="K121">
        <v>0</v>
      </c>
      <c r="L121">
        <v>0</v>
      </c>
      <c r="M121">
        <v>153.6</v>
      </c>
      <c r="N121">
        <v>0</v>
      </c>
      <c r="O121">
        <v>9</v>
      </c>
      <c r="P121">
        <v>136</v>
      </c>
      <c r="Q121" s="1" t="s">
        <v>71</v>
      </c>
    </row>
    <row r="122" spans="1:17" hidden="1" x14ac:dyDescent="0.45">
      <c r="A122">
        <v>1211018</v>
      </c>
      <c r="B122" t="s">
        <v>128</v>
      </c>
      <c r="C122" t="s">
        <v>1454</v>
      </c>
      <c r="D122" t="s">
        <v>884</v>
      </c>
      <c r="E122" t="s">
        <v>885</v>
      </c>
      <c r="F122" t="s">
        <v>116</v>
      </c>
      <c r="G122">
        <v>2025</v>
      </c>
      <c r="H122">
        <v>7</v>
      </c>
      <c r="I122">
        <v>18</v>
      </c>
      <c r="J122">
        <v>8593</v>
      </c>
      <c r="K122">
        <v>0</v>
      </c>
      <c r="L122">
        <v>0</v>
      </c>
      <c r="M122">
        <v>143.19999999999999</v>
      </c>
      <c r="N122">
        <v>0</v>
      </c>
      <c r="O122">
        <v>8</v>
      </c>
      <c r="P122">
        <v>144</v>
      </c>
      <c r="Q122">
        <v>-0.8</v>
      </c>
    </row>
    <row r="123" spans="1:17" hidden="1" x14ac:dyDescent="0.45">
      <c r="A123">
        <v>1211018</v>
      </c>
      <c r="B123" t="s">
        <v>128</v>
      </c>
      <c r="C123" t="s">
        <v>1454</v>
      </c>
      <c r="D123" t="s">
        <v>884</v>
      </c>
      <c r="E123" t="s">
        <v>885</v>
      </c>
      <c r="F123" t="s">
        <v>116</v>
      </c>
      <c r="G123">
        <v>2025</v>
      </c>
      <c r="H123">
        <v>8</v>
      </c>
      <c r="I123">
        <v>16</v>
      </c>
      <c r="J123">
        <v>7516</v>
      </c>
      <c r="K123">
        <v>0</v>
      </c>
      <c r="L123">
        <v>0</v>
      </c>
      <c r="M123">
        <v>125.3</v>
      </c>
      <c r="N123">
        <v>0</v>
      </c>
      <c r="O123">
        <v>7.8</v>
      </c>
      <c r="P123">
        <v>128</v>
      </c>
      <c r="Q123">
        <v>-2.7</v>
      </c>
    </row>
    <row r="124" spans="1:17" hidden="1" x14ac:dyDescent="0.45">
      <c r="A124">
        <v>1211025</v>
      </c>
      <c r="B124" t="s">
        <v>129</v>
      </c>
      <c r="C124" t="s">
        <v>1453</v>
      </c>
      <c r="D124" t="s">
        <v>815</v>
      </c>
      <c r="E124" t="s">
        <v>827</v>
      </c>
      <c r="F124" t="s">
        <v>17</v>
      </c>
      <c r="G124">
        <v>2025</v>
      </c>
      <c r="H124">
        <v>6</v>
      </c>
      <c r="I124">
        <v>25</v>
      </c>
      <c r="J124">
        <v>25544</v>
      </c>
      <c r="K124">
        <v>0</v>
      </c>
      <c r="L124">
        <v>5</v>
      </c>
      <c r="M124">
        <v>425.7</v>
      </c>
      <c r="N124">
        <v>0</v>
      </c>
      <c r="O124">
        <v>17</v>
      </c>
      <c r="P124">
        <v>160</v>
      </c>
      <c r="Q124">
        <v>265.7</v>
      </c>
    </row>
    <row r="125" spans="1:17" hidden="1" x14ac:dyDescent="0.45">
      <c r="A125">
        <v>1211025</v>
      </c>
      <c r="B125" t="s">
        <v>129</v>
      </c>
      <c r="C125" t="s">
        <v>1453</v>
      </c>
      <c r="D125" t="s">
        <v>815</v>
      </c>
      <c r="E125" t="s">
        <v>827</v>
      </c>
      <c r="F125" t="s">
        <v>17</v>
      </c>
      <c r="G125">
        <v>2025</v>
      </c>
      <c r="H125">
        <v>7</v>
      </c>
      <c r="I125">
        <v>16</v>
      </c>
      <c r="J125">
        <v>11826</v>
      </c>
      <c r="K125">
        <v>0</v>
      </c>
      <c r="L125">
        <v>0</v>
      </c>
      <c r="M125">
        <v>197.1</v>
      </c>
      <c r="N125">
        <v>0</v>
      </c>
      <c r="O125">
        <v>12.3</v>
      </c>
      <c r="P125">
        <v>128</v>
      </c>
      <c r="Q125">
        <v>69.099999999999994</v>
      </c>
    </row>
    <row r="126" spans="1:17" hidden="1" x14ac:dyDescent="0.45">
      <c r="A126">
        <v>1211025</v>
      </c>
      <c r="B126" t="s">
        <v>129</v>
      </c>
      <c r="C126" t="s">
        <v>1453</v>
      </c>
      <c r="D126" t="s">
        <v>815</v>
      </c>
      <c r="E126" t="s">
        <v>827</v>
      </c>
      <c r="F126" t="s">
        <v>17</v>
      </c>
      <c r="G126">
        <v>2025</v>
      </c>
      <c r="H126">
        <v>8</v>
      </c>
      <c r="I126">
        <v>18</v>
      </c>
      <c r="J126">
        <v>14537</v>
      </c>
      <c r="K126">
        <v>0</v>
      </c>
      <c r="L126">
        <v>2</v>
      </c>
      <c r="M126">
        <v>242.3</v>
      </c>
      <c r="N126">
        <v>0</v>
      </c>
      <c r="O126">
        <v>13.5</v>
      </c>
      <c r="P126">
        <v>128</v>
      </c>
      <c r="Q126" s="1" t="s">
        <v>130</v>
      </c>
    </row>
    <row r="127" spans="1:17" hidden="1" x14ac:dyDescent="0.45">
      <c r="A127">
        <v>1211027</v>
      </c>
      <c r="B127" t="s">
        <v>131</v>
      </c>
      <c r="C127" t="s">
        <v>1452</v>
      </c>
      <c r="D127" t="s">
        <v>954</v>
      </c>
      <c r="E127" t="s">
        <v>958</v>
      </c>
      <c r="F127" t="s">
        <v>17</v>
      </c>
      <c r="G127">
        <v>2025</v>
      </c>
      <c r="H127">
        <v>6</v>
      </c>
      <c r="I127">
        <v>17</v>
      </c>
      <c r="J127">
        <v>10528</v>
      </c>
      <c r="K127">
        <v>515</v>
      </c>
      <c r="L127">
        <v>0</v>
      </c>
      <c r="M127">
        <v>175.5</v>
      </c>
      <c r="N127">
        <v>8.6</v>
      </c>
      <c r="O127">
        <v>10.3</v>
      </c>
      <c r="P127">
        <v>136</v>
      </c>
      <c r="Q127">
        <v>39.5</v>
      </c>
    </row>
    <row r="128" spans="1:17" hidden="1" x14ac:dyDescent="0.45">
      <c r="A128">
        <v>1211027</v>
      </c>
      <c r="B128" t="s">
        <v>131</v>
      </c>
      <c r="C128" t="s">
        <v>1452</v>
      </c>
      <c r="D128" t="s">
        <v>954</v>
      </c>
      <c r="E128" t="s">
        <v>958</v>
      </c>
      <c r="F128" t="s">
        <v>17</v>
      </c>
      <c r="G128">
        <v>2025</v>
      </c>
      <c r="H128">
        <v>7</v>
      </c>
      <c r="I128">
        <v>19</v>
      </c>
      <c r="J128">
        <v>10560</v>
      </c>
      <c r="K128">
        <v>0</v>
      </c>
      <c r="L128">
        <v>0</v>
      </c>
      <c r="M128">
        <v>176</v>
      </c>
      <c r="N128">
        <v>0</v>
      </c>
      <c r="O128">
        <v>9.3000000000000007</v>
      </c>
      <c r="P128">
        <v>152</v>
      </c>
      <c r="Q128">
        <v>24</v>
      </c>
    </row>
    <row r="129" spans="1:17" hidden="1" x14ac:dyDescent="0.45">
      <c r="A129">
        <v>1211027</v>
      </c>
      <c r="B129" t="s">
        <v>131</v>
      </c>
      <c r="C129" t="s">
        <v>1452</v>
      </c>
      <c r="D129" t="s">
        <v>954</v>
      </c>
      <c r="E129" t="s">
        <v>958</v>
      </c>
      <c r="F129" t="s">
        <v>17</v>
      </c>
      <c r="G129">
        <v>2025</v>
      </c>
      <c r="H129">
        <v>8</v>
      </c>
      <c r="I129">
        <v>16</v>
      </c>
      <c r="J129">
        <v>8985</v>
      </c>
      <c r="K129">
        <v>148</v>
      </c>
      <c r="L129">
        <v>0</v>
      </c>
      <c r="M129">
        <v>149.80000000000001</v>
      </c>
      <c r="N129">
        <v>2.5</v>
      </c>
      <c r="O129">
        <v>9.4</v>
      </c>
      <c r="P129">
        <v>128</v>
      </c>
      <c r="Q129" s="1" t="s">
        <v>132</v>
      </c>
    </row>
    <row r="130" spans="1:17" hidden="1" x14ac:dyDescent="0.45">
      <c r="A130">
        <v>1211030</v>
      </c>
      <c r="B130" t="s">
        <v>133</v>
      </c>
      <c r="C130" t="s">
        <v>1453</v>
      </c>
      <c r="D130" t="s">
        <v>815</v>
      </c>
      <c r="E130" t="s">
        <v>827</v>
      </c>
      <c r="F130" t="s">
        <v>17</v>
      </c>
      <c r="G130">
        <v>2025</v>
      </c>
      <c r="H130">
        <v>6</v>
      </c>
      <c r="I130">
        <v>16</v>
      </c>
      <c r="J130">
        <v>9785</v>
      </c>
      <c r="K130">
        <v>646</v>
      </c>
      <c r="L130">
        <v>0</v>
      </c>
      <c r="M130">
        <v>163.1</v>
      </c>
      <c r="N130">
        <v>10.8</v>
      </c>
      <c r="O130">
        <v>10.199999999999999</v>
      </c>
      <c r="P130">
        <v>128</v>
      </c>
      <c r="Q130" s="1" t="s">
        <v>134</v>
      </c>
    </row>
    <row r="131" spans="1:17" hidden="1" x14ac:dyDescent="0.45">
      <c r="A131">
        <v>1211030</v>
      </c>
      <c r="B131" t="s">
        <v>133</v>
      </c>
      <c r="C131" t="s">
        <v>1453</v>
      </c>
      <c r="D131" t="s">
        <v>815</v>
      </c>
      <c r="E131" t="s">
        <v>827</v>
      </c>
      <c r="F131" t="s">
        <v>17</v>
      </c>
      <c r="G131">
        <v>2025</v>
      </c>
      <c r="H131">
        <v>7</v>
      </c>
      <c r="I131">
        <v>18</v>
      </c>
      <c r="J131">
        <v>10963</v>
      </c>
      <c r="K131">
        <v>537</v>
      </c>
      <c r="L131">
        <v>0</v>
      </c>
      <c r="M131">
        <v>182.7</v>
      </c>
      <c r="N131">
        <v>9</v>
      </c>
      <c r="O131">
        <v>10.1</v>
      </c>
      <c r="P131">
        <v>144</v>
      </c>
      <c r="Q131" s="1" t="s">
        <v>103</v>
      </c>
    </row>
    <row r="132" spans="1:17" hidden="1" x14ac:dyDescent="0.45">
      <c r="A132">
        <v>1211030</v>
      </c>
      <c r="B132" t="s">
        <v>133</v>
      </c>
      <c r="C132" t="s">
        <v>1453</v>
      </c>
      <c r="D132" t="s">
        <v>815</v>
      </c>
      <c r="E132" t="s">
        <v>827</v>
      </c>
      <c r="F132" t="s">
        <v>17</v>
      </c>
      <c r="G132">
        <v>2025</v>
      </c>
      <c r="H132">
        <v>8</v>
      </c>
      <c r="I132">
        <v>13</v>
      </c>
      <c r="J132">
        <v>7315</v>
      </c>
      <c r="K132">
        <v>268</v>
      </c>
      <c r="L132">
        <v>0</v>
      </c>
      <c r="M132">
        <v>121.9</v>
      </c>
      <c r="N132">
        <v>4.5</v>
      </c>
      <c r="O132">
        <v>9.4</v>
      </c>
      <c r="P132">
        <v>104</v>
      </c>
      <c r="Q132" s="1" t="s">
        <v>135</v>
      </c>
    </row>
    <row r="133" spans="1:17" hidden="1" x14ac:dyDescent="0.45">
      <c r="A133">
        <v>1211031</v>
      </c>
      <c r="B133" t="s">
        <v>136</v>
      </c>
      <c r="C133" t="s">
        <v>1449</v>
      </c>
      <c r="D133" t="s">
        <v>815</v>
      </c>
      <c r="E133" t="s">
        <v>819</v>
      </c>
      <c r="F133" t="s">
        <v>116</v>
      </c>
      <c r="G133">
        <v>2025</v>
      </c>
      <c r="H133">
        <v>6</v>
      </c>
      <c r="I133">
        <v>10</v>
      </c>
      <c r="J133">
        <v>5200</v>
      </c>
      <c r="K133">
        <v>0</v>
      </c>
      <c r="L133">
        <v>0</v>
      </c>
      <c r="M133">
        <v>86.7</v>
      </c>
      <c r="N133">
        <v>0</v>
      </c>
      <c r="O133">
        <v>8.6999999999999993</v>
      </c>
      <c r="P133">
        <v>80</v>
      </c>
      <c r="Q133" s="1" t="s">
        <v>137</v>
      </c>
    </row>
    <row r="134" spans="1:17" hidden="1" x14ac:dyDescent="0.45">
      <c r="A134">
        <v>1211031</v>
      </c>
      <c r="B134" t="s">
        <v>136</v>
      </c>
      <c r="C134" t="s">
        <v>1449</v>
      </c>
      <c r="D134" t="s">
        <v>815</v>
      </c>
      <c r="E134" t="s">
        <v>819</v>
      </c>
      <c r="F134" t="s">
        <v>116</v>
      </c>
      <c r="G134">
        <v>2025</v>
      </c>
      <c r="H134">
        <v>7</v>
      </c>
      <c r="I134">
        <v>17</v>
      </c>
      <c r="J134">
        <v>8734</v>
      </c>
      <c r="K134">
        <v>0</v>
      </c>
      <c r="L134">
        <v>0</v>
      </c>
      <c r="M134">
        <v>145.6</v>
      </c>
      <c r="N134">
        <v>0</v>
      </c>
      <c r="O134">
        <v>8.6</v>
      </c>
      <c r="P134">
        <v>136</v>
      </c>
      <c r="Q134" s="1" t="s">
        <v>138</v>
      </c>
    </row>
    <row r="135" spans="1:17" hidden="1" x14ac:dyDescent="0.45">
      <c r="A135">
        <v>1211031</v>
      </c>
      <c r="B135" t="s">
        <v>136</v>
      </c>
      <c r="C135" t="s">
        <v>1449</v>
      </c>
      <c r="D135" t="s">
        <v>815</v>
      </c>
      <c r="E135" t="s">
        <v>819</v>
      </c>
      <c r="F135" t="s">
        <v>116</v>
      </c>
      <c r="G135">
        <v>2025</v>
      </c>
      <c r="H135">
        <v>8</v>
      </c>
      <c r="I135">
        <v>14</v>
      </c>
      <c r="J135">
        <v>7349</v>
      </c>
      <c r="K135">
        <v>180</v>
      </c>
      <c r="L135">
        <v>0</v>
      </c>
      <c r="M135">
        <v>122.5</v>
      </c>
      <c r="N135">
        <v>3</v>
      </c>
      <c r="O135">
        <v>8.8000000000000007</v>
      </c>
      <c r="P135">
        <v>112</v>
      </c>
      <c r="Q135">
        <v>10.5</v>
      </c>
    </row>
    <row r="136" spans="1:17" hidden="1" x14ac:dyDescent="0.45">
      <c r="A136">
        <v>1211032</v>
      </c>
      <c r="B136" t="s">
        <v>139</v>
      </c>
      <c r="C136" t="s">
        <v>1463</v>
      </c>
      <c r="D136" t="s">
        <v>954</v>
      </c>
      <c r="E136" t="s">
        <v>956</v>
      </c>
      <c r="F136" t="s">
        <v>17</v>
      </c>
      <c r="G136">
        <v>2025</v>
      </c>
      <c r="H136">
        <v>6</v>
      </c>
      <c r="I136">
        <v>18</v>
      </c>
      <c r="J136">
        <v>10702</v>
      </c>
      <c r="K136">
        <v>190</v>
      </c>
      <c r="L136">
        <v>0</v>
      </c>
      <c r="M136">
        <v>178.4</v>
      </c>
      <c r="N136">
        <v>3.2</v>
      </c>
      <c r="O136">
        <v>9.9</v>
      </c>
      <c r="P136">
        <v>144</v>
      </c>
      <c r="Q136" s="1" t="s">
        <v>26</v>
      </c>
    </row>
    <row r="137" spans="1:17" hidden="1" x14ac:dyDescent="0.45">
      <c r="A137">
        <v>1211032</v>
      </c>
      <c r="B137" t="s">
        <v>139</v>
      </c>
      <c r="C137" t="s">
        <v>1463</v>
      </c>
      <c r="D137" t="s">
        <v>954</v>
      </c>
      <c r="E137" t="s">
        <v>956</v>
      </c>
      <c r="F137" t="s">
        <v>17</v>
      </c>
      <c r="G137">
        <v>2025</v>
      </c>
      <c r="H137">
        <v>7</v>
      </c>
      <c r="I137">
        <v>3</v>
      </c>
      <c r="J137">
        <v>1355</v>
      </c>
      <c r="K137">
        <v>0</v>
      </c>
      <c r="L137">
        <v>0</v>
      </c>
      <c r="M137">
        <v>22.6</v>
      </c>
      <c r="N137">
        <v>0</v>
      </c>
      <c r="O137">
        <v>7.5</v>
      </c>
      <c r="P137">
        <v>24</v>
      </c>
      <c r="Q137">
        <v>-1.4</v>
      </c>
    </row>
    <row r="138" spans="1:17" hidden="1" x14ac:dyDescent="0.45">
      <c r="A138">
        <v>1211076</v>
      </c>
      <c r="B138" t="s">
        <v>140</v>
      </c>
      <c r="C138" t="s">
        <v>1457</v>
      </c>
      <c r="D138" t="s">
        <v>929</v>
      </c>
      <c r="E138" t="s">
        <v>931</v>
      </c>
      <c r="F138" t="s">
        <v>17</v>
      </c>
      <c r="G138">
        <v>2025</v>
      </c>
      <c r="H138">
        <v>6</v>
      </c>
      <c r="I138">
        <v>17</v>
      </c>
      <c r="J138">
        <v>11339</v>
      </c>
      <c r="K138">
        <v>1656</v>
      </c>
      <c r="L138">
        <v>0</v>
      </c>
      <c r="M138">
        <v>189</v>
      </c>
      <c r="N138">
        <v>27.6</v>
      </c>
      <c r="O138">
        <v>11.1</v>
      </c>
      <c r="P138">
        <v>136</v>
      </c>
      <c r="Q138">
        <v>53</v>
      </c>
    </row>
    <row r="139" spans="1:17" hidden="1" x14ac:dyDescent="0.45">
      <c r="A139">
        <v>1211076</v>
      </c>
      <c r="B139" t="s">
        <v>140</v>
      </c>
      <c r="C139" t="s">
        <v>1457</v>
      </c>
      <c r="D139" t="s">
        <v>929</v>
      </c>
      <c r="E139" t="s">
        <v>931</v>
      </c>
      <c r="F139" t="s">
        <v>17</v>
      </c>
      <c r="G139">
        <v>2025</v>
      </c>
      <c r="H139">
        <v>7</v>
      </c>
      <c r="I139">
        <v>20</v>
      </c>
      <c r="J139">
        <v>9854</v>
      </c>
      <c r="K139">
        <v>516</v>
      </c>
      <c r="L139">
        <v>0</v>
      </c>
      <c r="M139">
        <v>164.2</v>
      </c>
      <c r="N139">
        <v>8.6</v>
      </c>
      <c r="O139">
        <v>8.1999999999999993</v>
      </c>
      <c r="P139">
        <v>160</v>
      </c>
      <c r="Q139" s="1" t="s">
        <v>141</v>
      </c>
    </row>
    <row r="140" spans="1:17" hidden="1" x14ac:dyDescent="0.45">
      <c r="A140">
        <v>1211076</v>
      </c>
      <c r="B140" t="s">
        <v>140</v>
      </c>
      <c r="C140" t="s">
        <v>1457</v>
      </c>
      <c r="D140" t="s">
        <v>929</v>
      </c>
      <c r="E140" t="s">
        <v>931</v>
      </c>
      <c r="F140" t="s">
        <v>17</v>
      </c>
      <c r="G140">
        <v>2025</v>
      </c>
      <c r="H140">
        <v>8</v>
      </c>
      <c r="I140">
        <v>16</v>
      </c>
      <c r="J140">
        <v>9017</v>
      </c>
      <c r="K140">
        <v>865</v>
      </c>
      <c r="L140">
        <v>0</v>
      </c>
      <c r="M140">
        <v>150.30000000000001</v>
      </c>
      <c r="N140">
        <v>14.4</v>
      </c>
      <c r="O140">
        <v>9.4</v>
      </c>
      <c r="P140">
        <v>128</v>
      </c>
      <c r="Q140" s="1" t="s">
        <v>142</v>
      </c>
    </row>
    <row r="141" spans="1:17" hidden="1" x14ac:dyDescent="0.45">
      <c r="A141">
        <v>1211110</v>
      </c>
      <c r="B141" t="s">
        <v>143</v>
      </c>
      <c r="C141" t="s">
        <v>1448</v>
      </c>
      <c r="D141" t="s">
        <v>884</v>
      </c>
      <c r="E141" t="s">
        <v>887</v>
      </c>
      <c r="F141" t="s">
        <v>116</v>
      </c>
      <c r="G141">
        <v>2025</v>
      </c>
      <c r="H141">
        <v>6</v>
      </c>
      <c r="I141">
        <v>12</v>
      </c>
      <c r="J141">
        <v>7305</v>
      </c>
      <c r="K141">
        <v>1029</v>
      </c>
      <c r="L141">
        <v>1</v>
      </c>
      <c r="M141">
        <v>121.8</v>
      </c>
      <c r="N141">
        <v>17.2</v>
      </c>
      <c r="O141">
        <v>10.199999999999999</v>
      </c>
      <c r="P141">
        <v>88</v>
      </c>
      <c r="Q141">
        <v>33.799999999999997</v>
      </c>
    </row>
    <row r="142" spans="1:17" hidden="1" x14ac:dyDescent="0.45">
      <c r="A142">
        <v>1211110</v>
      </c>
      <c r="B142" t="s">
        <v>143</v>
      </c>
      <c r="C142" t="s">
        <v>1448</v>
      </c>
      <c r="D142" t="s">
        <v>884</v>
      </c>
      <c r="E142" t="s">
        <v>887</v>
      </c>
      <c r="F142" t="s">
        <v>116</v>
      </c>
      <c r="G142">
        <v>2025</v>
      </c>
      <c r="H142">
        <v>7</v>
      </c>
      <c r="I142">
        <v>3</v>
      </c>
      <c r="J142">
        <v>967</v>
      </c>
      <c r="K142">
        <v>239</v>
      </c>
      <c r="L142">
        <v>0</v>
      </c>
      <c r="M142">
        <v>16.100000000000001</v>
      </c>
      <c r="N142">
        <v>4</v>
      </c>
      <c r="O142">
        <v>5.4</v>
      </c>
      <c r="P142">
        <v>24</v>
      </c>
      <c r="Q142">
        <v>-7.9</v>
      </c>
    </row>
    <row r="143" spans="1:17" hidden="1" x14ac:dyDescent="0.45">
      <c r="A143">
        <v>1211111</v>
      </c>
      <c r="B143" t="s">
        <v>144</v>
      </c>
      <c r="C143" t="s">
        <v>1454</v>
      </c>
      <c r="D143" t="s">
        <v>884</v>
      </c>
      <c r="E143" t="s">
        <v>885</v>
      </c>
      <c r="F143" t="s">
        <v>17</v>
      </c>
      <c r="G143">
        <v>2025</v>
      </c>
      <c r="H143">
        <v>6</v>
      </c>
      <c r="I143">
        <v>17</v>
      </c>
      <c r="J143">
        <v>9652</v>
      </c>
      <c r="K143">
        <v>0</v>
      </c>
      <c r="L143">
        <v>0</v>
      </c>
      <c r="M143">
        <v>160.9</v>
      </c>
      <c r="N143">
        <v>0</v>
      </c>
      <c r="O143">
        <v>9.5</v>
      </c>
      <c r="P143">
        <v>136</v>
      </c>
      <c r="Q143" s="1" t="s">
        <v>145</v>
      </c>
    </row>
    <row r="144" spans="1:17" hidden="1" x14ac:dyDescent="0.45">
      <c r="A144">
        <v>1211111</v>
      </c>
      <c r="B144" t="s">
        <v>144</v>
      </c>
      <c r="C144" t="s">
        <v>1454</v>
      </c>
      <c r="D144" t="s">
        <v>884</v>
      </c>
      <c r="E144" t="s">
        <v>885</v>
      </c>
      <c r="F144" t="s">
        <v>17</v>
      </c>
      <c r="G144">
        <v>2025</v>
      </c>
      <c r="H144">
        <v>7</v>
      </c>
      <c r="I144">
        <v>17</v>
      </c>
      <c r="J144">
        <v>9875</v>
      </c>
      <c r="K144">
        <v>42</v>
      </c>
      <c r="L144">
        <v>0</v>
      </c>
      <c r="M144">
        <v>164.6</v>
      </c>
      <c r="N144">
        <v>0.7</v>
      </c>
      <c r="O144">
        <v>9.6999999999999993</v>
      </c>
      <c r="P144">
        <v>136</v>
      </c>
      <c r="Q144" s="1" t="s">
        <v>63</v>
      </c>
    </row>
    <row r="145" spans="1:17" hidden="1" x14ac:dyDescent="0.45">
      <c r="A145">
        <v>1211111</v>
      </c>
      <c r="B145" t="s">
        <v>144</v>
      </c>
      <c r="C145" t="s">
        <v>1454</v>
      </c>
      <c r="D145" t="s">
        <v>884</v>
      </c>
      <c r="E145" t="s">
        <v>885</v>
      </c>
      <c r="F145" t="s">
        <v>17</v>
      </c>
      <c r="G145">
        <v>2025</v>
      </c>
      <c r="H145">
        <v>8</v>
      </c>
      <c r="I145">
        <v>16</v>
      </c>
      <c r="J145">
        <v>9055</v>
      </c>
      <c r="K145">
        <v>373</v>
      </c>
      <c r="L145">
        <v>0</v>
      </c>
      <c r="M145">
        <v>150.9</v>
      </c>
      <c r="N145">
        <v>6.2</v>
      </c>
      <c r="O145">
        <v>9.4</v>
      </c>
      <c r="P145">
        <v>128</v>
      </c>
      <c r="Q145" s="1" t="s">
        <v>146</v>
      </c>
    </row>
    <row r="146" spans="1:17" hidden="1" x14ac:dyDescent="0.45">
      <c r="A146">
        <v>1211134</v>
      </c>
      <c r="B146" t="s">
        <v>147</v>
      </c>
      <c r="C146" t="s">
        <v>1448</v>
      </c>
      <c r="D146" t="e">
        <v>#N/A</v>
      </c>
      <c r="E146" t="e">
        <v>#N/A</v>
      </c>
      <c r="F146" t="s">
        <v>148</v>
      </c>
      <c r="G146">
        <v>2025</v>
      </c>
      <c r="H146">
        <v>6</v>
      </c>
      <c r="I146">
        <v>22</v>
      </c>
      <c r="J146">
        <v>8251</v>
      </c>
      <c r="K146">
        <v>0</v>
      </c>
      <c r="L146">
        <v>1</v>
      </c>
      <c r="M146">
        <v>137.5</v>
      </c>
      <c r="N146">
        <v>0</v>
      </c>
      <c r="O146">
        <v>6.2</v>
      </c>
      <c r="P146">
        <v>168</v>
      </c>
      <c r="Q146">
        <v>-30.5</v>
      </c>
    </row>
    <row r="147" spans="1:17" hidden="1" x14ac:dyDescent="0.45">
      <c r="A147">
        <v>1211134</v>
      </c>
      <c r="B147" t="s">
        <v>147</v>
      </c>
      <c r="C147" t="s">
        <v>1448</v>
      </c>
      <c r="D147" t="e">
        <v>#N/A</v>
      </c>
      <c r="E147" t="e">
        <v>#N/A</v>
      </c>
      <c r="F147" t="s">
        <v>148</v>
      </c>
      <c r="G147">
        <v>2025</v>
      </c>
      <c r="H147">
        <v>7</v>
      </c>
      <c r="I147">
        <v>21</v>
      </c>
      <c r="J147">
        <v>8021</v>
      </c>
      <c r="K147">
        <v>0</v>
      </c>
      <c r="L147">
        <v>3</v>
      </c>
      <c r="M147">
        <v>133.69999999999999</v>
      </c>
      <c r="N147">
        <v>0</v>
      </c>
      <c r="O147">
        <v>6.4</v>
      </c>
      <c r="P147">
        <v>144</v>
      </c>
      <c r="Q147">
        <v>-10.3</v>
      </c>
    </row>
    <row r="148" spans="1:17" hidden="1" x14ac:dyDescent="0.45">
      <c r="A148">
        <v>1211134</v>
      </c>
      <c r="B148" t="s">
        <v>147</v>
      </c>
      <c r="C148" t="s">
        <v>1448</v>
      </c>
      <c r="D148" t="e">
        <v>#N/A</v>
      </c>
      <c r="E148" t="e">
        <v>#N/A</v>
      </c>
      <c r="F148" t="s">
        <v>148</v>
      </c>
      <c r="G148">
        <v>2025</v>
      </c>
      <c r="H148">
        <v>8</v>
      </c>
      <c r="I148">
        <v>19</v>
      </c>
      <c r="J148">
        <v>6205</v>
      </c>
      <c r="K148">
        <v>0</v>
      </c>
      <c r="L148">
        <v>1</v>
      </c>
      <c r="M148">
        <v>103.4</v>
      </c>
      <c r="N148">
        <v>0</v>
      </c>
      <c r="O148">
        <v>5.4</v>
      </c>
      <c r="P148">
        <v>144</v>
      </c>
      <c r="Q148">
        <v>-40.6</v>
      </c>
    </row>
    <row r="149" spans="1:17" hidden="1" x14ac:dyDescent="0.45">
      <c r="A149">
        <v>1211151</v>
      </c>
      <c r="B149" t="s">
        <v>149</v>
      </c>
      <c r="C149" t="s">
        <v>1463</v>
      </c>
      <c r="D149" t="s">
        <v>954</v>
      </c>
      <c r="E149" t="s">
        <v>956</v>
      </c>
      <c r="F149" t="s">
        <v>116</v>
      </c>
      <c r="G149">
        <v>2025</v>
      </c>
      <c r="H149">
        <v>6</v>
      </c>
      <c r="I149">
        <v>20</v>
      </c>
      <c r="J149">
        <v>10359</v>
      </c>
      <c r="K149">
        <v>0</v>
      </c>
      <c r="L149">
        <v>1</v>
      </c>
      <c r="M149">
        <v>172.6</v>
      </c>
      <c r="N149">
        <v>0</v>
      </c>
      <c r="O149">
        <v>8.6</v>
      </c>
      <c r="P149">
        <v>152</v>
      </c>
      <c r="Q149" s="1" t="s">
        <v>150</v>
      </c>
    </row>
    <row r="150" spans="1:17" hidden="1" x14ac:dyDescent="0.45">
      <c r="A150">
        <v>1211151</v>
      </c>
      <c r="B150" t="s">
        <v>149</v>
      </c>
      <c r="C150" t="s">
        <v>1463</v>
      </c>
      <c r="D150" t="s">
        <v>954</v>
      </c>
      <c r="E150" t="s">
        <v>956</v>
      </c>
      <c r="F150" t="s">
        <v>116</v>
      </c>
      <c r="G150">
        <v>2025</v>
      </c>
      <c r="H150">
        <v>7</v>
      </c>
      <c r="I150">
        <v>18</v>
      </c>
      <c r="J150">
        <v>10210</v>
      </c>
      <c r="K150">
        <v>0</v>
      </c>
      <c r="L150">
        <v>0</v>
      </c>
      <c r="M150">
        <v>170.2</v>
      </c>
      <c r="N150">
        <v>0</v>
      </c>
      <c r="O150">
        <v>9.5</v>
      </c>
      <c r="P150">
        <v>144</v>
      </c>
      <c r="Q150" s="1" t="s">
        <v>151</v>
      </c>
    </row>
    <row r="151" spans="1:17" hidden="1" x14ac:dyDescent="0.45">
      <c r="A151">
        <v>1211151</v>
      </c>
      <c r="B151" t="s">
        <v>149</v>
      </c>
      <c r="C151" t="s">
        <v>1463</v>
      </c>
      <c r="D151" t="s">
        <v>954</v>
      </c>
      <c r="E151" t="s">
        <v>956</v>
      </c>
      <c r="F151" t="s">
        <v>116</v>
      </c>
      <c r="G151">
        <v>2025</v>
      </c>
      <c r="H151">
        <v>8</v>
      </c>
      <c r="I151">
        <v>14</v>
      </c>
      <c r="J151">
        <v>7325</v>
      </c>
      <c r="K151">
        <v>0</v>
      </c>
      <c r="L151">
        <v>0</v>
      </c>
      <c r="M151">
        <v>122.1</v>
      </c>
      <c r="N151">
        <v>0</v>
      </c>
      <c r="O151">
        <v>8.6999999999999993</v>
      </c>
      <c r="P151">
        <v>112</v>
      </c>
      <c r="Q151" s="1" t="s">
        <v>152</v>
      </c>
    </row>
    <row r="152" spans="1:17" hidden="1" x14ac:dyDescent="0.45">
      <c r="A152">
        <v>1211208</v>
      </c>
      <c r="B152" t="s">
        <v>153</v>
      </c>
      <c r="C152" t="s">
        <v>1450</v>
      </c>
      <c r="D152" t="s">
        <v>718</v>
      </c>
      <c r="E152" t="s">
        <v>743</v>
      </c>
      <c r="F152" t="s">
        <v>17</v>
      </c>
      <c r="G152">
        <v>2025</v>
      </c>
      <c r="H152">
        <v>6</v>
      </c>
      <c r="I152">
        <v>28</v>
      </c>
      <c r="J152">
        <v>39455</v>
      </c>
      <c r="K152">
        <v>2806</v>
      </c>
      <c r="L152">
        <v>7</v>
      </c>
      <c r="M152">
        <v>657.6</v>
      </c>
      <c r="N152">
        <v>46.8</v>
      </c>
      <c r="O152">
        <v>23.5</v>
      </c>
      <c r="P152">
        <v>168</v>
      </c>
      <c r="Q152">
        <v>489.6</v>
      </c>
    </row>
    <row r="153" spans="1:17" hidden="1" x14ac:dyDescent="0.45">
      <c r="A153">
        <v>1211208</v>
      </c>
      <c r="B153" t="s">
        <v>153</v>
      </c>
      <c r="C153" t="s">
        <v>1450</v>
      </c>
      <c r="D153" t="s">
        <v>718</v>
      </c>
      <c r="E153" t="s">
        <v>743</v>
      </c>
      <c r="F153" t="s">
        <v>17</v>
      </c>
      <c r="G153">
        <v>2025</v>
      </c>
      <c r="H153">
        <v>7</v>
      </c>
      <c r="I153">
        <v>30</v>
      </c>
      <c r="J153">
        <v>42443</v>
      </c>
      <c r="K153">
        <v>2097</v>
      </c>
      <c r="L153">
        <v>8</v>
      </c>
      <c r="M153">
        <v>707.4</v>
      </c>
      <c r="N153">
        <v>35</v>
      </c>
      <c r="O153">
        <v>23.6</v>
      </c>
      <c r="P153">
        <v>176</v>
      </c>
      <c r="Q153">
        <v>531.4</v>
      </c>
    </row>
    <row r="154" spans="1:17" hidden="1" x14ac:dyDescent="0.45">
      <c r="A154">
        <v>1211208</v>
      </c>
      <c r="B154" t="s">
        <v>153</v>
      </c>
      <c r="C154" t="s">
        <v>1450</v>
      </c>
      <c r="D154" t="s">
        <v>718</v>
      </c>
      <c r="E154" t="s">
        <v>743</v>
      </c>
      <c r="F154" t="s">
        <v>17</v>
      </c>
      <c r="G154">
        <v>2025</v>
      </c>
      <c r="H154">
        <v>8</v>
      </c>
      <c r="I154">
        <v>17</v>
      </c>
      <c r="J154">
        <v>20494</v>
      </c>
      <c r="K154">
        <v>687</v>
      </c>
      <c r="L154">
        <v>2</v>
      </c>
      <c r="M154">
        <v>341.6</v>
      </c>
      <c r="N154">
        <v>11.4</v>
      </c>
      <c r="O154">
        <v>20.100000000000001</v>
      </c>
      <c r="P154">
        <v>120</v>
      </c>
      <c r="Q154" s="1" t="s">
        <v>154</v>
      </c>
    </row>
    <row r="155" spans="1:17" hidden="1" x14ac:dyDescent="0.45">
      <c r="A155">
        <v>1211209</v>
      </c>
      <c r="B155" t="s">
        <v>155</v>
      </c>
      <c r="C155" t="s">
        <v>1464</v>
      </c>
      <c r="D155" t="s">
        <v>815</v>
      </c>
      <c r="E155" t="s">
        <v>835</v>
      </c>
      <c r="F155" t="s">
        <v>17</v>
      </c>
      <c r="G155">
        <v>2025</v>
      </c>
      <c r="H155">
        <v>6</v>
      </c>
      <c r="I155">
        <v>3</v>
      </c>
      <c r="J155">
        <v>559</v>
      </c>
      <c r="K155">
        <v>180</v>
      </c>
      <c r="L155">
        <v>0</v>
      </c>
      <c r="M155">
        <v>9.3000000000000007</v>
      </c>
      <c r="N155">
        <v>3</v>
      </c>
      <c r="O155">
        <v>3.1</v>
      </c>
      <c r="P155">
        <v>24</v>
      </c>
      <c r="Q155">
        <v>-14.7</v>
      </c>
    </row>
    <row r="156" spans="1:17" hidden="1" x14ac:dyDescent="0.45">
      <c r="A156">
        <v>1211209</v>
      </c>
      <c r="B156" t="s">
        <v>155</v>
      </c>
      <c r="C156" t="s">
        <v>1464</v>
      </c>
      <c r="D156" t="s">
        <v>815</v>
      </c>
      <c r="E156" t="s">
        <v>835</v>
      </c>
      <c r="F156" t="s">
        <v>17</v>
      </c>
      <c r="G156">
        <v>2025</v>
      </c>
      <c r="H156">
        <v>7</v>
      </c>
      <c r="I156">
        <v>8</v>
      </c>
      <c r="J156">
        <v>3037</v>
      </c>
      <c r="K156">
        <v>0</v>
      </c>
      <c r="L156">
        <v>0</v>
      </c>
      <c r="M156">
        <v>50.6</v>
      </c>
      <c r="N156">
        <v>0</v>
      </c>
      <c r="O156">
        <v>6.3</v>
      </c>
      <c r="P156">
        <v>64</v>
      </c>
      <c r="Q156">
        <v>-13.4</v>
      </c>
    </row>
    <row r="157" spans="1:17" hidden="1" x14ac:dyDescent="0.45">
      <c r="A157">
        <v>1211209</v>
      </c>
      <c r="B157" t="s">
        <v>155</v>
      </c>
      <c r="C157" t="s">
        <v>1464</v>
      </c>
      <c r="D157" t="s">
        <v>815</v>
      </c>
      <c r="E157" t="s">
        <v>835</v>
      </c>
      <c r="F157" t="s">
        <v>17</v>
      </c>
      <c r="G157">
        <v>2025</v>
      </c>
      <c r="H157">
        <v>8</v>
      </c>
      <c r="I157">
        <v>12</v>
      </c>
      <c r="J157">
        <v>5354</v>
      </c>
      <c r="K157">
        <v>285</v>
      </c>
      <c r="L157">
        <v>1</v>
      </c>
      <c r="M157">
        <v>89.2</v>
      </c>
      <c r="N157">
        <v>4.8</v>
      </c>
      <c r="O157">
        <v>7.4</v>
      </c>
      <c r="P157">
        <v>88</v>
      </c>
      <c r="Q157" s="1" t="s">
        <v>156</v>
      </c>
    </row>
    <row r="158" spans="1:17" hidden="1" x14ac:dyDescent="0.45">
      <c r="A158">
        <v>1212004</v>
      </c>
      <c r="B158" t="s">
        <v>157</v>
      </c>
      <c r="C158" t="s">
        <v>1459</v>
      </c>
      <c r="D158" t="s">
        <v>954</v>
      </c>
      <c r="E158" t="s">
        <v>962</v>
      </c>
      <c r="F158" t="s">
        <v>116</v>
      </c>
      <c r="G158">
        <v>2025</v>
      </c>
      <c r="H158">
        <v>6</v>
      </c>
      <c r="I158">
        <v>18</v>
      </c>
      <c r="J158">
        <v>10065</v>
      </c>
      <c r="K158">
        <v>840</v>
      </c>
      <c r="L158">
        <v>0</v>
      </c>
      <c r="M158">
        <v>167.8</v>
      </c>
      <c r="N158">
        <v>14</v>
      </c>
      <c r="O158">
        <v>9.3000000000000007</v>
      </c>
      <c r="P158">
        <v>144</v>
      </c>
      <c r="Q158" s="1" t="s">
        <v>42</v>
      </c>
    </row>
    <row r="159" spans="1:17" hidden="1" x14ac:dyDescent="0.45">
      <c r="A159">
        <v>1212004</v>
      </c>
      <c r="B159" t="s">
        <v>157</v>
      </c>
      <c r="C159" t="s">
        <v>1459</v>
      </c>
      <c r="D159" t="s">
        <v>954</v>
      </c>
      <c r="E159" t="s">
        <v>962</v>
      </c>
      <c r="F159" t="s">
        <v>116</v>
      </c>
      <c r="G159">
        <v>2025</v>
      </c>
      <c r="H159">
        <v>7</v>
      </c>
      <c r="I159">
        <v>18</v>
      </c>
      <c r="J159">
        <v>10109</v>
      </c>
      <c r="K159">
        <v>550</v>
      </c>
      <c r="L159">
        <v>0</v>
      </c>
      <c r="M159">
        <v>168.5</v>
      </c>
      <c r="N159">
        <v>9.1999999999999993</v>
      </c>
      <c r="O159">
        <v>9.4</v>
      </c>
      <c r="P159">
        <v>144</v>
      </c>
      <c r="Q159">
        <v>24.5</v>
      </c>
    </row>
    <row r="160" spans="1:17" hidden="1" x14ac:dyDescent="0.45">
      <c r="A160">
        <v>1212004</v>
      </c>
      <c r="B160" t="s">
        <v>157</v>
      </c>
      <c r="C160" t="s">
        <v>1459</v>
      </c>
      <c r="D160" t="s">
        <v>954</v>
      </c>
      <c r="E160" t="s">
        <v>962</v>
      </c>
      <c r="F160" t="s">
        <v>116</v>
      </c>
      <c r="G160">
        <v>2025</v>
      </c>
      <c r="H160">
        <v>8</v>
      </c>
      <c r="I160">
        <v>15</v>
      </c>
      <c r="J160">
        <v>8294</v>
      </c>
      <c r="K160">
        <v>736</v>
      </c>
      <c r="L160">
        <v>0</v>
      </c>
      <c r="M160">
        <v>138.19999999999999</v>
      </c>
      <c r="N160">
        <v>12.3</v>
      </c>
      <c r="O160">
        <v>9.1999999999999993</v>
      </c>
      <c r="P160">
        <v>120</v>
      </c>
      <c r="Q160" s="1" t="s">
        <v>158</v>
      </c>
    </row>
    <row r="161" spans="1:17" hidden="1" x14ac:dyDescent="0.45">
      <c r="A161">
        <v>1212013</v>
      </c>
      <c r="B161" t="s">
        <v>159</v>
      </c>
      <c r="C161" t="s">
        <v>1465</v>
      </c>
      <c r="D161" t="s">
        <v>1008</v>
      </c>
      <c r="E161" t="s">
        <v>1013</v>
      </c>
      <c r="F161" t="s">
        <v>17</v>
      </c>
      <c r="G161">
        <v>2025</v>
      </c>
      <c r="H161">
        <v>6</v>
      </c>
      <c r="I161">
        <v>19</v>
      </c>
      <c r="J161">
        <v>11028</v>
      </c>
      <c r="K161">
        <v>1001</v>
      </c>
      <c r="L161">
        <v>0</v>
      </c>
      <c r="M161">
        <v>183.8</v>
      </c>
      <c r="N161">
        <v>16.7</v>
      </c>
      <c r="O161">
        <v>9.6999999999999993</v>
      </c>
      <c r="P161">
        <v>152</v>
      </c>
      <c r="Q161" s="1" t="s">
        <v>160</v>
      </c>
    </row>
    <row r="162" spans="1:17" hidden="1" x14ac:dyDescent="0.45">
      <c r="A162">
        <v>1212013</v>
      </c>
      <c r="B162" t="s">
        <v>159</v>
      </c>
      <c r="C162" t="s">
        <v>1465</v>
      </c>
      <c r="D162" t="s">
        <v>1008</v>
      </c>
      <c r="E162" t="s">
        <v>1013</v>
      </c>
      <c r="F162" t="s">
        <v>17</v>
      </c>
      <c r="G162">
        <v>2025</v>
      </c>
      <c r="H162">
        <v>7</v>
      </c>
      <c r="I162">
        <v>15</v>
      </c>
      <c r="J162">
        <v>8627</v>
      </c>
      <c r="K162">
        <v>1052</v>
      </c>
      <c r="L162">
        <v>1</v>
      </c>
      <c r="M162">
        <v>143.80000000000001</v>
      </c>
      <c r="N162">
        <v>17.5</v>
      </c>
      <c r="O162">
        <v>9.6</v>
      </c>
      <c r="P162">
        <v>112</v>
      </c>
      <c r="Q162" s="1" t="s">
        <v>160</v>
      </c>
    </row>
    <row r="163" spans="1:17" hidden="1" x14ac:dyDescent="0.45">
      <c r="A163">
        <v>1212013</v>
      </c>
      <c r="B163" t="s">
        <v>159</v>
      </c>
      <c r="C163" t="s">
        <v>1465</v>
      </c>
      <c r="D163" t="s">
        <v>1008</v>
      </c>
      <c r="E163" t="s">
        <v>1013</v>
      </c>
      <c r="F163" t="s">
        <v>17</v>
      </c>
      <c r="G163">
        <v>2025</v>
      </c>
      <c r="H163">
        <v>8</v>
      </c>
      <c r="I163">
        <v>16</v>
      </c>
      <c r="J163">
        <v>9379</v>
      </c>
      <c r="K163">
        <v>627</v>
      </c>
      <c r="L163">
        <v>0</v>
      </c>
      <c r="M163">
        <v>156.30000000000001</v>
      </c>
      <c r="N163">
        <v>10.4</v>
      </c>
      <c r="O163">
        <v>9.8000000000000007</v>
      </c>
      <c r="P163">
        <v>128</v>
      </c>
      <c r="Q163" s="1" t="s">
        <v>161</v>
      </c>
    </row>
    <row r="164" spans="1:17" hidden="1" x14ac:dyDescent="0.45">
      <c r="A164">
        <v>1212023</v>
      </c>
      <c r="B164" t="s">
        <v>162</v>
      </c>
      <c r="C164" t="s">
        <v>1449</v>
      </c>
      <c r="D164" t="s">
        <v>815</v>
      </c>
      <c r="E164" t="s">
        <v>819</v>
      </c>
      <c r="F164" t="s">
        <v>17</v>
      </c>
      <c r="G164">
        <v>2025</v>
      </c>
      <c r="H164">
        <v>6</v>
      </c>
      <c r="I164">
        <v>16</v>
      </c>
      <c r="J164">
        <v>9346</v>
      </c>
      <c r="K164">
        <v>212</v>
      </c>
      <c r="L164">
        <v>0</v>
      </c>
      <c r="M164">
        <v>155.80000000000001</v>
      </c>
      <c r="N164">
        <v>3.5</v>
      </c>
      <c r="O164">
        <v>9.6999999999999993</v>
      </c>
      <c r="P164">
        <v>128</v>
      </c>
      <c r="Q164" s="1" t="s">
        <v>163</v>
      </c>
    </row>
    <row r="165" spans="1:17" hidden="1" x14ac:dyDescent="0.45">
      <c r="A165">
        <v>1212023</v>
      </c>
      <c r="B165" t="s">
        <v>162</v>
      </c>
      <c r="C165" t="s">
        <v>1449</v>
      </c>
      <c r="D165" t="s">
        <v>815</v>
      </c>
      <c r="E165" t="s">
        <v>819</v>
      </c>
      <c r="F165" t="s">
        <v>17</v>
      </c>
      <c r="G165">
        <v>2025</v>
      </c>
      <c r="H165">
        <v>7</v>
      </c>
      <c r="I165">
        <v>15</v>
      </c>
      <c r="J165">
        <v>8758</v>
      </c>
      <c r="K165">
        <v>36</v>
      </c>
      <c r="L165">
        <v>0</v>
      </c>
      <c r="M165">
        <v>146</v>
      </c>
      <c r="N165">
        <v>0.6</v>
      </c>
      <c r="O165">
        <v>9.6999999999999993</v>
      </c>
      <c r="P165">
        <v>120</v>
      </c>
      <c r="Q165">
        <v>26</v>
      </c>
    </row>
    <row r="166" spans="1:17" hidden="1" x14ac:dyDescent="0.45">
      <c r="A166">
        <v>1212023</v>
      </c>
      <c r="B166" t="s">
        <v>162</v>
      </c>
      <c r="C166" t="s">
        <v>1449</v>
      </c>
      <c r="D166" t="s">
        <v>815</v>
      </c>
      <c r="E166" t="s">
        <v>819</v>
      </c>
      <c r="F166" t="s">
        <v>17</v>
      </c>
      <c r="G166">
        <v>2025</v>
      </c>
      <c r="H166">
        <v>8</v>
      </c>
      <c r="I166">
        <v>14</v>
      </c>
      <c r="J166">
        <v>7771</v>
      </c>
      <c r="K166">
        <v>363</v>
      </c>
      <c r="L166">
        <v>0</v>
      </c>
      <c r="M166">
        <v>129.5</v>
      </c>
      <c r="N166">
        <v>6</v>
      </c>
      <c r="O166">
        <v>9.1999999999999993</v>
      </c>
      <c r="P166">
        <v>112</v>
      </c>
      <c r="Q166">
        <v>17.5</v>
      </c>
    </row>
    <row r="167" spans="1:17" hidden="1" x14ac:dyDescent="0.45">
      <c r="A167">
        <v>1212055</v>
      </c>
      <c r="B167" t="s">
        <v>164</v>
      </c>
      <c r="C167" t="s">
        <v>1456</v>
      </c>
      <c r="D167" t="s">
        <v>906</v>
      </c>
      <c r="E167" t="s">
        <v>909</v>
      </c>
      <c r="F167" t="s">
        <v>116</v>
      </c>
      <c r="G167">
        <v>2025</v>
      </c>
      <c r="H167">
        <v>6</v>
      </c>
      <c r="I167">
        <v>19</v>
      </c>
      <c r="J167">
        <v>11575</v>
      </c>
      <c r="K167">
        <v>462</v>
      </c>
      <c r="L167">
        <v>0</v>
      </c>
      <c r="M167">
        <v>192.9</v>
      </c>
      <c r="N167">
        <v>7.7</v>
      </c>
      <c r="O167">
        <v>10.199999999999999</v>
      </c>
      <c r="P167">
        <v>152</v>
      </c>
      <c r="Q167" s="1" t="s">
        <v>165</v>
      </c>
    </row>
    <row r="168" spans="1:17" hidden="1" x14ac:dyDescent="0.45">
      <c r="A168">
        <v>1212055</v>
      </c>
      <c r="B168" t="s">
        <v>164</v>
      </c>
      <c r="C168" t="s">
        <v>1456</v>
      </c>
      <c r="D168" t="s">
        <v>906</v>
      </c>
      <c r="E168" t="s">
        <v>909</v>
      </c>
      <c r="F168" t="s">
        <v>116</v>
      </c>
      <c r="G168">
        <v>2025</v>
      </c>
      <c r="H168">
        <v>7</v>
      </c>
      <c r="I168">
        <v>18</v>
      </c>
      <c r="J168">
        <v>10545</v>
      </c>
      <c r="K168">
        <v>164</v>
      </c>
      <c r="L168">
        <v>0</v>
      </c>
      <c r="M168">
        <v>175.8</v>
      </c>
      <c r="N168">
        <v>2.7</v>
      </c>
      <c r="O168">
        <v>9.8000000000000007</v>
      </c>
      <c r="P168">
        <v>144</v>
      </c>
      <c r="Q168" s="1" t="s">
        <v>160</v>
      </c>
    </row>
    <row r="169" spans="1:17" hidden="1" x14ac:dyDescent="0.45">
      <c r="A169">
        <v>1212055</v>
      </c>
      <c r="B169" t="s">
        <v>164</v>
      </c>
      <c r="C169" t="s">
        <v>1456</v>
      </c>
      <c r="D169" t="s">
        <v>906</v>
      </c>
      <c r="E169" t="s">
        <v>909</v>
      </c>
      <c r="F169" t="s">
        <v>116</v>
      </c>
      <c r="G169">
        <v>2025</v>
      </c>
      <c r="H169">
        <v>8</v>
      </c>
      <c r="I169">
        <v>15</v>
      </c>
      <c r="J169">
        <v>9105</v>
      </c>
      <c r="K169">
        <v>57</v>
      </c>
      <c r="L169">
        <v>0</v>
      </c>
      <c r="M169">
        <v>151.80000000000001</v>
      </c>
      <c r="N169">
        <v>1</v>
      </c>
      <c r="O169">
        <v>10.1</v>
      </c>
      <c r="P169">
        <v>120</v>
      </c>
      <c r="Q169" s="1" t="s">
        <v>160</v>
      </c>
    </row>
    <row r="170" spans="1:17" hidden="1" x14ac:dyDescent="0.45">
      <c r="A170">
        <v>1212081</v>
      </c>
      <c r="B170" t="s">
        <v>166</v>
      </c>
      <c r="C170" t="s">
        <v>1452</v>
      </c>
      <c r="D170" t="s">
        <v>954</v>
      </c>
      <c r="E170" t="s">
        <v>958</v>
      </c>
      <c r="F170" t="s">
        <v>116</v>
      </c>
      <c r="G170">
        <v>2025</v>
      </c>
      <c r="H170">
        <v>6</v>
      </c>
      <c r="I170">
        <v>13</v>
      </c>
      <c r="J170">
        <v>6960</v>
      </c>
      <c r="K170">
        <v>0</v>
      </c>
      <c r="L170">
        <v>0</v>
      </c>
      <c r="M170">
        <v>116</v>
      </c>
      <c r="N170">
        <v>0</v>
      </c>
      <c r="O170">
        <v>8.9</v>
      </c>
      <c r="P170">
        <v>104</v>
      </c>
      <c r="Q170">
        <v>12</v>
      </c>
    </row>
    <row r="171" spans="1:17" hidden="1" x14ac:dyDescent="0.45">
      <c r="A171">
        <v>1212081</v>
      </c>
      <c r="B171" t="s">
        <v>166</v>
      </c>
      <c r="C171" t="s">
        <v>1452</v>
      </c>
      <c r="D171" t="s">
        <v>954</v>
      </c>
      <c r="E171" t="s">
        <v>958</v>
      </c>
      <c r="F171" t="s">
        <v>116</v>
      </c>
      <c r="G171">
        <v>2025</v>
      </c>
      <c r="H171">
        <v>7</v>
      </c>
      <c r="I171">
        <v>16</v>
      </c>
      <c r="J171">
        <v>8368</v>
      </c>
      <c r="K171">
        <v>0</v>
      </c>
      <c r="L171">
        <v>0</v>
      </c>
      <c r="M171">
        <v>139.5</v>
      </c>
      <c r="N171">
        <v>0</v>
      </c>
      <c r="O171">
        <v>8.6999999999999993</v>
      </c>
      <c r="P171">
        <v>128</v>
      </c>
      <c r="Q171">
        <v>11.5</v>
      </c>
    </row>
    <row r="172" spans="1:17" hidden="1" x14ac:dyDescent="0.45">
      <c r="A172">
        <v>1212081</v>
      </c>
      <c r="B172" t="s">
        <v>166</v>
      </c>
      <c r="C172" t="s">
        <v>1452</v>
      </c>
      <c r="D172" t="s">
        <v>954</v>
      </c>
      <c r="E172" t="s">
        <v>958</v>
      </c>
      <c r="F172" t="s">
        <v>116</v>
      </c>
      <c r="G172">
        <v>2025</v>
      </c>
      <c r="H172">
        <v>8</v>
      </c>
      <c r="I172">
        <v>14</v>
      </c>
      <c r="J172">
        <v>6708</v>
      </c>
      <c r="K172">
        <v>0</v>
      </c>
      <c r="L172">
        <v>0</v>
      </c>
      <c r="M172">
        <v>111.8</v>
      </c>
      <c r="N172">
        <v>0</v>
      </c>
      <c r="O172">
        <v>8</v>
      </c>
      <c r="P172">
        <v>112</v>
      </c>
      <c r="Q172">
        <v>-0.2</v>
      </c>
    </row>
    <row r="173" spans="1:17" hidden="1" x14ac:dyDescent="0.45">
      <c r="A173">
        <v>1212180</v>
      </c>
      <c r="B173" t="s">
        <v>167</v>
      </c>
      <c r="C173" t="s">
        <v>1446</v>
      </c>
      <c r="D173" t="s">
        <v>1032</v>
      </c>
      <c r="E173" t="s">
        <v>1036</v>
      </c>
      <c r="F173" t="s">
        <v>17</v>
      </c>
      <c r="G173">
        <v>2025</v>
      </c>
      <c r="H173">
        <v>6</v>
      </c>
      <c r="I173">
        <v>20</v>
      </c>
      <c r="J173">
        <v>11344</v>
      </c>
      <c r="K173">
        <v>0</v>
      </c>
      <c r="L173">
        <v>2</v>
      </c>
      <c r="M173">
        <v>189.1</v>
      </c>
      <c r="N173">
        <v>0</v>
      </c>
      <c r="O173">
        <v>9.5</v>
      </c>
      <c r="P173">
        <v>144</v>
      </c>
      <c r="Q173" s="1" t="s">
        <v>168</v>
      </c>
    </row>
    <row r="174" spans="1:17" hidden="1" x14ac:dyDescent="0.45">
      <c r="A174">
        <v>1212180</v>
      </c>
      <c r="B174" t="s">
        <v>167</v>
      </c>
      <c r="C174" t="s">
        <v>1446</v>
      </c>
      <c r="D174" t="s">
        <v>1032</v>
      </c>
      <c r="E174" t="s">
        <v>1036</v>
      </c>
      <c r="F174" t="s">
        <v>17</v>
      </c>
      <c r="G174">
        <v>2025</v>
      </c>
      <c r="H174">
        <v>7</v>
      </c>
      <c r="I174">
        <v>19</v>
      </c>
      <c r="J174">
        <v>10617</v>
      </c>
      <c r="K174">
        <v>0</v>
      </c>
      <c r="L174">
        <v>1</v>
      </c>
      <c r="M174">
        <v>177</v>
      </c>
      <c r="N174">
        <v>0</v>
      </c>
      <c r="O174">
        <v>9.3000000000000007</v>
      </c>
      <c r="P174">
        <v>144</v>
      </c>
      <c r="Q174">
        <v>33</v>
      </c>
    </row>
    <row r="175" spans="1:17" hidden="1" x14ac:dyDescent="0.45">
      <c r="A175">
        <v>1212180</v>
      </c>
      <c r="B175" t="s">
        <v>167</v>
      </c>
      <c r="C175" t="s">
        <v>1446</v>
      </c>
      <c r="D175" t="s">
        <v>1032</v>
      </c>
      <c r="E175" t="s">
        <v>1036</v>
      </c>
      <c r="F175" t="s">
        <v>17</v>
      </c>
      <c r="G175">
        <v>2025</v>
      </c>
      <c r="H175">
        <v>8</v>
      </c>
      <c r="I175">
        <v>17</v>
      </c>
      <c r="J175">
        <v>8709</v>
      </c>
      <c r="K175">
        <v>0</v>
      </c>
      <c r="L175">
        <v>1</v>
      </c>
      <c r="M175">
        <v>145.19999999999999</v>
      </c>
      <c r="N175">
        <v>0</v>
      </c>
      <c r="O175">
        <v>8.5</v>
      </c>
      <c r="P175">
        <v>128</v>
      </c>
      <c r="Q175" s="1" t="s">
        <v>169</v>
      </c>
    </row>
    <row r="176" spans="1:17" hidden="1" x14ac:dyDescent="0.45">
      <c r="A176">
        <v>1213008</v>
      </c>
      <c r="B176" t="s">
        <v>170</v>
      </c>
      <c r="C176" t="s">
        <v>1448</v>
      </c>
      <c r="D176" t="s">
        <v>884</v>
      </c>
      <c r="E176" t="s">
        <v>887</v>
      </c>
      <c r="F176" t="s">
        <v>171</v>
      </c>
      <c r="G176">
        <v>2025</v>
      </c>
      <c r="H176">
        <v>6</v>
      </c>
      <c r="I176">
        <v>17</v>
      </c>
      <c r="J176">
        <v>9026</v>
      </c>
      <c r="K176">
        <v>161</v>
      </c>
      <c r="L176">
        <v>0</v>
      </c>
      <c r="M176">
        <v>150.4</v>
      </c>
      <c r="N176">
        <v>2.7</v>
      </c>
      <c r="O176">
        <v>8.8000000000000007</v>
      </c>
      <c r="P176">
        <v>136</v>
      </c>
      <c r="Q176" s="1" t="s">
        <v>172</v>
      </c>
    </row>
    <row r="177" spans="1:17" hidden="1" x14ac:dyDescent="0.45">
      <c r="A177">
        <v>1213008</v>
      </c>
      <c r="B177" t="s">
        <v>170</v>
      </c>
      <c r="C177" t="s">
        <v>1448</v>
      </c>
      <c r="D177" t="s">
        <v>884</v>
      </c>
      <c r="E177" t="s">
        <v>887</v>
      </c>
      <c r="F177" t="s">
        <v>171</v>
      </c>
      <c r="G177">
        <v>2025</v>
      </c>
      <c r="H177">
        <v>7</v>
      </c>
      <c r="I177">
        <v>20</v>
      </c>
      <c r="J177">
        <v>10134</v>
      </c>
      <c r="K177">
        <v>252</v>
      </c>
      <c r="L177">
        <v>1</v>
      </c>
      <c r="M177">
        <v>168.9</v>
      </c>
      <c r="N177">
        <v>4.2</v>
      </c>
      <c r="O177">
        <v>8.4</v>
      </c>
      <c r="P177">
        <v>152</v>
      </c>
      <c r="Q177" s="1" t="s">
        <v>173</v>
      </c>
    </row>
    <row r="178" spans="1:17" hidden="1" x14ac:dyDescent="0.45">
      <c r="A178">
        <v>1213008</v>
      </c>
      <c r="B178" t="s">
        <v>170</v>
      </c>
      <c r="C178" t="s">
        <v>1448</v>
      </c>
      <c r="D178" t="s">
        <v>884</v>
      </c>
      <c r="E178" t="s">
        <v>887</v>
      </c>
      <c r="F178" t="s">
        <v>171</v>
      </c>
      <c r="G178">
        <v>2025</v>
      </c>
      <c r="H178">
        <v>8</v>
      </c>
      <c r="I178">
        <v>16</v>
      </c>
      <c r="J178">
        <v>8020</v>
      </c>
      <c r="K178">
        <v>236</v>
      </c>
      <c r="L178">
        <v>0</v>
      </c>
      <c r="M178">
        <v>133.69999999999999</v>
      </c>
      <c r="N178">
        <v>3.9</v>
      </c>
      <c r="O178">
        <v>8.4</v>
      </c>
      <c r="P178">
        <v>128</v>
      </c>
      <c r="Q178" s="1" t="s">
        <v>174</v>
      </c>
    </row>
    <row r="179" spans="1:17" hidden="1" x14ac:dyDescent="0.45">
      <c r="A179">
        <v>1213015</v>
      </c>
      <c r="B179" t="s">
        <v>175</v>
      </c>
      <c r="C179" t="s">
        <v>1459</v>
      </c>
      <c r="D179" t="s">
        <v>954</v>
      </c>
      <c r="E179" t="s">
        <v>962</v>
      </c>
      <c r="F179" t="s">
        <v>116</v>
      </c>
      <c r="G179">
        <v>2025</v>
      </c>
      <c r="H179">
        <v>6</v>
      </c>
      <c r="I179">
        <v>14</v>
      </c>
      <c r="J179">
        <v>8893</v>
      </c>
      <c r="K179">
        <v>1273</v>
      </c>
      <c r="L179">
        <v>0</v>
      </c>
      <c r="M179">
        <v>148.19999999999999</v>
      </c>
      <c r="N179">
        <v>21.2</v>
      </c>
      <c r="O179">
        <v>10.6</v>
      </c>
      <c r="P179">
        <v>112</v>
      </c>
      <c r="Q179" s="1" t="s">
        <v>176</v>
      </c>
    </row>
    <row r="180" spans="1:17" hidden="1" x14ac:dyDescent="0.45">
      <c r="A180">
        <v>1213015</v>
      </c>
      <c r="B180" t="s">
        <v>175</v>
      </c>
      <c r="C180" t="s">
        <v>1459</v>
      </c>
      <c r="D180" t="s">
        <v>954</v>
      </c>
      <c r="E180" t="s">
        <v>962</v>
      </c>
      <c r="F180" t="s">
        <v>116</v>
      </c>
      <c r="G180">
        <v>2025</v>
      </c>
      <c r="H180">
        <v>7</v>
      </c>
      <c r="I180">
        <v>18</v>
      </c>
      <c r="J180">
        <v>9818</v>
      </c>
      <c r="K180">
        <v>1384</v>
      </c>
      <c r="L180">
        <v>4</v>
      </c>
      <c r="M180">
        <v>163.6</v>
      </c>
      <c r="N180">
        <v>23.1</v>
      </c>
      <c r="O180">
        <v>9.1</v>
      </c>
      <c r="P180">
        <v>112</v>
      </c>
      <c r="Q180" s="1" t="s">
        <v>177</v>
      </c>
    </row>
    <row r="181" spans="1:17" hidden="1" x14ac:dyDescent="0.45">
      <c r="A181">
        <v>1213015</v>
      </c>
      <c r="B181" t="s">
        <v>175</v>
      </c>
      <c r="C181" t="s">
        <v>1459</v>
      </c>
      <c r="D181" t="s">
        <v>954</v>
      </c>
      <c r="E181" t="s">
        <v>962</v>
      </c>
      <c r="F181" t="s">
        <v>116</v>
      </c>
      <c r="G181">
        <v>2025</v>
      </c>
      <c r="H181">
        <v>8</v>
      </c>
      <c r="I181">
        <v>18</v>
      </c>
      <c r="J181">
        <v>12560</v>
      </c>
      <c r="K181">
        <v>741</v>
      </c>
      <c r="L181">
        <v>2</v>
      </c>
      <c r="M181">
        <v>209.3</v>
      </c>
      <c r="N181">
        <v>12.4</v>
      </c>
      <c r="O181">
        <v>11.6</v>
      </c>
      <c r="P181">
        <v>128</v>
      </c>
      <c r="Q181" s="1" t="s">
        <v>178</v>
      </c>
    </row>
    <row r="182" spans="1:17" hidden="1" x14ac:dyDescent="0.45">
      <c r="A182">
        <v>1213016</v>
      </c>
      <c r="B182" t="s">
        <v>179</v>
      </c>
      <c r="C182" t="s">
        <v>1456</v>
      </c>
      <c r="D182" t="s">
        <v>906</v>
      </c>
      <c r="E182" t="s">
        <v>909</v>
      </c>
      <c r="F182" t="s">
        <v>116</v>
      </c>
      <c r="G182">
        <v>2025</v>
      </c>
      <c r="H182">
        <v>6</v>
      </c>
      <c r="I182">
        <v>18</v>
      </c>
      <c r="J182">
        <v>9966</v>
      </c>
      <c r="K182">
        <v>0</v>
      </c>
      <c r="L182">
        <v>0</v>
      </c>
      <c r="M182">
        <v>166.1</v>
      </c>
      <c r="N182">
        <v>0</v>
      </c>
      <c r="O182">
        <v>9.1999999999999993</v>
      </c>
      <c r="P182">
        <v>144</v>
      </c>
      <c r="Q182" s="1" t="s">
        <v>180</v>
      </c>
    </row>
    <row r="183" spans="1:17" hidden="1" x14ac:dyDescent="0.45">
      <c r="A183">
        <v>1213016</v>
      </c>
      <c r="B183" t="s">
        <v>179</v>
      </c>
      <c r="C183" t="s">
        <v>1456</v>
      </c>
      <c r="D183" t="s">
        <v>906</v>
      </c>
      <c r="E183" t="s">
        <v>909</v>
      </c>
      <c r="F183" t="s">
        <v>116</v>
      </c>
      <c r="G183">
        <v>2025</v>
      </c>
      <c r="H183">
        <v>7</v>
      </c>
      <c r="I183">
        <v>17</v>
      </c>
      <c r="J183">
        <v>10493</v>
      </c>
      <c r="K183">
        <v>0</v>
      </c>
      <c r="L183">
        <v>0</v>
      </c>
      <c r="M183">
        <v>174.9</v>
      </c>
      <c r="N183">
        <v>0</v>
      </c>
      <c r="O183">
        <v>10.3</v>
      </c>
      <c r="P183">
        <v>136</v>
      </c>
      <c r="Q183" s="1" t="s">
        <v>181</v>
      </c>
    </row>
    <row r="184" spans="1:17" hidden="1" x14ac:dyDescent="0.45">
      <c r="A184">
        <v>1213016</v>
      </c>
      <c r="B184" t="s">
        <v>179</v>
      </c>
      <c r="C184" t="s">
        <v>1456</v>
      </c>
      <c r="D184" t="s">
        <v>906</v>
      </c>
      <c r="E184" t="s">
        <v>909</v>
      </c>
      <c r="F184" t="s">
        <v>116</v>
      </c>
      <c r="G184">
        <v>2025</v>
      </c>
      <c r="H184">
        <v>8</v>
      </c>
      <c r="I184">
        <v>16</v>
      </c>
      <c r="J184">
        <v>8543</v>
      </c>
      <c r="K184">
        <v>0</v>
      </c>
      <c r="L184">
        <v>0</v>
      </c>
      <c r="M184">
        <v>142.4</v>
      </c>
      <c r="N184">
        <v>0</v>
      </c>
      <c r="O184">
        <v>8.9</v>
      </c>
      <c r="P184">
        <v>128</v>
      </c>
      <c r="Q184" s="1" t="s">
        <v>172</v>
      </c>
    </row>
    <row r="185" spans="1:17" hidden="1" x14ac:dyDescent="0.45">
      <c r="A185">
        <v>1213019</v>
      </c>
      <c r="B185" t="s">
        <v>182</v>
      </c>
      <c r="C185" t="s">
        <v>1463</v>
      </c>
      <c r="D185" t="s">
        <v>954</v>
      </c>
      <c r="E185" t="s">
        <v>956</v>
      </c>
      <c r="F185" t="s">
        <v>116</v>
      </c>
      <c r="G185">
        <v>2025</v>
      </c>
      <c r="H185">
        <v>6</v>
      </c>
      <c r="I185">
        <v>22</v>
      </c>
      <c r="J185">
        <v>12115</v>
      </c>
      <c r="K185">
        <v>250</v>
      </c>
      <c r="L185">
        <v>3</v>
      </c>
      <c r="M185">
        <v>201.9</v>
      </c>
      <c r="N185">
        <v>4.2</v>
      </c>
      <c r="O185">
        <v>9.1999999999999993</v>
      </c>
      <c r="P185">
        <v>152</v>
      </c>
      <c r="Q185" s="1" t="s">
        <v>183</v>
      </c>
    </row>
    <row r="186" spans="1:17" hidden="1" x14ac:dyDescent="0.45">
      <c r="A186">
        <v>1213019</v>
      </c>
      <c r="B186" t="s">
        <v>182</v>
      </c>
      <c r="C186" t="s">
        <v>1463</v>
      </c>
      <c r="D186" t="s">
        <v>954</v>
      </c>
      <c r="E186" t="s">
        <v>956</v>
      </c>
      <c r="F186" t="s">
        <v>116</v>
      </c>
      <c r="G186">
        <v>2025</v>
      </c>
      <c r="H186">
        <v>7</v>
      </c>
      <c r="I186">
        <v>17</v>
      </c>
      <c r="J186">
        <v>9544</v>
      </c>
      <c r="K186">
        <v>0</v>
      </c>
      <c r="L186">
        <v>0</v>
      </c>
      <c r="M186">
        <v>159.1</v>
      </c>
      <c r="N186">
        <v>0</v>
      </c>
      <c r="O186">
        <v>9.4</v>
      </c>
      <c r="P186">
        <v>136</v>
      </c>
      <c r="Q186" s="1" t="s">
        <v>184</v>
      </c>
    </row>
    <row r="187" spans="1:17" hidden="1" x14ac:dyDescent="0.45">
      <c r="A187">
        <v>1213019</v>
      </c>
      <c r="B187" t="s">
        <v>182</v>
      </c>
      <c r="C187" t="s">
        <v>1463</v>
      </c>
      <c r="D187" t="s">
        <v>954</v>
      </c>
      <c r="E187" t="s">
        <v>956</v>
      </c>
      <c r="F187" t="s">
        <v>116</v>
      </c>
      <c r="G187">
        <v>2025</v>
      </c>
      <c r="H187">
        <v>8</v>
      </c>
      <c r="I187">
        <v>15</v>
      </c>
      <c r="J187">
        <v>8119</v>
      </c>
      <c r="K187">
        <v>0</v>
      </c>
      <c r="L187">
        <v>0</v>
      </c>
      <c r="M187">
        <v>135.30000000000001</v>
      </c>
      <c r="N187">
        <v>0</v>
      </c>
      <c r="O187">
        <v>9</v>
      </c>
      <c r="P187">
        <v>120</v>
      </c>
      <c r="Q187" s="1" t="s">
        <v>185</v>
      </c>
    </row>
    <row r="188" spans="1:17" hidden="1" x14ac:dyDescent="0.45">
      <c r="A188">
        <v>1213028</v>
      </c>
      <c r="B188" t="s">
        <v>186</v>
      </c>
      <c r="C188" t="s">
        <v>1466</v>
      </c>
      <c r="D188" t="s">
        <v>718</v>
      </c>
      <c r="E188" t="s">
        <v>739</v>
      </c>
      <c r="F188" t="s">
        <v>116</v>
      </c>
      <c r="G188">
        <v>2025</v>
      </c>
      <c r="H188">
        <v>6</v>
      </c>
      <c r="I188">
        <v>24</v>
      </c>
      <c r="J188">
        <v>31037</v>
      </c>
      <c r="K188">
        <v>272</v>
      </c>
      <c r="L188">
        <v>6</v>
      </c>
      <c r="M188">
        <v>517.29999999999995</v>
      </c>
      <c r="N188">
        <v>4.5</v>
      </c>
      <c r="O188">
        <v>21.6</v>
      </c>
      <c r="P188">
        <v>144</v>
      </c>
      <c r="Q188" s="1" t="s">
        <v>187</v>
      </c>
    </row>
    <row r="189" spans="1:17" hidden="1" x14ac:dyDescent="0.45">
      <c r="A189">
        <v>1213028</v>
      </c>
      <c r="B189" t="s">
        <v>186</v>
      </c>
      <c r="C189" t="s">
        <v>1466</v>
      </c>
      <c r="D189" t="s">
        <v>718</v>
      </c>
      <c r="E189" t="s">
        <v>739</v>
      </c>
      <c r="F189" t="s">
        <v>116</v>
      </c>
      <c r="G189">
        <v>2025</v>
      </c>
      <c r="H189">
        <v>7</v>
      </c>
      <c r="I189">
        <v>2</v>
      </c>
      <c r="J189">
        <v>1740</v>
      </c>
      <c r="K189">
        <v>0</v>
      </c>
      <c r="L189">
        <v>0</v>
      </c>
      <c r="M189">
        <v>29</v>
      </c>
      <c r="N189">
        <v>0</v>
      </c>
      <c r="O189">
        <v>14.5</v>
      </c>
      <c r="P189">
        <v>16</v>
      </c>
      <c r="Q189">
        <v>13</v>
      </c>
    </row>
    <row r="190" spans="1:17" hidden="1" x14ac:dyDescent="0.45">
      <c r="A190">
        <v>1213066</v>
      </c>
      <c r="B190" t="s">
        <v>188</v>
      </c>
      <c r="C190" t="s">
        <v>1467</v>
      </c>
      <c r="D190" t="s">
        <v>999</v>
      </c>
      <c r="E190" t="s">
        <v>1001</v>
      </c>
      <c r="F190" t="s">
        <v>17</v>
      </c>
      <c r="G190">
        <v>2025</v>
      </c>
      <c r="H190">
        <v>6</v>
      </c>
      <c r="I190">
        <v>19</v>
      </c>
      <c r="J190">
        <v>11516</v>
      </c>
      <c r="K190">
        <v>0</v>
      </c>
      <c r="L190">
        <v>0</v>
      </c>
      <c r="M190">
        <v>191.9</v>
      </c>
      <c r="N190">
        <v>0</v>
      </c>
      <c r="O190">
        <v>10.1</v>
      </c>
      <c r="P190">
        <v>152</v>
      </c>
      <c r="Q190" s="1" t="s">
        <v>189</v>
      </c>
    </row>
    <row r="191" spans="1:17" hidden="1" x14ac:dyDescent="0.45">
      <c r="A191">
        <v>1213066</v>
      </c>
      <c r="B191" t="s">
        <v>188</v>
      </c>
      <c r="C191" t="s">
        <v>1467</v>
      </c>
      <c r="D191" t="s">
        <v>999</v>
      </c>
      <c r="E191" t="s">
        <v>1001</v>
      </c>
      <c r="F191" t="s">
        <v>17</v>
      </c>
      <c r="G191">
        <v>2025</v>
      </c>
      <c r="H191">
        <v>7</v>
      </c>
      <c r="I191">
        <v>23</v>
      </c>
      <c r="J191">
        <v>13240</v>
      </c>
      <c r="K191">
        <v>0</v>
      </c>
      <c r="L191">
        <v>0</v>
      </c>
      <c r="M191">
        <v>220.7</v>
      </c>
      <c r="N191">
        <v>0</v>
      </c>
      <c r="O191">
        <v>9.6</v>
      </c>
      <c r="P191">
        <v>184</v>
      </c>
      <c r="Q191" s="1" t="s">
        <v>190</v>
      </c>
    </row>
    <row r="192" spans="1:17" hidden="1" x14ac:dyDescent="0.45">
      <c r="A192">
        <v>1213066</v>
      </c>
      <c r="B192" t="s">
        <v>188</v>
      </c>
      <c r="C192" t="s">
        <v>1467</v>
      </c>
      <c r="D192" t="s">
        <v>999</v>
      </c>
      <c r="E192" t="s">
        <v>1001</v>
      </c>
      <c r="F192" t="s">
        <v>17</v>
      </c>
      <c r="G192">
        <v>2025</v>
      </c>
      <c r="H192">
        <v>8</v>
      </c>
      <c r="I192">
        <v>17</v>
      </c>
      <c r="J192">
        <v>9401</v>
      </c>
      <c r="K192">
        <v>0</v>
      </c>
      <c r="L192">
        <v>0</v>
      </c>
      <c r="M192">
        <v>156.69999999999999</v>
      </c>
      <c r="N192">
        <v>0</v>
      </c>
      <c r="O192">
        <v>9.1999999999999993</v>
      </c>
      <c r="P192">
        <v>136</v>
      </c>
      <c r="Q192" s="1" t="s">
        <v>191</v>
      </c>
    </row>
    <row r="193" spans="1:17" hidden="1" x14ac:dyDescent="0.45">
      <c r="A193">
        <v>1213083</v>
      </c>
      <c r="B193" t="s">
        <v>192</v>
      </c>
      <c r="C193" t="s">
        <v>1468</v>
      </c>
      <c r="D193" t="s">
        <v>1008</v>
      </c>
      <c r="E193" t="s">
        <v>1010</v>
      </c>
      <c r="F193" t="s">
        <v>17</v>
      </c>
      <c r="G193">
        <v>2025</v>
      </c>
      <c r="H193">
        <v>6</v>
      </c>
      <c r="I193">
        <v>19</v>
      </c>
      <c r="J193">
        <v>10961</v>
      </c>
      <c r="K193">
        <v>0</v>
      </c>
      <c r="L193">
        <v>0</v>
      </c>
      <c r="M193">
        <v>182.7</v>
      </c>
      <c r="N193">
        <v>0</v>
      </c>
      <c r="O193">
        <v>9.6</v>
      </c>
      <c r="P193">
        <v>152</v>
      </c>
      <c r="Q193" s="1" t="s">
        <v>193</v>
      </c>
    </row>
    <row r="194" spans="1:17" hidden="1" x14ac:dyDescent="0.45">
      <c r="A194">
        <v>1213083</v>
      </c>
      <c r="B194" t="s">
        <v>192</v>
      </c>
      <c r="C194" t="s">
        <v>1468</v>
      </c>
      <c r="D194" t="s">
        <v>1008</v>
      </c>
      <c r="E194" t="s">
        <v>1010</v>
      </c>
      <c r="F194" t="s">
        <v>17</v>
      </c>
      <c r="G194">
        <v>2025</v>
      </c>
      <c r="H194">
        <v>7</v>
      </c>
      <c r="I194">
        <v>18</v>
      </c>
      <c r="J194">
        <v>10731</v>
      </c>
      <c r="K194">
        <v>0</v>
      </c>
      <c r="L194">
        <v>0</v>
      </c>
      <c r="M194">
        <v>178.8</v>
      </c>
      <c r="N194">
        <v>0</v>
      </c>
      <c r="O194">
        <v>9.9</v>
      </c>
      <c r="P194">
        <v>144</v>
      </c>
      <c r="Q194" s="1" t="s">
        <v>194</v>
      </c>
    </row>
    <row r="195" spans="1:17" hidden="1" x14ac:dyDescent="0.45">
      <c r="A195">
        <v>1213083</v>
      </c>
      <c r="B195" t="s">
        <v>192</v>
      </c>
      <c r="C195" t="s">
        <v>1468</v>
      </c>
      <c r="D195" t="s">
        <v>1008</v>
      </c>
      <c r="E195" t="s">
        <v>1010</v>
      </c>
      <c r="F195" t="s">
        <v>17</v>
      </c>
      <c r="G195">
        <v>2025</v>
      </c>
      <c r="H195">
        <v>8</v>
      </c>
      <c r="I195">
        <v>19</v>
      </c>
      <c r="J195">
        <v>9357</v>
      </c>
      <c r="K195">
        <v>0</v>
      </c>
      <c r="L195">
        <v>2</v>
      </c>
      <c r="M195">
        <v>156</v>
      </c>
      <c r="N195">
        <v>0</v>
      </c>
      <c r="O195">
        <v>8.1999999999999993</v>
      </c>
      <c r="P195">
        <v>136</v>
      </c>
      <c r="Q195">
        <v>20</v>
      </c>
    </row>
    <row r="196" spans="1:17" hidden="1" x14ac:dyDescent="0.45">
      <c r="A196">
        <v>1213101</v>
      </c>
      <c r="B196" t="s">
        <v>195</v>
      </c>
      <c r="C196" t="s">
        <v>1463</v>
      </c>
      <c r="D196" t="s">
        <v>954</v>
      </c>
      <c r="E196" t="s">
        <v>956</v>
      </c>
      <c r="F196" t="s">
        <v>116</v>
      </c>
      <c r="G196">
        <v>2025</v>
      </c>
      <c r="H196">
        <v>6</v>
      </c>
      <c r="I196">
        <v>20</v>
      </c>
      <c r="J196">
        <v>11192</v>
      </c>
      <c r="K196">
        <v>1856</v>
      </c>
      <c r="L196">
        <v>3</v>
      </c>
      <c r="M196">
        <v>186.5</v>
      </c>
      <c r="N196">
        <v>30.9</v>
      </c>
      <c r="O196">
        <v>9.3000000000000007</v>
      </c>
      <c r="P196">
        <v>136</v>
      </c>
      <c r="Q196">
        <v>50.5</v>
      </c>
    </row>
    <row r="197" spans="1:17" hidden="1" x14ac:dyDescent="0.45">
      <c r="A197">
        <v>1213101</v>
      </c>
      <c r="B197" t="s">
        <v>195</v>
      </c>
      <c r="C197" t="s">
        <v>1463</v>
      </c>
      <c r="D197" t="s">
        <v>954</v>
      </c>
      <c r="E197" t="s">
        <v>956</v>
      </c>
      <c r="F197" t="s">
        <v>116</v>
      </c>
      <c r="G197">
        <v>2025</v>
      </c>
      <c r="H197">
        <v>7</v>
      </c>
      <c r="I197">
        <v>16</v>
      </c>
      <c r="J197">
        <v>8836</v>
      </c>
      <c r="K197">
        <v>700</v>
      </c>
      <c r="L197">
        <v>0</v>
      </c>
      <c r="M197">
        <v>147.30000000000001</v>
      </c>
      <c r="N197">
        <v>11.7</v>
      </c>
      <c r="O197">
        <v>9.1999999999999993</v>
      </c>
      <c r="P197">
        <v>128</v>
      </c>
      <c r="Q197" s="1" t="s">
        <v>196</v>
      </c>
    </row>
    <row r="198" spans="1:17" hidden="1" x14ac:dyDescent="0.45">
      <c r="A198">
        <v>1213101</v>
      </c>
      <c r="B198" t="s">
        <v>195</v>
      </c>
      <c r="C198" t="s">
        <v>1463</v>
      </c>
      <c r="D198" t="s">
        <v>954</v>
      </c>
      <c r="E198" t="s">
        <v>956</v>
      </c>
      <c r="F198" t="s">
        <v>116</v>
      </c>
      <c r="G198">
        <v>2025</v>
      </c>
      <c r="H198">
        <v>8</v>
      </c>
      <c r="I198">
        <v>12</v>
      </c>
      <c r="J198">
        <v>6283</v>
      </c>
      <c r="K198">
        <v>0</v>
      </c>
      <c r="L198">
        <v>0</v>
      </c>
      <c r="M198">
        <v>104.7</v>
      </c>
      <c r="N198">
        <v>0</v>
      </c>
      <c r="O198">
        <v>8.6999999999999993</v>
      </c>
      <c r="P198">
        <v>96</v>
      </c>
      <c r="Q198" s="1" t="s">
        <v>197</v>
      </c>
    </row>
    <row r="199" spans="1:17" hidden="1" x14ac:dyDescent="0.45">
      <c r="A199">
        <v>1213150</v>
      </c>
      <c r="B199" t="s">
        <v>198</v>
      </c>
      <c r="C199" t="s">
        <v>1469</v>
      </c>
      <c r="D199" t="s">
        <v>815</v>
      </c>
      <c r="E199" t="s">
        <v>823</v>
      </c>
      <c r="F199" t="s">
        <v>116</v>
      </c>
      <c r="G199">
        <v>2025</v>
      </c>
      <c r="H199">
        <v>8</v>
      </c>
      <c r="I199">
        <v>1</v>
      </c>
      <c r="J199">
        <v>16</v>
      </c>
      <c r="K199">
        <v>0</v>
      </c>
      <c r="L199">
        <v>0</v>
      </c>
      <c r="M199">
        <v>0.3</v>
      </c>
      <c r="N199">
        <v>0</v>
      </c>
      <c r="O199">
        <v>0.3</v>
      </c>
      <c r="P199">
        <v>8</v>
      </c>
      <c r="Q199">
        <v>-7.7</v>
      </c>
    </row>
    <row r="200" spans="1:17" hidden="1" x14ac:dyDescent="0.45">
      <c r="A200">
        <v>1213151</v>
      </c>
      <c r="B200" t="s">
        <v>199</v>
      </c>
      <c r="C200" t="s">
        <v>1466</v>
      </c>
      <c r="D200" t="s">
        <v>718</v>
      </c>
      <c r="E200" t="s">
        <v>739</v>
      </c>
      <c r="F200" t="s">
        <v>116</v>
      </c>
      <c r="G200">
        <v>2025</v>
      </c>
      <c r="H200">
        <v>6</v>
      </c>
      <c r="I200">
        <v>2</v>
      </c>
      <c r="J200">
        <v>481</v>
      </c>
      <c r="K200">
        <v>0</v>
      </c>
      <c r="L200">
        <v>0</v>
      </c>
      <c r="M200">
        <v>8</v>
      </c>
      <c r="N200">
        <v>0</v>
      </c>
      <c r="O200">
        <v>4</v>
      </c>
      <c r="P200">
        <v>16</v>
      </c>
      <c r="Q200">
        <v>-8</v>
      </c>
    </row>
    <row r="201" spans="1:17" hidden="1" x14ac:dyDescent="0.45">
      <c r="A201">
        <v>1213151</v>
      </c>
      <c r="B201" t="s">
        <v>199</v>
      </c>
      <c r="C201" t="s">
        <v>1466</v>
      </c>
      <c r="D201" t="s">
        <v>718</v>
      </c>
      <c r="E201" t="s">
        <v>739</v>
      </c>
      <c r="F201" t="s">
        <v>116</v>
      </c>
      <c r="G201">
        <v>2025</v>
      </c>
      <c r="H201">
        <v>7</v>
      </c>
      <c r="I201">
        <v>6</v>
      </c>
      <c r="J201">
        <v>1921</v>
      </c>
      <c r="K201">
        <v>0</v>
      </c>
      <c r="L201">
        <v>0</v>
      </c>
      <c r="M201">
        <v>32</v>
      </c>
      <c r="N201">
        <v>0</v>
      </c>
      <c r="O201">
        <v>5.3</v>
      </c>
      <c r="P201">
        <v>48</v>
      </c>
      <c r="Q201">
        <v>-16</v>
      </c>
    </row>
    <row r="202" spans="1:17" hidden="1" x14ac:dyDescent="0.45">
      <c r="A202">
        <v>1213151</v>
      </c>
      <c r="B202" t="s">
        <v>199</v>
      </c>
      <c r="C202" t="s">
        <v>1466</v>
      </c>
      <c r="D202" t="s">
        <v>718</v>
      </c>
      <c r="E202" t="s">
        <v>739</v>
      </c>
      <c r="F202" t="s">
        <v>116</v>
      </c>
      <c r="G202">
        <v>2025</v>
      </c>
      <c r="H202">
        <v>8</v>
      </c>
      <c r="I202">
        <v>3</v>
      </c>
      <c r="J202">
        <v>716</v>
      </c>
      <c r="K202">
        <v>0</v>
      </c>
      <c r="L202">
        <v>0</v>
      </c>
      <c r="M202">
        <v>11.9</v>
      </c>
      <c r="N202">
        <v>0</v>
      </c>
      <c r="O202">
        <v>4</v>
      </c>
      <c r="P202">
        <v>24</v>
      </c>
      <c r="Q202">
        <v>-12.1</v>
      </c>
    </row>
    <row r="203" spans="1:17" hidden="1" x14ac:dyDescent="0.45">
      <c r="A203">
        <v>1213173</v>
      </c>
      <c r="B203" t="s">
        <v>200</v>
      </c>
      <c r="C203" t="s">
        <v>1450</v>
      </c>
      <c r="D203" t="s">
        <v>718</v>
      </c>
      <c r="E203" t="s">
        <v>741</v>
      </c>
      <c r="F203" t="s">
        <v>116</v>
      </c>
      <c r="G203">
        <v>2025</v>
      </c>
      <c r="H203">
        <v>6</v>
      </c>
      <c r="I203">
        <v>16</v>
      </c>
      <c r="J203">
        <v>8598</v>
      </c>
      <c r="K203">
        <v>0</v>
      </c>
      <c r="L203">
        <v>0</v>
      </c>
      <c r="M203">
        <v>143.30000000000001</v>
      </c>
      <c r="N203">
        <v>0</v>
      </c>
      <c r="O203">
        <v>9</v>
      </c>
      <c r="P203">
        <v>128</v>
      </c>
      <c r="Q203" s="1" t="s">
        <v>185</v>
      </c>
    </row>
    <row r="204" spans="1:17" hidden="1" x14ac:dyDescent="0.45">
      <c r="A204">
        <v>1213173</v>
      </c>
      <c r="B204" t="s">
        <v>200</v>
      </c>
      <c r="C204" t="s">
        <v>1450</v>
      </c>
      <c r="D204" t="s">
        <v>718</v>
      </c>
      <c r="E204" t="s">
        <v>741</v>
      </c>
      <c r="F204" t="s">
        <v>116</v>
      </c>
      <c r="G204">
        <v>2025</v>
      </c>
      <c r="H204">
        <v>7</v>
      </c>
      <c r="I204">
        <v>17</v>
      </c>
      <c r="J204">
        <v>8270</v>
      </c>
      <c r="K204">
        <v>0</v>
      </c>
      <c r="L204">
        <v>0</v>
      </c>
      <c r="M204">
        <v>137.80000000000001</v>
      </c>
      <c r="N204">
        <v>0</v>
      </c>
      <c r="O204">
        <v>8.1</v>
      </c>
      <c r="P204">
        <v>136</v>
      </c>
      <c r="Q204" s="1" t="s">
        <v>201</v>
      </c>
    </row>
    <row r="205" spans="1:17" hidden="1" x14ac:dyDescent="0.45">
      <c r="A205">
        <v>1213173</v>
      </c>
      <c r="B205" t="s">
        <v>200</v>
      </c>
      <c r="C205" t="s">
        <v>1450</v>
      </c>
      <c r="D205" t="s">
        <v>718</v>
      </c>
      <c r="E205" t="s">
        <v>741</v>
      </c>
      <c r="F205" t="s">
        <v>116</v>
      </c>
      <c r="G205">
        <v>2025</v>
      </c>
      <c r="H205">
        <v>8</v>
      </c>
      <c r="I205">
        <v>15</v>
      </c>
      <c r="J205">
        <v>6756</v>
      </c>
      <c r="K205">
        <v>0</v>
      </c>
      <c r="L205">
        <v>0</v>
      </c>
      <c r="M205">
        <v>112.6</v>
      </c>
      <c r="N205">
        <v>0</v>
      </c>
      <c r="O205">
        <v>7.5</v>
      </c>
      <c r="P205">
        <v>120</v>
      </c>
      <c r="Q205">
        <v>-7.4</v>
      </c>
    </row>
    <row r="206" spans="1:17" hidden="1" x14ac:dyDescent="0.45">
      <c r="A206">
        <v>1214002</v>
      </c>
      <c r="B206" t="s">
        <v>202</v>
      </c>
      <c r="C206" t="s">
        <v>1453</v>
      </c>
      <c r="D206" t="s">
        <v>815</v>
      </c>
      <c r="E206" t="s">
        <v>827</v>
      </c>
      <c r="F206" t="s">
        <v>116</v>
      </c>
      <c r="G206">
        <v>2025</v>
      </c>
      <c r="H206">
        <v>6</v>
      </c>
      <c r="I206">
        <v>18</v>
      </c>
      <c r="J206">
        <v>10828</v>
      </c>
      <c r="K206">
        <v>604</v>
      </c>
      <c r="L206">
        <v>0</v>
      </c>
      <c r="M206">
        <v>180.5</v>
      </c>
      <c r="N206">
        <v>10.1</v>
      </c>
      <c r="O206">
        <v>10</v>
      </c>
      <c r="P206">
        <v>144</v>
      </c>
      <c r="Q206">
        <v>36.5</v>
      </c>
    </row>
    <row r="207" spans="1:17" hidden="1" x14ac:dyDescent="0.45">
      <c r="A207">
        <v>1214002</v>
      </c>
      <c r="B207" t="s">
        <v>202</v>
      </c>
      <c r="C207" t="s">
        <v>1453</v>
      </c>
      <c r="D207" t="s">
        <v>815</v>
      </c>
      <c r="E207" t="s">
        <v>827</v>
      </c>
      <c r="F207" t="s">
        <v>116</v>
      </c>
      <c r="G207">
        <v>2025</v>
      </c>
      <c r="H207">
        <v>7</v>
      </c>
      <c r="I207">
        <v>16</v>
      </c>
      <c r="J207">
        <v>9783</v>
      </c>
      <c r="K207">
        <v>563</v>
      </c>
      <c r="L207">
        <v>0</v>
      </c>
      <c r="M207">
        <v>163</v>
      </c>
      <c r="N207">
        <v>9.4</v>
      </c>
      <c r="O207">
        <v>10.199999999999999</v>
      </c>
      <c r="P207">
        <v>128</v>
      </c>
      <c r="Q207">
        <v>35</v>
      </c>
    </row>
    <row r="208" spans="1:17" hidden="1" x14ac:dyDescent="0.45">
      <c r="A208">
        <v>1214002</v>
      </c>
      <c r="B208" t="s">
        <v>202</v>
      </c>
      <c r="C208" t="s">
        <v>1453</v>
      </c>
      <c r="D208" t="s">
        <v>815</v>
      </c>
      <c r="E208" t="s">
        <v>827</v>
      </c>
      <c r="F208" t="s">
        <v>116</v>
      </c>
      <c r="G208">
        <v>2025</v>
      </c>
      <c r="H208">
        <v>8</v>
      </c>
      <c r="I208">
        <v>15</v>
      </c>
      <c r="J208">
        <v>8633</v>
      </c>
      <c r="K208">
        <v>409</v>
      </c>
      <c r="L208">
        <v>0</v>
      </c>
      <c r="M208">
        <v>143.9</v>
      </c>
      <c r="N208">
        <v>6.8</v>
      </c>
      <c r="O208">
        <v>9.6</v>
      </c>
      <c r="P208">
        <v>120</v>
      </c>
      <c r="Q208" s="1" t="s">
        <v>203</v>
      </c>
    </row>
    <row r="209" spans="1:17" hidden="1" x14ac:dyDescent="0.45">
      <c r="A209">
        <v>1214054</v>
      </c>
      <c r="B209" t="s">
        <v>204</v>
      </c>
      <c r="C209" t="s">
        <v>1444</v>
      </c>
      <c r="D209" t="e">
        <v>#N/A</v>
      </c>
      <c r="E209" t="e">
        <v>#N/A</v>
      </c>
      <c r="F209" t="s">
        <v>75</v>
      </c>
      <c r="G209">
        <v>2025</v>
      </c>
      <c r="H209">
        <v>6</v>
      </c>
      <c r="I209">
        <v>19</v>
      </c>
      <c r="J209">
        <v>10252</v>
      </c>
      <c r="K209">
        <v>0</v>
      </c>
      <c r="L209">
        <v>0</v>
      </c>
      <c r="M209">
        <v>170.9</v>
      </c>
      <c r="N209">
        <v>0</v>
      </c>
      <c r="O209">
        <v>9</v>
      </c>
      <c r="P209">
        <v>152</v>
      </c>
      <c r="Q209" s="1" t="s">
        <v>205</v>
      </c>
    </row>
    <row r="210" spans="1:17" hidden="1" x14ac:dyDescent="0.45">
      <c r="A210">
        <v>1214054</v>
      </c>
      <c r="B210" t="s">
        <v>204</v>
      </c>
      <c r="C210" t="s">
        <v>1444</v>
      </c>
      <c r="D210" t="e">
        <v>#N/A</v>
      </c>
      <c r="E210" t="e">
        <v>#N/A</v>
      </c>
      <c r="F210" t="s">
        <v>75</v>
      </c>
      <c r="G210">
        <v>2025</v>
      </c>
      <c r="H210">
        <v>7</v>
      </c>
      <c r="I210">
        <v>19</v>
      </c>
      <c r="J210">
        <v>6457</v>
      </c>
      <c r="K210">
        <v>0</v>
      </c>
      <c r="L210">
        <v>0</v>
      </c>
      <c r="M210">
        <v>107.6</v>
      </c>
      <c r="N210">
        <v>0</v>
      </c>
      <c r="O210">
        <v>5.7</v>
      </c>
      <c r="P210">
        <v>152</v>
      </c>
      <c r="Q210">
        <v>-44.4</v>
      </c>
    </row>
    <row r="211" spans="1:17" hidden="1" x14ac:dyDescent="0.45">
      <c r="A211">
        <v>1214054</v>
      </c>
      <c r="B211" t="s">
        <v>204</v>
      </c>
      <c r="C211" t="s">
        <v>1444</v>
      </c>
      <c r="D211" t="e">
        <v>#N/A</v>
      </c>
      <c r="E211" t="e">
        <v>#N/A</v>
      </c>
      <c r="F211" t="s">
        <v>75</v>
      </c>
      <c r="G211">
        <v>2025</v>
      </c>
      <c r="H211">
        <v>8</v>
      </c>
      <c r="I211">
        <v>15</v>
      </c>
      <c r="J211">
        <v>3709</v>
      </c>
      <c r="K211">
        <v>0</v>
      </c>
      <c r="L211">
        <v>0</v>
      </c>
      <c r="M211">
        <v>61.8</v>
      </c>
      <c r="N211">
        <v>0</v>
      </c>
      <c r="O211">
        <v>4.0999999999999996</v>
      </c>
      <c r="P211">
        <v>120</v>
      </c>
      <c r="Q211">
        <v>-58.2</v>
      </c>
    </row>
    <row r="212" spans="1:17" hidden="1" x14ac:dyDescent="0.45">
      <c r="A212">
        <v>1214099</v>
      </c>
      <c r="B212" t="s">
        <v>206</v>
      </c>
      <c r="C212" t="s">
        <v>1455</v>
      </c>
      <c r="D212" t="s">
        <v>921</v>
      </c>
      <c r="E212" t="s">
        <v>922</v>
      </c>
      <c r="F212" t="s">
        <v>17</v>
      </c>
      <c r="G212">
        <v>2025</v>
      </c>
      <c r="H212">
        <v>6</v>
      </c>
      <c r="I212">
        <v>19</v>
      </c>
      <c r="J212">
        <v>11678</v>
      </c>
      <c r="K212">
        <v>973</v>
      </c>
      <c r="L212">
        <v>0</v>
      </c>
      <c r="M212">
        <v>194.6</v>
      </c>
      <c r="N212">
        <v>16.2</v>
      </c>
      <c r="O212">
        <v>10.199999999999999</v>
      </c>
      <c r="P212">
        <v>152</v>
      </c>
      <c r="Q212" s="1" t="s">
        <v>207</v>
      </c>
    </row>
    <row r="213" spans="1:17" hidden="1" x14ac:dyDescent="0.45">
      <c r="A213">
        <v>1214099</v>
      </c>
      <c r="B213" t="s">
        <v>206</v>
      </c>
      <c r="C213" t="s">
        <v>1455</v>
      </c>
      <c r="D213" t="s">
        <v>921</v>
      </c>
      <c r="E213" t="s">
        <v>922</v>
      </c>
      <c r="F213" t="s">
        <v>17</v>
      </c>
      <c r="G213">
        <v>2025</v>
      </c>
      <c r="H213">
        <v>7</v>
      </c>
      <c r="I213">
        <v>20</v>
      </c>
      <c r="J213">
        <v>11421</v>
      </c>
      <c r="K213">
        <v>636</v>
      </c>
      <c r="L213">
        <v>1</v>
      </c>
      <c r="M213">
        <v>190.4</v>
      </c>
      <c r="N213">
        <v>10.6</v>
      </c>
      <c r="O213">
        <v>9.5</v>
      </c>
      <c r="P213">
        <v>152</v>
      </c>
      <c r="Q213" s="1" t="s">
        <v>70</v>
      </c>
    </row>
    <row r="214" spans="1:17" hidden="1" x14ac:dyDescent="0.45">
      <c r="A214">
        <v>1214099</v>
      </c>
      <c r="B214" t="s">
        <v>206</v>
      </c>
      <c r="C214" t="s">
        <v>1455</v>
      </c>
      <c r="D214" t="s">
        <v>921</v>
      </c>
      <c r="E214" t="s">
        <v>922</v>
      </c>
      <c r="F214" t="s">
        <v>17</v>
      </c>
      <c r="G214">
        <v>2025</v>
      </c>
      <c r="H214">
        <v>8</v>
      </c>
      <c r="I214">
        <v>16</v>
      </c>
      <c r="J214">
        <v>9396</v>
      </c>
      <c r="K214">
        <v>728</v>
      </c>
      <c r="L214">
        <v>0</v>
      </c>
      <c r="M214">
        <v>156.6</v>
      </c>
      <c r="N214">
        <v>12.1</v>
      </c>
      <c r="O214">
        <v>9.8000000000000007</v>
      </c>
      <c r="P214">
        <v>128</v>
      </c>
      <c r="Q214" s="1" t="s">
        <v>63</v>
      </c>
    </row>
    <row r="215" spans="1:17" hidden="1" x14ac:dyDescent="0.45">
      <c r="A215">
        <v>1214104</v>
      </c>
      <c r="B215" t="s">
        <v>208</v>
      </c>
      <c r="C215" t="s">
        <v>1457</v>
      </c>
      <c r="D215" t="s">
        <v>929</v>
      </c>
      <c r="E215" t="s">
        <v>931</v>
      </c>
      <c r="F215" t="s">
        <v>116</v>
      </c>
      <c r="G215">
        <v>2025</v>
      </c>
      <c r="H215">
        <v>6</v>
      </c>
      <c r="I215">
        <v>16</v>
      </c>
      <c r="J215">
        <v>9018</v>
      </c>
      <c r="K215">
        <v>275</v>
      </c>
      <c r="L215">
        <v>0</v>
      </c>
      <c r="M215">
        <v>150.30000000000001</v>
      </c>
      <c r="N215">
        <v>4.5999999999999996</v>
      </c>
      <c r="O215">
        <v>9.4</v>
      </c>
      <c r="P215">
        <v>128</v>
      </c>
      <c r="Q215" s="1" t="s">
        <v>142</v>
      </c>
    </row>
    <row r="216" spans="1:17" hidden="1" x14ac:dyDescent="0.45">
      <c r="A216">
        <v>1214104</v>
      </c>
      <c r="B216" t="s">
        <v>208</v>
      </c>
      <c r="C216" t="s">
        <v>1457</v>
      </c>
      <c r="D216" t="s">
        <v>929</v>
      </c>
      <c r="E216" t="s">
        <v>931</v>
      </c>
      <c r="F216" t="s">
        <v>116</v>
      </c>
      <c r="G216">
        <v>2025</v>
      </c>
      <c r="H216">
        <v>7</v>
      </c>
      <c r="I216">
        <v>18</v>
      </c>
      <c r="J216">
        <v>10567</v>
      </c>
      <c r="K216">
        <v>458</v>
      </c>
      <c r="L216">
        <v>0</v>
      </c>
      <c r="M216">
        <v>176.1</v>
      </c>
      <c r="N216">
        <v>7.6</v>
      </c>
      <c r="O216">
        <v>9.8000000000000007</v>
      </c>
      <c r="P216">
        <v>144</v>
      </c>
      <c r="Q216" s="1" t="s">
        <v>34</v>
      </c>
    </row>
    <row r="217" spans="1:17" hidden="1" x14ac:dyDescent="0.45">
      <c r="A217">
        <v>1214104</v>
      </c>
      <c r="B217" t="s">
        <v>208</v>
      </c>
      <c r="C217" t="s">
        <v>1457</v>
      </c>
      <c r="D217" t="s">
        <v>929</v>
      </c>
      <c r="E217" t="s">
        <v>931</v>
      </c>
      <c r="F217" t="s">
        <v>116</v>
      </c>
      <c r="G217">
        <v>2025</v>
      </c>
      <c r="H217">
        <v>8</v>
      </c>
      <c r="I217">
        <v>15</v>
      </c>
      <c r="J217">
        <v>8373</v>
      </c>
      <c r="K217">
        <v>354</v>
      </c>
      <c r="L217">
        <v>0</v>
      </c>
      <c r="M217">
        <v>139.6</v>
      </c>
      <c r="N217">
        <v>5.9</v>
      </c>
      <c r="O217">
        <v>9.3000000000000007</v>
      </c>
      <c r="P217">
        <v>120</v>
      </c>
      <c r="Q217" s="1" t="s">
        <v>21</v>
      </c>
    </row>
    <row r="218" spans="1:17" hidden="1" x14ac:dyDescent="0.45">
      <c r="A218">
        <v>1214105</v>
      </c>
      <c r="B218" t="s">
        <v>209</v>
      </c>
      <c r="C218" t="s">
        <v>1453</v>
      </c>
      <c r="D218" t="s">
        <v>815</v>
      </c>
      <c r="E218" t="s">
        <v>827</v>
      </c>
      <c r="F218" t="s">
        <v>116</v>
      </c>
      <c r="G218">
        <v>2025</v>
      </c>
      <c r="H218">
        <v>6</v>
      </c>
      <c r="I218">
        <v>18</v>
      </c>
      <c r="J218">
        <v>9874</v>
      </c>
      <c r="K218">
        <v>179</v>
      </c>
      <c r="L218">
        <v>0</v>
      </c>
      <c r="M218">
        <v>164.6</v>
      </c>
      <c r="N218">
        <v>3</v>
      </c>
      <c r="O218">
        <v>9.1</v>
      </c>
      <c r="P218">
        <v>144</v>
      </c>
      <c r="Q218" s="1" t="s">
        <v>150</v>
      </c>
    </row>
    <row r="219" spans="1:17" hidden="1" x14ac:dyDescent="0.45">
      <c r="A219">
        <v>1214105</v>
      </c>
      <c r="B219" t="s">
        <v>209</v>
      </c>
      <c r="C219" t="s">
        <v>1453</v>
      </c>
      <c r="D219" t="s">
        <v>815</v>
      </c>
      <c r="E219" t="s">
        <v>827</v>
      </c>
      <c r="F219" t="s">
        <v>116</v>
      </c>
      <c r="G219">
        <v>2025</v>
      </c>
      <c r="H219">
        <v>7</v>
      </c>
      <c r="I219">
        <v>17</v>
      </c>
      <c r="J219">
        <v>9554</v>
      </c>
      <c r="K219">
        <v>506</v>
      </c>
      <c r="L219">
        <v>0</v>
      </c>
      <c r="M219">
        <v>159.19999999999999</v>
      </c>
      <c r="N219">
        <v>8.4</v>
      </c>
      <c r="O219">
        <v>9.4</v>
      </c>
      <c r="P219">
        <v>136</v>
      </c>
      <c r="Q219" s="1" t="s">
        <v>113</v>
      </c>
    </row>
    <row r="220" spans="1:17" hidden="1" x14ac:dyDescent="0.45">
      <c r="A220">
        <v>1214105</v>
      </c>
      <c r="B220" t="s">
        <v>209</v>
      </c>
      <c r="C220" t="s">
        <v>1453</v>
      </c>
      <c r="D220" t="s">
        <v>815</v>
      </c>
      <c r="E220" t="s">
        <v>827</v>
      </c>
      <c r="F220" t="s">
        <v>116</v>
      </c>
      <c r="G220">
        <v>2025</v>
      </c>
      <c r="H220">
        <v>8</v>
      </c>
      <c r="I220">
        <v>14</v>
      </c>
      <c r="J220">
        <v>8078</v>
      </c>
      <c r="K220">
        <v>672</v>
      </c>
      <c r="L220">
        <v>0</v>
      </c>
      <c r="M220">
        <v>134.6</v>
      </c>
      <c r="N220">
        <v>11.2</v>
      </c>
      <c r="O220">
        <v>9.6</v>
      </c>
      <c r="P220">
        <v>112</v>
      </c>
      <c r="Q220" s="1" t="s">
        <v>67</v>
      </c>
    </row>
    <row r="221" spans="1:17" hidden="1" x14ac:dyDescent="0.45">
      <c r="A221">
        <v>1214138</v>
      </c>
      <c r="B221" t="s">
        <v>210</v>
      </c>
      <c r="C221" t="s">
        <v>1464</v>
      </c>
      <c r="D221" t="s">
        <v>815</v>
      </c>
      <c r="E221" t="s">
        <v>835</v>
      </c>
      <c r="F221" t="s">
        <v>116</v>
      </c>
      <c r="G221">
        <v>2025</v>
      </c>
      <c r="H221">
        <v>6</v>
      </c>
      <c r="I221">
        <v>8</v>
      </c>
      <c r="J221">
        <v>2810</v>
      </c>
      <c r="K221">
        <v>0</v>
      </c>
      <c r="L221">
        <v>0</v>
      </c>
      <c r="M221">
        <v>46.8</v>
      </c>
      <c r="N221">
        <v>0</v>
      </c>
      <c r="O221">
        <v>5.8</v>
      </c>
      <c r="P221">
        <v>64</v>
      </c>
      <c r="Q221">
        <v>-17.2</v>
      </c>
    </row>
    <row r="222" spans="1:17" hidden="1" x14ac:dyDescent="0.45">
      <c r="A222">
        <v>1214138</v>
      </c>
      <c r="B222" t="s">
        <v>210</v>
      </c>
      <c r="C222" t="s">
        <v>1464</v>
      </c>
      <c r="D222" t="s">
        <v>815</v>
      </c>
      <c r="E222" t="s">
        <v>835</v>
      </c>
      <c r="F222" t="s">
        <v>116</v>
      </c>
      <c r="G222">
        <v>2025</v>
      </c>
      <c r="H222">
        <v>7</v>
      </c>
      <c r="I222">
        <v>11</v>
      </c>
      <c r="J222">
        <v>4510</v>
      </c>
      <c r="K222">
        <v>0</v>
      </c>
      <c r="L222">
        <v>0</v>
      </c>
      <c r="M222">
        <v>75.2</v>
      </c>
      <c r="N222">
        <v>0</v>
      </c>
      <c r="O222">
        <v>6.8</v>
      </c>
      <c r="P222">
        <v>88</v>
      </c>
      <c r="Q222">
        <v>-12.8</v>
      </c>
    </row>
    <row r="223" spans="1:17" hidden="1" x14ac:dyDescent="0.45">
      <c r="A223">
        <v>1214138</v>
      </c>
      <c r="B223" t="s">
        <v>210</v>
      </c>
      <c r="C223" t="s">
        <v>1464</v>
      </c>
      <c r="D223" t="s">
        <v>815</v>
      </c>
      <c r="E223" t="s">
        <v>835</v>
      </c>
      <c r="F223" t="s">
        <v>116</v>
      </c>
      <c r="G223">
        <v>2025</v>
      </c>
      <c r="H223">
        <v>8</v>
      </c>
      <c r="I223">
        <v>6</v>
      </c>
      <c r="J223">
        <v>1741</v>
      </c>
      <c r="K223">
        <v>0</v>
      </c>
      <c r="L223">
        <v>0</v>
      </c>
      <c r="M223">
        <v>29</v>
      </c>
      <c r="N223">
        <v>0</v>
      </c>
      <c r="O223">
        <v>4.8</v>
      </c>
      <c r="P223">
        <v>48</v>
      </c>
      <c r="Q223">
        <v>-19</v>
      </c>
    </row>
    <row r="224" spans="1:17" hidden="1" x14ac:dyDescent="0.45">
      <c r="A224">
        <v>1214159</v>
      </c>
      <c r="B224" t="s">
        <v>211</v>
      </c>
      <c r="C224" t="s">
        <v>1470</v>
      </c>
      <c r="D224" t="s">
        <v>815</v>
      </c>
      <c r="E224" t="s">
        <v>821</v>
      </c>
      <c r="F224" t="s">
        <v>116</v>
      </c>
      <c r="G224">
        <v>2025</v>
      </c>
      <c r="H224">
        <v>6</v>
      </c>
      <c r="I224">
        <v>19</v>
      </c>
      <c r="J224">
        <v>9837</v>
      </c>
      <c r="K224">
        <v>178</v>
      </c>
      <c r="L224">
        <v>1</v>
      </c>
      <c r="M224">
        <v>164</v>
      </c>
      <c r="N224">
        <v>3</v>
      </c>
      <c r="O224">
        <v>8.6</v>
      </c>
      <c r="P224">
        <v>144</v>
      </c>
      <c r="Q224">
        <v>20</v>
      </c>
    </row>
    <row r="225" spans="1:17" hidden="1" x14ac:dyDescent="0.45">
      <c r="A225">
        <v>1214159</v>
      </c>
      <c r="B225" t="s">
        <v>211</v>
      </c>
      <c r="C225" t="s">
        <v>1470</v>
      </c>
      <c r="D225" t="s">
        <v>815</v>
      </c>
      <c r="E225" t="s">
        <v>821</v>
      </c>
      <c r="F225" t="s">
        <v>116</v>
      </c>
      <c r="G225">
        <v>2025</v>
      </c>
      <c r="H225">
        <v>7</v>
      </c>
      <c r="I225">
        <v>20</v>
      </c>
      <c r="J225">
        <v>11249</v>
      </c>
      <c r="K225">
        <v>167</v>
      </c>
      <c r="L225">
        <v>0</v>
      </c>
      <c r="M225">
        <v>187.5</v>
      </c>
      <c r="N225">
        <v>2.8</v>
      </c>
      <c r="O225">
        <v>9.4</v>
      </c>
      <c r="P225">
        <v>160</v>
      </c>
      <c r="Q225">
        <v>27.5</v>
      </c>
    </row>
    <row r="226" spans="1:17" hidden="1" x14ac:dyDescent="0.45">
      <c r="A226">
        <v>1214159</v>
      </c>
      <c r="B226" t="s">
        <v>211</v>
      </c>
      <c r="C226" t="s">
        <v>1470</v>
      </c>
      <c r="D226" t="s">
        <v>815</v>
      </c>
      <c r="E226" t="s">
        <v>821</v>
      </c>
      <c r="F226" t="s">
        <v>116</v>
      </c>
      <c r="G226">
        <v>2025</v>
      </c>
      <c r="H226">
        <v>8</v>
      </c>
      <c r="I226">
        <v>16</v>
      </c>
      <c r="J226">
        <v>8167</v>
      </c>
      <c r="K226">
        <v>0</v>
      </c>
      <c r="L226">
        <v>0</v>
      </c>
      <c r="M226">
        <v>136.1</v>
      </c>
      <c r="N226">
        <v>0</v>
      </c>
      <c r="O226">
        <v>8.5</v>
      </c>
      <c r="P226">
        <v>128</v>
      </c>
      <c r="Q226" s="1" t="s">
        <v>212</v>
      </c>
    </row>
    <row r="227" spans="1:17" hidden="1" x14ac:dyDescent="0.45">
      <c r="A227">
        <v>1214162</v>
      </c>
      <c r="B227" t="s">
        <v>213</v>
      </c>
      <c r="C227" t="s">
        <v>1461</v>
      </c>
      <c r="D227" t="s">
        <v>938</v>
      </c>
      <c r="E227" t="s">
        <v>940</v>
      </c>
      <c r="F227" t="s">
        <v>116</v>
      </c>
      <c r="G227">
        <v>2025</v>
      </c>
      <c r="H227">
        <v>6</v>
      </c>
      <c r="I227">
        <v>18</v>
      </c>
      <c r="J227">
        <v>10230</v>
      </c>
      <c r="K227">
        <v>902</v>
      </c>
      <c r="L227">
        <v>0</v>
      </c>
      <c r="M227">
        <v>170.5</v>
      </c>
      <c r="N227">
        <v>15</v>
      </c>
      <c r="O227">
        <v>9.5</v>
      </c>
      <c r="P227">
        <v>144</v>
      </c>
      <c r="Q227">
        <v>26.5</v>
      </c>
    </row>
    <row r="228" spans="1:17" hidden="1" x14ac:dyDescent="0.45">
      <c r="A228">
        <v>1214162</v>
      </c>
      <c r="B228" t="s">
        <v>213</v>
      </c>
      <c r="C228" t="s">
        <v>1461</v>
      </c>
      <c r="D228" t="s">
        <v>938</v>
      </c>
      <c r="E228" t="s">
        <v>940</v>
      </c>
      <c r="F228" t="s">
        <v>116</v>
      </c>
      <c r="G228">
        <v>2025</v>
      </c>
      <c r="H228">
        <v>7</v>
      </c>
      <c r="I228">
        <v>19</v>
      </c>
      <c r="J228">
        <v>11513</v>
      </c>
      <c r="K228">
        <v>1346</v>
      </c>
      <c r="L228">
        <v>0</v>
      </c>
      <c r="M228">
        <v>191.9</v>
      </c>
      <c r="N228">
        <v>22.4</v>
      </c>
      <c r="O228">
        <v>10.1</v>
      </c>
      <c r="P228">
        <v>152</v>
      </c>
      <c r="Q228" s="1" t="s">
        <v>189</v>
      </c>
    </row>
    <row r="229" spans="1:17" hidden="1" x14ac:dyDescent="0.45">
      <c r="A229">
        <v>1214162</v>
      </c>
      <c r="B229" t="s">
        <v>213</v>
      </c>
      <c r="C229" t="s">
        <v>1461</v>
      </c>
      <c r="D229" t="s">
        <v>938</v>
      </c>
      <c r="E229" t="s">
        <v>940</v>
      </c>
      <c r="F229" t="s">
        <v>116</v>
      </c>
      <c r="G229">
        <v>2025</v>
      </c>
      <c r="H229">
        <v>8</v>
      </c>
      <c r="I229">
        <v>15</v>
      </c>
      <c r="J229">
        <v>7982</v>
      </c>
      <c r="K229">
        <v>486</v>
      </c>
      <c r="L229">
        <v>0</v>
      </c>
      <c r="M229">
        <v>133</v>
      </c>
      <c r="N229">
        <v>8.1</v>
      </c>
      <c r="O229">
        <v>8.9</v>
      </c>
      <c r="P229">
        <v>120</v>
      </c>
      <c r="Q229">
        <v>13</v>
      </c>
    </row>
    <row r="230" spans="1:17" hidden="1" x14ac:dyDescent="0.45">
      <c r="A230">
        <v>1214163</v>
      </c>
      <c r="B230" t="s">
        <v>214</v>
      </c>
      <c r="C230" t="s">
        <v>1456</v>
      </c>
      <c r="D230" t="s">
        <v>906</v>
      </c>
      <c r="E230" t="s">
        <v>909</v>
      </c>
      <c r="F230" t="s">
        <v>116</v>
      </c>
      <c r="G230">
        <v>2025</v>
      </c>
      <c r="H230">
        <v>6</v>
      </c>
      <c r="I230">
        <v>18</v>
      </c>
      <c r="J230">
        <v>11101</v>
      </c>
      <c r="K230">
        <v>0</v>
      </c>
      <c r="L230">
        <v>0</v>
      </c>
      <c r="M230">
        <v>185</v>
      </c>
      <c r="N230">
        <v>0</v>
      </c>
      <c r="O230">
        <v>10.3</v>
      </c>
      <c r="P230">
        <v>144</v>
      </c>
      <c r="Q230">
        <v>41</v>
      </c>
    </row>
    <row r="231" spans="1:17" hidden="1" x14ac:dyDescent="0.45">
      <c r="A231">
        <v>1214163</v>
      </c>
      <c r="B231" t="s">
        <v>214</v>
      </c>
      <c r="C231" t="s">
        <v>1456</v>
      </c>
      <c r="D231" t="s">
        <v>906</v>
      </c>
      <c r="E231" t="s">
        <v>909</v>
      </c>
      <c r="F231" t="s">
        <v>116</v>
      </c>
      <c r="G231">
        <v>2025</v>
      </c>
      <c r="H231">
        <v>7</v>
      </c>
      <c r="I231">
        <v>17</v>
      </c>
      <c r="J231">
        <v>10776</v>
      </c>
      <c r="K231">
        <v>70</v>
      </c>
      <c r="L231">
        <v>0</v>
      </c>
      <c r="M231">
        <v>179.6</v>
      </c>
      <c r="N231">
        <v>1.2</v>
      </c>
      <c r="O231">
        <v>10.6</v>
      </c>
      <c r="P231">
        <v>136</v>
      </c>
      <c r="Q231" s="1" t="s">
        <v>215</v>
      </c>
    </row>
    <row r="232" spans="1:17" hidden="1" x14ac:dyDescent="0.45">
      <c r="A232">
        <v>1214163</v>
      </c>
      <c r="B232" t="s">
        <v>214</v>
      </c>
      <c r="C232" t="s">
        <v>1456</v>
      </c>
      <c r="D232" t="s">
        <v>906</v>
      </c>
      <c r="E232" t="s">
        <v>909</v>
      </c>
      <c r="F232" t="s">
        <v>116</v>
      </c>
      <c r="G232">
        <v>2025</v>
      </c>
      <c r="H232">
        <v>8</v>
      </c>
      <c r="I232">
        <v>15</v>
      </c>
      <c r="J232">
        <v>8804</v>
      </c>
      <c r="K232">
        <v>0</v>
      </c>
      <c r="L232">
        <v>0</v>
      </c>
      <c r="M232">
        <v>146.69999999999999</v>
      </c>
      <c r="N232">
        <v>0</v>
      </c>
      <c r="O232">
        <v>9.8000000000000007</v>
      </c>
      <c r="P232">
        <v>120</v>
      </c>
      <c r="Q232" s="1" t="s">
        <v>216</v>
      </c>
    </row>
    <row r="233" spans="1:17" hidden="1" x14ac:dyDescent="0.45">
      <c r="A233">
        <v>1214164</v>
      </c>
      <c r="B233" t="s">
        <v>217</v>
      </c>
      <c r="C233" t="s">
        <v>1456</v>
      </c>
      <c r="D233" t="s">
        <v>906</v>
      </c>
      <c r="E233" t="s">
        <v>909</v>
      </c>
      <c r="F233" t="s">
        <v>116</v>
      </c>
      <c r="G233">
        <v>2025</v>
      </c>
      <c r="H233">
        <v>6</v>
      </c>
      <c r="I233">
        <v>14</v>
      </c>
      <c r="J233">
        <v>13386</v>
      </c>
      <c r="K233">
        <v>0</v>
      </c>
      <c r="L233">
        <v>1</v>
      </c>
      <c r="M233">
        <v>223.1</v>
      </c>
      <c r="N233">
        <v>0</v>
      </c>
      <c r="O233">
        <v>15.9</v>
      </c>
      <c r="P233">
        <v>104</v>
      </c>
      <c r="Q233">
        <v>119.1</v>
      </c>
    </row>
    <row r="234" spans="1:17" hidden="1" x14ac:dyDescent="0.45">
      <c r="A234">
        <v>1214164</v>
      </c>
      <c r="B234" t="s">
        <v>217</v>
      </c>
      <c r="C234" t="s">
        <v>1456</v>
      </c>
      <c r="D234" t="s">
        <v>906</v>
      </c>
      <c r="E234" t="s">
        <v>909</v>
      </c>
      <c r="F234" t="s">
        <v>116</v>
      </c>
      <c r="G234">
        <v>2025</v>
      </c>
      <c r="H234">
        <v>7</v>
      </c>
      <c r="I234">
        <v>26</v>
      </c>
      <c r="J234">
        <v>34294</v>
      </c>
      <c r="K234">
        <v>0</v>
      </c>
      <c r="L234">
        <v>7</v>
      </c>
      <c r="M234">
        <v>571.6</v>
      </c>
      <c r="N234">
        <v>0</v>
      </c>
      <c r="O234">
        <v>22</v>
      </c>
      <c r="P234">
        <v>152</v>
      </c>
      <c r="Q234">
        <v>419.6</v>
      </c>
    </row>
    <row r="235" spans="1:17" hidden="1" x14ac:dyDescent="0.45">
      <c r="A235">
        <v>1214164</v>
      </c>
      <c r="B235" t="s">
        <v>217</v>
      </c>
      <c r="C235" t="s">
        <v>1456</v>
      </c>
      <c r="D235" t="s">
        <v>906</v>
      </c>
      <c r="E235" t="s">
        <v>909</v>
      </c>
      <c r="F235" t="s">
        <v>116</v>
      </c>
      <c r="G235">
        <v>2025</v>
      </c>
      <c r="H235">
        <v>8</v>
      </c>
      <c r="I235">
        <v>21</v>
      </c>
      <c r="J235">
        <v>25986</v>
      </c>
      <c r="K235">
        <v>0</v>
      </c>
      <c r="L235">
        <v>4</v>
      </c>
      <c r="M235">
        <v>433.1</v>
      </c>
      <c r="N235">
        <v>0</v>
      </c>
      <c r="O235">
        <v>20.6</v>
      </c>
      <c r="P235">
        <v>136</v>
      </c>
      <c r="Q235">
        <v>297.10000000000002</v>
      </c>
    </row>
    <row r="236" spans="1:17" hidden="1" x14ac:dyDescent="0.45">
      <c r="A236">
        <v>1214165</v>
      </c>
      <c r="B236" t="s">
        <v>218</v>
      </c>
      <c r="C236" t="s">
        <v>1455</v>
      </c>
      <c r="D236" t="s">
        <v>921</v>
      </c>
      <c r="E236" t="s">
        <v>922</v>
      </c>
      <c r="F236" t="s">
        <v>116</v>
      </c>
      <c r="G236">
        <v>2025</v>
      </c>
      <c r="H236">
        <v>6</v>
      </c>
      <c r="I236">
        <v>19</v>
      </c>
      <c r="J236">
        <v>10266</v>
      </c>
      <c r="K236">
        <v>43</v>
      </c>
      <c r="L236">
        <v>0</v>
      </c>
      <c r="M236">
        <v>171.1</v>
      </c>
      <c r="N236">
        <v>0.7</v>
      </c>
      <c r="O236">
        <v>9</v>
      </c>
      <c r="P236">
        <v>152</v>
      </c>
      <c r="Q236" s="1" t="s">
        <v>219</v>
      </c>
    </row>
    <row r="237" spans="1:17" hidden="1" x14ac:dyDescent="0.45">
      <c r="A237">
        <v>1214165</v>
      </c>
      <c r="B237" t="s">
        <v>218</v>
      </c>
      <c r="C237" t="s">
        <v>1455</v>
      </c>
      <c r="D237" t="s">
        <v>921</v>
      </c>
      <c r="E237" t="s">
        <v>922</v>
      </c>
      <c r="F237" t="s">
        <v>116</v>
      </c>
      <c r="G237">
        <v>2025</v>
      </c>
      <c r="H237">
        <v>7</v>
      </c>
      <c r="I237">
        <v>18</v>
      </c>
      <c r="J237">
        <v>9919</v>
      </c>
      <c r="K237">
        <v>99</v>
      </c>
      <c r="L237">
        <v>0</v>
      </c>
      <c r="M237">
        <v>165.3</v>
      </c>
      <c r="N237">
        <v>1.6</v>
      </c>
      <c r="O237">
        <v>9.1999999999999993</v>
      </c>
      <c r="P237">
        <v>144</v>
      </c>
      <c r="Q237" s="1" t="s">
        <v>220</v>
      </c>
    </row>
    <row r="238" spans="1:17" hidden="1" x14ac:dyDescent="0.45">
      <c r="A238">
        <v>1214165</v>
      </c>
      <c r="B238" t="s">
        <v>218</v>
      </c>
      <c r="C238" t="s">
        <v>1455</v>
      </c>
      <c r="D238" t="s">
        <v>921</v>
      </c>
      <c r="E238" t="s">
        <v>922</v>
      </c>
      <c r="F238" t="s">
        <v>116</v>
      </c>
      <c r="G238">
        <v>2025</v>
      </c>
      <c r="H238">
        <v>8</v>
      </c>
      <c r="I238">
        <v>16</v>
      </c>
      <c r="J238">
        <v>8193</v>
      </c>
      <c r="K238">
        <v>301</v>
      </c>
      <c r="L238">
        <v>0</v>
      </c>
      <c r="M238">
        <v>136.6</v>
      </c>
      <c r="N238">
        <v>5</v>
      </c>
      <c r="O238">
        <v>8.5</v>
      </c>
      <c r="P238">
        <v>128</v>
      </c>
      <c r="Q238" s="1" t="s">
        <v>111</v>
      </c>
    </row>
    <row r="239" spans="1:17" hidden="1" x14ac:dyDescent="0.45">
      <c r="A239">
        <v>1214170</v>
      </c>
      <c r="B239" t="s">
        <v>221</v>
      </c>
      <c r="C239" t="s">
        <v>1462</v>
      </c>
      <c r="D239" t="s">
        <v>718</v>
      </c>
      <c r="E239" t="s">
        <v>741</v>
      </c>
      <c r="F239" t="s">
        <v>116</v>
      </c>
      <c r="G239">
        <v>2025</v>
      </c>
      <c r="H239">
        <v>6</v>
      </c>
      <c r="I239">
        <v>30</v>
      </c>
      <c r="J239">
        <v>42382</v>
      </c>
      <c r="K239">
        <v>0</v>
      </c>
      <c r="L239">
        <v>9</v>
      </c>
      <c r="M239">
        <v>706.4</v>
      </c>
      <c r="N239">
        <v>0</v>
      </c>
      <c r="O239">
        <v>23.5</v>
      </c>
      <c r="P239">
        <v>168</v>
      </c>
      <c r="Q239">
        <v>538.4</v>
      </c>
    </row>
    <row r="240" spans="1:17" hidden="1" x14ac:dyDescent="0.45">
      <c r="A240">
        <v>1214170</v>
      </c>
      <c r="B240" t="s">
        <v>221</v>
      </c>
      <c r="C240" t="s">
        <v>1462</v>
      </c>
      <c r="D240" t="s">
        <v>718</v>
      </c>
      <c r="E240" t="s">
        <v>741</v>
      </c>
      <c r="F240" t="s">
        <v>116</v>
      </c>
      <c r="G240">
        <v>2025</v>
      </c>
      <c r="H240">
        <v>7</v>
      </c>
      <c r="I240">
        <v>31</v>
      </c>
      <c r="J240">
        <v>43707</v>
      </c>
      <c r="K240">
        <v>0</v>
      </c>
      <c r="L240">
        <v>8</v>
      </c>
      <c r="M240">
        <v>728.4</v>
      </c>
      <c r="N240">
        <v>0</v>
      </c>
      <c r="O240">
        <v>23.5</v>
      </c>
      <c r="P240">
        <v>184</v>
      </c>
      <c r="Q240">
        <v>544.4</v>
      </c>
    </row>
    <row r="241" spans="1:17" hidden="1" x14ac:dyDescent="0.45">
      <c r="A241">
        <v>1214170</v>
      </c>
      <c r="B241" t="s">
        <v>221</v>
      </c>
      <c r="C241" t="s">
        <v>1462</v>
      </c>
      <c r="D241" t="s">
        <v>718</v>
      </c>
      <c r="E241" t="s">
        <v>741</v>
      </c>
      <c r="F241" t="s">
        <v>116</v>
      </c>
      <c r="G241">
        <v>2025</v>
      </c>
      <c r="H241">
        <v>8</v>
      </c>
      <c r="I241">
        <v>26</v>
      </c>
      <c r="J241">
        <v>36695</v>
      </c>
      <c r="K241">
        <v>0</v>
      </c>
      <c r="L241">
        <v>8</v>
      </c>
      <c r="M241">
        <v>611.6</v>
      </c>
      <c r="N241">
        <v>0</v>
      </c>
      <c r="O241">
        <v>23.5</v>
      </c>
      <c r="P241">
        <v>144</v>
      </c>
      <c r="Q241">
        <v>467.6</v>
      </c>
    </row>
    <row r="242" spans="1:17" hidden="1" x14ac:dyDescent="0.45">
      <c r="A242">
        <v>1214178</v>
      </c>
      <c r="B242" t="s">
        <v>222</v>
      </c>
      <c r="C242" t="s">
        <v>1466</v>
      </c>
      <c r="D242" t="s">
        <v>718</v>
      </c>
      <c r="E242" t="s">
        <v>737</v>
      </c>
      <c r="F242" t="s">
        <v>116</v>
      </c>
      <c r="G242">
        <v>2025</v>
      </c>
      <c r="H242">
        <v>6</v>
      </c>
      <c r="I242">
        <v>16</v>
      </c>
      <c r="J242">
        <v>9106</v>
      </c>
      <c r="K242">
        <v>0</v>
      </c>
      <c r="L242">
        <v>0</v>
      </c>
      <c r="M242">
        <v>151.80000000000001</v>
      </c>
      <c r="N242">
        <v>0</v>
      </c>
      <c r="O242">
        <v>9.5</v>
      </c>
      <c r="P242">
        <v>128</v>
      </c>
      <c r="Q242" s="1" t="s">
        <v>42</v>
      </c>
    </row>
    <row r="243" spans="1:17" hidden="1" x14ac:dyDescent="0.45">
      <c r="A243">
        <v>1214178</v>
      </c>
      <c r="B243" t="s">
        <v>222</v>
      </c>
      <c r="C243" t="s">
        <v>1466</v>
      </c>
      <c r="D243" t="s">
        <v>718</v>
      </c>
      <c r="E243" t="s">
        <v>737</v>
      </c>
      <c r="F243" t="s">
        <v>116</v>
      </c>
      <c r="G243">
        <v>2025</v>
      </c>
      <c r="H243">
        <v>7</v>
      </c>
      <c r="I243">
        <v>14</v>
      </c>
      <c r="J243">
        <v>6601</v>
      </c>
      <c r="K243">
        <v>0</v>
      </c>
      <c r="L243">
        <v>1</v>
      </c>
      <c r="M243">
        <v>110</v>
      </c>
      <c r="N243">
        <v>0</v>
      </c>
      <c r="O243">
        <v>7.9</v>
      </c>
      <c r="P243">
        <v>104</v>
      </c>
      <c r="Q243">
        <v>6</v>
      </c>
    </row>
    <row r="244" spans="1:17" hidden="1" x14ac:dyDescent="0.45">
      <c r="A244">
        <v>1214178</v>
      </c>
      <c r="B244" t="s">
        <v>222</v>
      </c>
      <c r="C244" t="s">
        <v>1466</v>
      </c>
      <c r="D244" t="s">
        <v>718</v>
      </c>
      <c r="E244" t="s">
        <v>737</v>
      </c>
      <c r="F244" t="s">
        <v>116</v>
      </c>
      <c r="G244">
        <v>2025</v>
      </c>
      <c r="H244">
        <v>8</v>
      </c>
      <c r="I244">
        <v>13</v>
      </c>
      <c r="J244">
        <v>5520</v>
      </c>
      <c r="K244">
        <v>0</v>
      </c>
      <c r="L244">
        <v>2</v>
      </c>
      <c r="M244">
        <v>92</v>
      </c>
      <c r="N244">
        <v>0</v>
      </c>
      <c r="O244">
        <v>7.1</v>
      </c>
      <c r="P244">
        <v>88</v>
      </c>
      <c r="Q244">
        <v>4</v>
      </c>
    </row>
    <row r="245" spans="1:17" hidden="1" x14ac:dyDescent="0.45">
      <c r="A245">
        <v>1214181</v>
      </c>
      <c r="B245" t="s">
        <v>223</v>
      </c>
      <c r="C245" t="s">
        <v>1450</v>
      </c>
      <c r="D245" t="s">
        <v>718</v>
      </c>
      <c r="E245" t="s">
        <v>743</v>
      </c>
      <c r="F245" t="s">
        <v>17</v>
      </c>
      <c r="G245">
        <v>2025</v>
      </c>
      <c r="H245">
        <v>6</v>
      </c>
      <c r="I245">
        <v>30</v>
      </c>
      <c r="J245">
        <v>42334</v>
      </c>
      <c r="K245">
        <v>0</v>
      </c>
      <c r="L245">
        <v>9</v>
      </c>
      <c r="M245">
        <v>705.6</v>
      </c>
      <c r="N245">
        <v>0</v>
      </c>
      <c r="O245">
        <v>23.5</v>
      </c>
      <c r="P245">
        <v>168</v>
      </c>
      <c r="Q245">
        <v>537.6</v>
      </c>
    </row>
    <row r="246" spans="1:17" hidden="1" x14ac:dyDescent="0.45">
      <c r="A246">
        <v>1214181</v>
      </c>
      <c r="B246" t="s">
        <v>223</v>
      </c>
      <c r="C246" t="s">
        <v>1450</v>
      </c>
      <c r="D246" t="s">
        <v>718</v>
      </c>
      <c r="E246" t="s">
        <v>743</v>
      </c>
      <c r="F246" t="s">
        <v>17</v>
      </c>
      <c r="G246">
        <v>2025</v>
      </c>
      <c r="H246">
        <v>7</v>
      </c>
      <c r="I246">
        <v>24</v>
      </c>
      <c r="J246">
        <v>33813</v>
      </c>
      <c r="K246">
        <v>0</v>
      </c>
      <c r="L246">
        <v>6</v>
      </c>
      <c r="M246">
        <v>563.6</v>
      </c>
      <c r="N246">
        <v>0</v>
      </c>
      <c r="O246">
        <v>23.5</v>
      </c>
      <c r="P246">
        <v>144</v>
      </c>
      <c r="Q246">
        <v>419.6</v>
      </c>
    </row>
    <row r="247" spans="1:17" hidden="1" x14ac:dyDescent="0.45">
      <c r="A247">
        <v>1214181</v>
      </c>
      <c r="B247" t="s">
        <v>223</v>
      </c>
      <c r="C247" t="s">
        <v>1450</v>
      </c>
      <c r="D247" t="s">
        <v>718</v>
      </c>
      <c r="E247" t="s">
        <v>743</v>
      </c>
      <c r="F247" t="s">
        <v>17</v>
      </c>
      <c r="G247">
        <v>2025</v>
      </c>
      <c r="H247">
        <v>8</v>
      </c>
      <c r="I247">
        <v>21</v>
      </c>
      <c r="J247">
        <v>27065</v>
      </c>
      <c r="K247">
        <v>0</v>
      </c>
      <c r="L247">
        <v>4</v>
      </c>
      <c r="M247">
        <v>451.1</v>
      </c>
      <c r="N247">
        <v>0</v>
      </c>
      <c r="O247">
        <v>21.5</v>
      </c>
      <c r="P247">
        <v>136</v>
      </c>
      <c r="Q247">
        <v>315.10000000000002</v>
      </c>
    </row>
    <row r="248" spans="1:17" hidden="1" x14ac:dyDescent="0.45">
      <c r="A248">
        <v>1214201</v>
      </c>
      <c r="B248" t="s">
        <v>224</v>
      </c>
      <c r="C248" t="s">
        <v>1444</v>
      </c>
      <c r="D248" t="s">
        <v>718</v>
      </c>
      <c r="E248" t="s">
        <v>729</v>
      </c>
      <c r="F248" t="s">
        <v>17</v>
      </c>
      <c r="G248">
        <v>2025</v>
      </c>
      <c r="H248">
        <v>6</v>
      </c>
      <c r="I248">
        <v>15</v>
      </c>
      <c r="J248">
        <v>11569</v>
      </c>
      <c r="K248">
        <v>0</v>
      </c>
      <c r="L248">
        <v>0</v>
      </c>
      <c r="M248">
        <v>192.8</v>
      </c>
      <c r="N248">
        <v>0</v>
      </c>
      <c r="O248">
        <v>12.9</v>
      </c>
      <c r="P248">
        <v>120</v>
      </c>
      <c r="Q248" s="1" t="s">
        <v>225</v>
      </c>
    </row>
    <row r="249" spans="1:17" hidden="1" x14ac:dyDescent="0.45">
      <c r="A249">
        <v>1214201</v>
      </c>
      <c r="B249" t="s">
        <v>224</v>
      </c>
      <c r="C249" t="s">
        <v>1444</v>
      </c>
      <c r="D249" t="s">
        <v>718</v>
      </c>
      <c r="E249" t="s">
        <v>729</v>
      </c>
      <c r="F249" t="s">
        <v>17</v>
      </c>
      <c r="G249">
        <v>2025</v>
      </c>
      <c r="H249">
        <v>7</v>
      </c>
      <c r="I249">
        <v>18</v>
      </c>
      <c r="J249">
        <v>10378</v>
      </c>
      <c r="K249">
        <v>0</v>
      </c>
      <c r="L249">
        <v>0</v>
      </c>
      <c r="M249">
        <v>173</v>
      </c>
      <c r="N249">
        <v>0</v>
      </c>
      <c r="O249">
        <v>9.6</v>
      </c>
      <c r="P249">
        <v>144</v>
      </c>
      <c r="Q249">
        <v>29</v>
      </c>
    </row>
    <row r="250" spans="1:17" hidden="1" x14ac:dyDescent="0.45">
      <c r="A250">
        <v>1214201</v>
      </c>
      <c r="B250" t="s">
        <v>224</v>
      </c>
      <c r="C250" t="s">
        <v>1444</v>
      </c>
      <c r="D250" t="s">
        <v>718</v>
      </c>
      <c r="E250" t="s">
        <v>729</v>
      </c>
      <c r="F250" t="s">
        <v>17</v>
      </c>
      <c r="G250">
        <v>2025</v>
      </c>
      <c r="H250">
        <v>8</v>
      </c>
      <c r="I250">
        <v>12</v>
      </c>
      <c r="J250">
        <v>6810</v>
      </c>
      <c r="K250">
        <v>0</v>
      </c>
      <c r="L250">
        <v>0</v>
      </c>
      <c r="M250">
        <v>113.5</v>
      </c>
      <c r="N250">
        <v>0</v>
      </c>
      <c r="O250">
        <v>9.5</v>
      </c>
      <c r="P250">
        <v>96</v>
      </c>
      <c r="Q250">
        <v>17.5</v>
      </c>
    </row>
    <row r="251" spans="1:17" hidden="1" x14ac:dyDescent="0.45">
      <c r="A251">
        <v>1215007</v>
      </c>
      <c r="B251" t="s">
        <v>226</v>
      </c>
      <c r="C251" t="s">
        <v>1466</v>
      </c>
      <c r="D251" t="s">
        <v>718</v>
      </c>
      <c r="E251" t="s">
        <v>739</v>
      </c>
      <c r="F251" t="s">
        <v>116</v>
      </c>
      <c r="G251">
        <v>2025</v>
      </c>
      <c r="H251">
        <v>7</v>
      </c>
      <c r="I251">
        <v>2</v>
      </c>
      <c r="J251">
        <v>270</v>
      </c>
      <c r="K251">
        <v>1</v>
      </c>
      <c r="L251">
        <v>0</v>
      </c>
      <c r="M251">
        <v>4.5</v>
      </c>
      <c r="N251">
        <v>0</v>
      </c>
      <c r="O251">
        <v>2.2000000000000002</v>
      </c>
      <c r="P251">
        <v>16</v>
      </c>
      <c r="Q251">
        <v>-11.5</v>
      </c>
    </row>
    <row r="252" spans="1:17" hidden="1" x14ac:dyDescent="0.45">
      <c r="A252">
        <v>1215010</v>
      </c>
      <c r="B252" t="s">
        <v>227</v>
      </c>
      <c r="C252" t="s">
        <v>1450</v>
      </c>
      <c r="D252" t="s">
        <v>718</v>
      </c>
      <c r="E252" t="s">
        <v>737</v>
      </c>
      <c r="F252" t="s">
        <v>116</v>
      </c>
      <c r="G252">
        <v>2025</v>
      </c>
      <c r="H252">
        <v>6</v>
      </c>
      <c r="I252">
        <v>18</v>
      </c>
      <c r="J252">
        <v>9268</v>
      </c>
      <c r="K252">
        <v>0</v>
      </c>
      <c r="L252">
        <v>0</v>
      </c>
      <c r="M252">
        <v>154.5</v>
      </c>
      <c r="N252">
        <v>0</v>
      </c>
      <c r="O252">
        <v>8.6</v>
      </c>
      <c r="P252">
        <v>144</v>
      </c>
      <c r="Q252">
        <v>10.5</v>
      </c>
    </row>
    <row r="253" spans="1:17" hidden="1" x14ac:dyDescent="0.45">
      <c r="A253">
        <v>1215010</v>
      </c>
      <c r="B253" t="s">
        <v>227</v>
      </c>
      <c r="C253" t="s">
        <v>1450</v>
      </c>
      <c r="D253" t="s">
        <v>718</v>
      </c>
      <c r="E253" t="s">
        <v>737</v>
      </c>
      <c r="F253" t="s">
        <v>116</v>
      </c>
      <c r="G253">
        <v>2025</v>
      </c>
      <c r="H253">
        <v>7</v>
      </c>
      <c r="I253">
        <v>14</v>
      </c>
      <c r="J253">
        <v>7440</v>
      </c>
      <c r="K253">
        <v>0</v>
      </c>
      <c r="L253">
        <v>0</v>
      </c>
      <c r="M253">
        <v>124</v>
      </c>
      <c r="N253">
        <v>0</v>
      </c>
      <c r="O253">
        <v>8.9</v>
      </c>
      <c r="P253">
        <v>112</v>
      </c>
      <c r="Q253">
        <v>12</v>
      </c>
    </row>
    <row r="254" spans="1:17" hidden="1" x14ac:dyDescent="0.45">
      <c r="A254">
        <v>1215010</v>
      </c>
      <c r="B254" t="s">
        <v>227</v>
      </c>
      <c r="C254" t="s">
        <v>1450</v>
      </c>
      <c r="D254" t="s">
        <v>718</v>
      </c>
      <c r="E254" t="s">
        <v>737</v>
      </c>
      <c r="F254" t="s">
        <v>116</v>
      </c>
      <c r="G254">
        <v>2025</v>
      </c>
      <c r="H254">
        <v>8</v>
      </c>
      <c r="I254">
        <v>15</v>
      </c>
      <c r="J254">
        <v>7844</v>
      </c>
      <c r="K254">
        <v>0</v>
      </c>
      <c r="L254">
        <v>0</v>
      </c>
      <c r="M254">
        <v>130.69999999999999</v>
      </c>
      <c r="N254">
        <v>0</v>
      </c>
      <c r="O254">
        <v>8.6999999999999993</v>
      </c>
      <c r="P254">
        <v>120</v>
      </c>
      <c r="Q254" s="1" t="s">
        <v>228</v>
      </c>
    </row>
    <row r="255" spans="1:17" hidden="1" x14ac:dyDescent="0.45">
      <c r="A255">
        <v>1215033</v>
      </c>
      <c r="B255" t="s">
        <v>229</v>
      </c>
      <c r="C255" t="s">
        <v>1444</v>
      </c>
      <c r="D255" t="s">
        <v>718</v>
      </c>
      <c r="E255" t="s">
        <v>731</v>
      </c>
      <c r="F255" t="s">
        <v>116</v>
      </c>
      <c r="G255">
        <v>2025</v>
      </c>
      <c r="H255">
        <v>6</v>
      </c>
      <c r="I255">
        <v>16</v>
      </c>
      <c r="J255">
        <v>9569</v>
      </c>
      <c r="K255">
        <v>0</v>
      </c>
      <c r="L255">
        <v>0</v>
      </c>
      <c r="M255">
        <v>159.5</v>
      </c>
      <c r="N255">
        <v>0</v>
      </c>
      <c r="O255">
        <v>10</v>
      </c>
      <c r="P255">
        <v>128</v>
      </c>
      <c r="Q255">
        <v>31.5</v>
      </c>
    </row>
    <row r="256" spans="1:17" hidden="1" x14ac:dyDescent="0.45">
      <c r="A256">
        <v>1215033</v>
      </c>
      <c r="B256" t="s">
        <v>229</v>
      </c>
      <c r="C256" t="s">
        <v>1444</v>
      </c>
      <c r="D256" t="s">
        <v>718</v>
      </c>
      <c r="E256" t="s">
        <v>731</v>
      </c>
      <c r="F256" t="s">
        <v>116</v>
      </c>
      <c r="G256">
        <v>2025</v>
      </c>
      <c r="H256">
        <v>7</v>
      </c>
      <c r="I256">
        <v>17</v>
      </c>
      <c r="J256">
        <v>6812</v>
      </c>
      <c r="K256">
        <v>60</v>
      </c>
      <c r="L256">
        <v>0</v>
      </c>
      <c r="M256">
        <v>113.5</v>
      </c>
      <c r="N256">
        <v>1</v>
      </c>
      <c r="O256">
        <v>6.7</v>
      </c>
      <c r="P256">
        <v>136</v>
      </c>
      <c r="Q256">
        <v>-22.5</v>
      </c>
    </row>
    <row r="257" spans="1:17" hidden="1" x14ac:dyDescent="0.45">
      <c r="A257">
        <v>1215033</v>
      </c>
      <c r="B257" t="s">
        <v>229</v>
      </c>
      <c r="C257" t="s">
        <v>1444</v>
      </c>
      <c r="D257" t="s">
        <v>718</v>
      </c>
      <c r="E257" t="s">
        <v>731</v>
      </c>
      <c r="F257" t="s">
        <v>116</v>
      </c>
      <c r="G257">
        <v>2025</v>
      </c>
      <c r="H257">
        <v>8</v>
      </c>
      <c r="I257">
        <v>18</v>
      </c>
      <c r="J257">
        <v>7462</v>
      </c>
      <c r="K257">
        <v>0</v>
      </c>
      <c r="L257">
        <v>2</v>
      </c>
      <c r="M257">
        <v>124.4</v>
      </c>
      <c r="N257">
        <v>0</v>
      </c>
      <c r="O257">
        <v>6.9</v>
      </c>
      <c r="P257">
        <v>128</v>
      </c>
      <c r="Q257">
        <v>-3.6</v>
      </c>
    </row>
    <row r="258" spans="1:17" hidden="1" x14ac:dyDescent="0.45">
      <c r="A258">
        <v>1215048</v>
      </c>
      <c r="B258" t="s">
        <v>230</v>
      </c>
      <c r="C258" t="s">
        <v>1450</v>
      </c>
      <c r="D258" t="s">
        <v>718</v>
      </c>
      <c r="E258" t="s">
        <v>737</v>
      </c>
      <c r="F258" t="s">
        <v>116</v>
      </c>
      <c r="G258">
        <v>2025</v>
      </c>
      <c r="H258">
        <v>6</v>
      </c>
      <c r="I258">
        <v>15</v>
      </c>
      <c r="J258">
        <v>8518</v>
      </c>
      <c r="K258">
        <v>0</v>
      </c>
      <c r="L258">
        <v>0</v>
      </c>
      <c r="M258">
        <v>142</v>
      </c>
      <c r="N258">
        <v>0</v>
      </c>
      <c r="O258">
        <v>9.5</v>
      </c>
      <c r="P258">
        <v>120</v>
      </c>
      <c r="Q258">
        <v>22</v>
      </c>
    </row>
    <row r="259" spans="1:17" hidden="1" x14ac:dyDescent="0.45">
      <c r="A259">
        <v>1215048</v>
      </c>
      <c r="B259" t="s">
        <v>230</v>
      </c>
      <c r="C259" t="s">
        <v>1450</v>
      </c>
      <c r="D259" t="s">
        <v>718</v>
      </c>
      <c r="E259" t="s">
        <v>737</v>
      </c>
      <c r="F259" t="s">
        <v>116</v>
      </c>
      <c r="G259">
        <v>2025</v>
      </c>
      <c r="H259">
        <v>7</v>
      </c>
      <c r="I259">
        <v>2</v>
      </c>
      <c r="J259">
        <v>214</v>
      </c>
      <c r="K259">
        <v>0</v>
      </c>
      <c r="L259">
        <v>0</v>
      </c>
      <c r="M259">
        <v>3.6</v>
      </c>
      <c r="N259">
        <v>0</v>
      </c>
      <c r="O259">
        <v>1.8</v>
      </c>
      <c r="P259">
        <v>16</v>
      </c>
      <c r="Q259">
        <v>-12.4</v>
      </c>
    </row>
    <row r="260" spans="1:17" hidden="1" x14ac:dyDescent="0.45">
      <c r="A260">
        <v>1215059</v>
      </c>
      <c r="B260" t="s">
        <v>231</v>
      </c>
      <c r="C260" t="s">
        <v>1463</v>
      </c>
      <c r="D260" t="s">
        <v>954</v>
      </c>
      <c r="E260" t="s">
        <v>956</v>
      </c>
      <c r="F260" t="s">
        <v>116</v>
      </c>
      <c r="G260">
        <v>2025</v>
      </c>
      <c r="H260">
        <v>6</v>
      </c>
      <c r="I260">
        <v>16</v>
      </c>
      <c r="J260">
        <v>11127</v>
      </c>
      <c r="K260">
        <v>0</v>
      </c>
      <c r="L260">
        <v>2</v>
      </c>
      <c r="M260">
        <v>185.4</v>
      </c>
      <c r="N260">
        <v>0</v>
      </c>
      <c r="O260">
        <v>11.6</v>
      </c>
      <c r="P260">
        <v>112</v>
      </c>
      <c r="Q260">
        <v>73.400000000000006</v>
      </c>
    </row>
    <row r="261" spans="1:17" hidden="1" x14ac:dyDescent="0.45">
      <c r="A261">
        <v>1215059</v>
      </c>
      <c r="B261" t="s">
        <v>231</v>
      </c>
      <c r="C261" t="s">
        <v>1463</v>
      </c>
      <c r="D261" t="s">
        <v>954</v>
      </c>
      <c r="E261" t="s">
        <v>956</v>
      </c>
      <c r="F261" t="s">
        <v>116</v>
      </c>
      <c r="G261">
        <v>2025</v>
      </c>
      <c r="H261">
        <v>7</v>
      </c>
      <c r="I261">
        <v>12</v>
      </c>
      <c r="J261">
        <v>4873</v>
      </c>
      <c r="K261">
        <v>26</v>
      </c>
      <c r="L261">
        <v>1</v>
      </c>
      <c r="M261">
        <v>81.2</v>
      </c>
      <c r="N261">
        <v>0.4</v>
      </c>
      <c r="O261">
        <v>6.8</v>
      </c>
      <c r="P261">
        <v>88</v>
      </c>
      <c r="Q261">
        <v>-6.8</v>
      </c>
    </row>
    <row r="262" spans="1:17" hidden="1" x14ac:dyDescent="0.45">
      <c r="A262">
        <v>1215059</v>
      </c>
      <c r="B262" t="s">
        <v>231</v>
      </c>
      <c r="C262" t="s">
        <v>1463</v>
      </c>
      <c r="D262" t="s">
        <v>954</v>
      </c>
      <c r="E262" t="s">
        <v>956</v>
      </c>
      <c r="F262" t="s">
        <v>116</v>
      </c>
      <c r="G262">
        <v>2025</v>
      </c>
      <c r="H262">
        <v>8</v>
      </c>
      <c r="I262">
        <v>15</v>
      </c>
      <c r="J262">
        <v>7008</v>
      </c>
      <c r="K262">
        <v>0</v>
      </c>
      <c r="L262">
        <v>0</v>
      </c>
      <c r="M262">
        <v>116.8</v>
      </c>
      <c r="N262">
        <v>0</v>
      </c>
      <c r="O262">
        <v>7.8</v>
      </c>
      <c r="P262">
        <v>120</v>
      </c>
      <c r="Q262">
        <v>-3.2</v>
      </c>
    </row>
    <row r="263" spans="1:17" hidden="1" x14ac:dyDescent="0.45">
      <c r="A263">
        <v>1215079</v>
      </c>
      <c r="B263" t="s">
        <v>232</v>
      </c>
      <c r="C263" t="s">
        <v>1445</v>
      </c>
      <c r="D263" t="s">
        <v>815</v>
      </c>
      <c r="E263" t="s">
        <v>830</v>
      </c>
      <c r="F263" t="s">
        <v>17</v>
      </c>
      <c r="G263">
        <v>2025</v>
      </c>
      <c r="H263">
        <v>6</v>
      </c>
      <c r="I263">
        <v>19</v>
      </c>
      <c r="J263">
        <v>9881</v>
      </c>
      <c r="K263">
        <v>0</v>
      </c>
      <c r="L263">
        <v>1</v>
      </c>
      <c r="M263">
        <v>164.7</v>
      </c>
      <c r="N263">
        <v>0</v>
      </c>
      <c r="O263">
        <v>8.6999999999999993</v>
      </c>
      <c r="P263">
        <v>144</v>
      </c>
      <c r="Q263" s="1" t="s">
        <v>191</v>
      </c>
    </row>
    <row r="264" spans="1:17" hidden="1" x14ac:dyDescent="0.45">
      <c r="A264">
        <v>1215079</v>
      </c>
      <c r="B264" t="s">
        <v>232</v>
      </c>
      <c r="C264" t="s">
        <v>1445</v>
      </c>
      <c r="D264" t="s">
        <v>815</v>
      </c>
      <c r="E264" t="s">
        <v>830</v>
      </c>
      <c r="F264" t="s">
        <v>17</v>
      </c>
      <c r="G264">
        <v>2025</v>
      </c>
      <c r="H264">
        <v>7</v>
      </c>
      <c r="I264">
        <v>18</v>
      </c>
      <c r="J264">
        <v>9925</v>
      </c>
      <c r="K264">
        <v>58</v>
      </c>
      <c r="L264">
        <v>1</v>
      </c>
      <c r="M264">
        <v>165.4</v>
      </c>
      <c r="N264">
        <v>1</v>
      </c>
      <c r="O264">
        <v>9.1999999999999993</v>
      </c>
      <c r="P264">
        <v>136</v>
      </c>
      <c r="Q264" s="1" t="s">
        <v>233</v>
      </c>
    </row>
    <row r="265" spans="1:17" hidden="1" x14ac:dyDescent="0.45">
      <c r="A265">
        <v>1215079</v>
      </c>
      <c r="B265" t="s">
        <v>232</v>
      </c>
      <c r="C265" t="s">
        <v>1445</v>
      </c>
      <c r="D265" t="s">
        <v>815</v>
      </c>
      <c r="E265" t="s">
        <v>830</v>
      </c>
      <c r="F265" t="s">
        <v>17</v>
      </c>
      <c r="G265">
        <v>2025</v>
      </c>
      <c r="H265">
        <v>8</v>
      </c>
      <c r="I265">
        <v>17</v>
      </c>
      <c r="J265">
        <v>8474</v>
      </c>
      <c r="K265">
        <v>0</v>
      </c>
      <c r="L265">
        <v>1</v>
      </c>
      <c r="M265">
        <v>141.19999999999999</v>
      </c>
      <c r="N265">
        <v>0</v>
      </c>
      <c r="O265">
        <v>8.3000000000000007</v>
      </c>
      <c r="P265">
        <v>128</v>
      </c>
      <c r="Q265" s="1" t="s">
        <v>234</v>
      </c>
    </row>
    <row r="266" spans="1:17" hidden="1" x14ac:dyDescent="0.45">
      <c r="A266">
        <v>1215081</v>
      </c>
      <c r="B266" t="s">
        <v>235</v>
      </c>
      <c r="C266" t="s">
        <v>1471</v>
      </c>
      <c r="D266" t="s">
        <v>1008</v>
      </c>
      <c r="E266" t="s">
        <v>1015</v>
      </c>
      <c r="F266" t="s">
        <v>17</v>
      </c>
      <c r="G266">
        <v>2025</v>
      </c>
      <c r="H266">
        <v>6</v>
      </c>
      <c r="I266">
        <v>20</v>
      </c>
      <c r="J266">
        <v>15285</v>
      </c>
      <c r="K266">
        <v>0</v>
      </c>
      <c r="L266">
        <v>2</v>
      </c>
      <c r="M266">
        <v>254.8</v>
      </c>
      <c r="N266">
        <v>0</v>
      </c>
      <c r="O266">
        <v>12.7</v>
      </c>
      <c r="P266">
        <v>144</v>
      </c>
      <c r="Q266" s="1" t="s">
        <v>236</v>
      </c>
    </row>
    <row r="267" spans="1:17" hidden="1" x14ac:dyDescent="0.45">
      <c r="A267">
        <v>1215081</v>
      </c>
      <c r="B267" t="s">
        <v>235</v>
      </c>
      <c r="C267" t="s">
        <v>1471</v>
      </c>
      <c r="D267" t="s">
        <v>1008</v>
      </c>
      <c r="E267" t="s">
        <v>1015</v>
      </c>
      <c r="F267" t="s">
        <v>17</v>
      </c>
      <c r="G267">
        <v>2025</v>
      </c>
      <c r="H267">
        <v>7</v>
      </c>
      <c r="I267">
        <v>18</v>
      </c>
      <c r="J267">
        <v>13313</v>
      </c>
      <c r="K267">
        <v>0</v>
      </c>
      <c r="L267">
        <v>2</v>
      </c>
      <c r="M267">
        <v>221.9</v>
      </c>
      <c r="N267">
        <v>0</v>
      </c>
      <c r="O267">
        <v>12.3</v>
      </c>
      <c r="P267">
        <v>128</v>
      </c>
      <c r="Q267">
        <v>93.9</v>
      </c>
    </row>
    <row r="268" spans="1:17" hidden="1" x14ac:dyDescent="0.45">
      <c r="A268">
        <v>1215081</v>
      </c>
      <c r="B268" t="s">
        <v>235</v>
      </c>
      <c r="C268" t="s">
        <v>1471</v>
      </c>
      <c r="D268" t="s">
        <v>1008</v>
      </c>
      <c r="E268" t="s">
        <v>1015</v>
      </c>
      <c r="F268" t="s">
        <v>17</v>
      </c>
      <c r="G268">
        <v>2025</v>
      </c>
      <c r="H268">
        <v>8</v>
      </c>
      <c r="I268">
        <v>16</v>
      </c>
      <c r="J268">
        <v>11549</v>
      </c>
      <c r="K268">
        <v>0</v>
      </c>
      <c r="L268">
        <v>0</v>
      </c>
      <c r="M268">
        <v>192.5</v>
      </c>
      <c r="N268">
        <v>0</v>
      </c>
      <c r="O268">
        <v>12</v>
      </c>
      <c r="P268">
        <v>128</v>
      </c>
      <c r="Q268">
        <v>64.5</v>
      </c>
    </row>
    <row r="269" spans="1:17" hidden="1" x14ac:dyDescent="0.45">
      <c r="A269">
        <v>1215084</v>
      </c>
      <c r="B269" t="s">
        <v>237</v>
      </c>
      <c r="C269" t="s">
        <v>1466</v>
      </c>
      <c r="D269" t="s">
        <v>718</v>
      </c>
      <c r="E269" t="s">
        <v>739</v>
      </c>
      <c r="F269" t="s">
        <v>17</v>
      </c>
      <c r="G269">
        <v>2025</v>
      </c>
      <c r="H269">
        <v>6</v>
      </c>
      <c r="I269">
        <v>2</v>
      </c>
      <c r="J269">
        <v>1093</v>
      </c>
      <c r="K269">
        <v>0</v>
      </c>
      <c r="L269">
        <v>0</v>
      </c>
      <c r="M269">
        <v>18.2</v>
      </c>
      <c r="N269">
        <v>0</v>
      </c>
      <c r="O269">
        <v>9.1</v>
      </c>
      <c r="P269">
        <v>16</v>
      </c>
      <c r="Q269" s="1" t="s">
        <v>238</v>
      </c>
    </row>
    <row r="270" spans="1:17" hidden="1" x14ac:dyDescent="0.45">
      <c r="A270">
        <v>1215084</v>
      </c>
      <c r="B270" t="s">
        <v>237</v>
      </c>
      <c r="C270" t="s">
        <v>1466</v>
      </c>
      <c r="D270" t="s">
        <v>718</v>
      </c>
      <c r="E270" t="s">
        <v>739</v>
      </c>
      <c r="F270" t="s">
        <v>17</v>
      </c>
      <c r="G270">
        <v>2025</v>
      </c>
      <c r="H270">
        <v>7</v>
      </c>
      <c r="I270">
        <v>7</v>
      </c>
      <c r="J270">
        <v>4072</v>
      </c>
      <c r="K270">
        <v>205</v>
      </c>
      <c r="L270">
        <v>0</v>
      </c>
      <c r="M270">
        <v>67.900000000000006</v>
      </c>
      <c r="N270">
        <v>3.4</v>
      </c>
      <c r="O270">
        <v>9.6999999999999993</v>
      </c>
      <c r="P270">
        <v>56</v>
      </c>
      <c r="Q270" s="1" t="s">
        <v>30</v>
      </c>
    </row>
    <row r="271" spans="1:17" hidden="1" x14ac:dyDescent="0.45">
      <c r="A271">
        <v>1215084</v>
      </c>
      <c r="B271" t="s">
        <v>237</v>
      </c>
      <c r="C271" t="s">
        <v>1466</v>
      </c>
      <c r="D271" t="s">
        <v>718</v>
      </c>
      <c r="E271" t="s">
        <v>739</v>
      </c>
      <c r="F271" t="s">
        <v>17</v>
      </c>
      <c r="G271">
        <v>2025</v>
      </c>
      <c r="H271">
        <v>8</v>
      </c>
      <c r="I271">
        <v>5</v>
      </c>
      <c r="J271">
        <v>2615</v>
      </c>
      <c r="K271">
        <v>105</v>
      </c>
      <c r="L271">
        <v>0</v>
      </c>
      <c r="M271">
        <v>43.6</v>
      </c>
      <c r="N271">
        <v>1.8</v>
      </c>
      <c r="O271">
        <v>8.6999999999999993</v>
      </c>
      <c r="P271">
        <v>40</v>
      </c>
      <c r="Q271" s="1" t="s">
        <v>239</v>
      </c>
    </row>
    <row r="272" spans="1:17" hidden="1" x14ac:dyDescent="0.45">
      <c r="A272">
        <v>1215086</v>
      </c>
      <c r="B272" t="s">
        <v>240</v>
      </c>
      <c r="C272" t="s">
        <v>1451</v>
      </c>
      <c r="D272" t="s">
        <v>718</v>
      </c>
      <c r="E272" t="s">
        <v>729</v>
      </c>
      <c r="F272" t="s">
        <v>17</v>
      </c>
      <c r="G272">
        <v>2025</v>
      </c>
      <c r="H272">
        <v>6</v>
      </c>
      <c r="I272">
        <v>21</v>
      </c>
      <c r="J272">
        <v>11986</v>
      </c>
      <c r="K272">
        <v>643</v>
      </c>
      <c r="L272">
        <v>2</v>
      </c>
      <c r="M272">
        <v>199.8</v>
      </c>
      <c r="N272">
        <v>10.7</v>
      </c>
      <c r="O272">
        <v>9.5</v>
      </c>
      <c r="P272">
        <v>152</v>
      </c>
      <c r="Q272" s="1" t="s">
        <v>101</v>
      </c>
    </row>
    <row r="273" spans="1:17" hidden="1" x14ac:dyDescent="0.45">
      <c r="A273">
        <v>1215086</v>
      </c>
      <c r="B273" t="s">
        <v>240</v>
      </c>
      <c r="C273" t="s">
        <v>1451</v>
      </c>
      <c r="D273" t="s">
        <v>718</v>
      </c>
      <c r="E273" t="s">
        <v>729</v>
      </c>
      <c r="F273" t="s">
        <v>17</v>
      </c>
      <c r="G273">
        <v>2025</v>
      </c>
      <c r="H273">
        <v>7</v>
      </c>
      <c r="I273">
        <v>21</v>
      </c>
      <c r="J273">
        <v>12253</v>
      </c>
      <c r="K273">
        <v>1064</v>
      </c>
      <c r="L273">
        <v>2</v>
      </c>
      <c r="M273">
        <v>204.2</v>
      </c>
      <c r="N273">
        <v>17.7</v>
      </c>
      <c r="O273">
        <v>9.6999999999999993</v>
      </c>
      <c r="P273">
        <v>152</v>
      </c>
      <c r="Q273" s="1" t="s">
        <v>241</v>
      </c>
    </row>
    <row r="274" spans="1:17" hidden="1" x14ac:dyDescent="0.45">
      <c r="A274">
        <v>1215086</v>
      </c>
      <c r="B274" t="s">
        <v>240</v>
      </c>
      <c r="C274" t="s">
        <v>1451</v>
      </c>
      <c r="D274" t="s">
        <v>718</v>
      </c>
      <c r="E274" t="s">
        <v>729</v>
      </c>
      <c r="F274" t="s">
        <v>17</v>
      </c>
      <c r="G274">
        <v>2025</v>
      </c>
      <c r="H274">
        <v>8</v>
      </c>
      <c r="I274">
        <v>16</v>
      </c>
      <c r="J274">
        <v>9533</v>
      </c>
      <c r="K274">
        <v>642</v>
      </c>
      <c r="L274">
        <v>0</v>
      </c>
      <c r="M274">
        <v>158.9</v>
      </c>
      <c r="N274">
        <v>10.7</v>
      </c>
      <c r="O274">
        <v>9.9</v>
      </c>
      <c r="P274">
        <v>128</v>
      </c>
      <c r="Q274" s="1" t="s">
        <v>242</v>
      </c>
    </row>
    <row r="275" spans="1:17" hidden="1" x14ac:dyDescent="0.45">
      <c r="A275">
        <v>1215098</v>
      </c>
      <c r="B275" t="s">
        <v>243</v>
      </c>
      <c r="C275" t="s">
        <v>1449</v>
      </c>
      <c r="D275" t="s">
        <v>815</v>
      </c>
      <c r="E275" t="s">
        <v>819</v>
      </c>
      <c r="F275" t="s">
        <v>116</v>
      </c>
      <c r="G275">
        <v>2025</v>
      </c>
      <c r="H275">
        <v>6</v>
      </c>
      <c r="I275">
        <v>20</v>
      </c>
      <c r="J275">
        <v>12620</v>
      </c>
      <c r="K275">
        <v>0</v>
      </c>
      <c r="L275">
        <v>4</v>
      </c>
      <c r="M275">
        <v>210.3</v>
      </c>
      <c r="N275">
        <v>0</v>
      </c>
      <c r="O275">
        <v>10.5</v>
      </c>
      <c r="P275">
        <v>128</v>
      </c>
      <c r="Q275" s="1" t="s">
        <v>244</v>
      </c>
    </row>
    <row r="276" spans="1:17" hidden="1" x14ac:dyDescent="0.45">
      <c r="A276">
        <v>1215098</v>
      </c>
      <c r="B276" t="s">
        <v>243</v>
      </c>
      <c r="C276" t="s">
        <v>1449</v>
      </c>
      <c r="D276" t="s">
        <v>815</v>
      </c>
      <c r="E276" t="s">
        <v>819</v>
      </c>
      <c r="F276" t="s">
        <v>116</v>
      </c>
      <c r="G276">
        <v>2025</v>
      </c>
      <c r="H276">
        <v>7</v>
      </c>
      <c r="I276">
        <v>11</v>
      </c>
      <c r="J276">
        <v>5547</v>
      </c>
      <c r="K276">
        <v>0</v>
      </c>
      <c r="L276">
        <v>1</v>
      </c>
      <c r="M276">
        <v>92.4</v>
      </c>
      <c r="N276">
        <v>0</v>
      </c>
      <c r="O276">
        <v>8.4</v>
      </c>
      <c r="P276">
        <v>80</v>
      </c>
      <c r="Q276" s="1" t="s">
        <v>245</v>
      </c>
    </row>
    <row r="277" spans="1:17" hidden="1" x14ac:dyDescent="0.45">
      <c r="A277">
        <v>1215098</v>
      </c>
      <c r="B277" t="s">
        <v>243</v>
      </c>
      <c r="C277" t="s">
        <v>1449</v>
      </c>
      <c r="D277" t="s">
        <v>815</v>
      </c>
      <c r="E277" t="s">
        <v>819</v>
      </c>
      <c r="F277" t="s">
        <v>116</v>
      </c>
      <c r="G277">
        <v>2025</v>
      </c>
      <c r="H277">
        <v>8</v>
      </c>
      <c r="I277">
        <v>5</v>
      </c>
      <c r="J277">
        <v>2458</v>
      </c>
      <c r="K277">
        <v>0</v>
      </c>
      <c r="L277">
        <v>0</v>
      </c>
      <c r="M277">
        <v>41</v>
      </c>
      <c r="N277">
        <v>0</v>
      </c>
      <c r="O277">
        <v>8.1999999999999993</v>
      </c>
      <c r="P277">
        <v>40</v>
      </c>
      <c r="Q277">
        <v>1</v>
      </c>
    </row>
    <row r="278" spans="1:17" hidden="1" x14ac:dyDescent="0.45">
      <c r="A278">
        <v>1215099</v>
      </c>
      <c r="B278" t="s">
        <v>246</v>
      </c>
      <c r="C278" t="s">
        <v>1454</v>
      </c>
      <c r="D278" t="s">
        <v>884</v>
      </c>
      <c r="E278" t="s">
        <v>885</v>
      </c>
      <c r="F278" t="s">
        <v>116</v>
      </c>
      <c r="G278">
        <v>2025</v>
      </c>
      <c r="H278">
        <v>6</v>
      </c>
      <c r="I278">
        <v>19</v>
      </c>
      <c r="J278">
        <v>10746</v>
      </c>
      <c r="K278">
        <v>40</v>
      </c>
      <c r="L278">
        <v>0</v>
      </c>
      <c r="M278">
        <v>179.1</v>
      </c>
      <c r="N278">
        <v>0.7</v>
      </c>
      <c r="O278">
        <v>9.4</v>
      </c>
      <c r="P278">
        <v>152</v>
      </c>
      <c r="Q278" s="1" t="s">
        <v>247</v>
      </c>
    </row>
    <row r="279" spans="1:17" hidden="1" x14ac:dyDescent="0.45">
      <c r="A279">
        <v>1215099</v>
      </c>
      <c r="B279" t="s">
        <v>246</v>
      </c>
      <c r="C279" t="s">
        <v>1454</v>
      </c>
      <c r="D279" t="s">
        <v>884</v>
      </c>
      <c r="E279" t="s">
        <v>885</v>
      </c>
      <c r="F279" t="s">
        <v>116</v>
      </c>
      <c r="G279">
        <v>2025</v>
      </c>
      <c r="H279">
        <v>7</v>
      </c>
      <c r="I279">
        <v>19</v>
      </c>
      <c r="J279">
        <v>10578</v>
      </c>
      <c r="K279">
        <v>44</v>
      </c>
      <c r="L279">
        <v>0</v>
      </c>
      <c r="M279">
        <v>176.3</v>
      </c>
      <c r="N279">
        <v>0.7</v>
      </c>
      <c r="O279">
        <v>9.3000000000000007</v>
      </c>
      <c r="P279">
        <v>152</v>
      </c>
      <c r="Q279" s="1" t="s">
        <v>248</v>
      </c>
    </row>
    <row r="280" spans="1:17" hidden="1" x14ac:dyDescent="0.45">
      <c r="A280">
        <v>1215099</v>
      </c>
      <c r="B280" t="s">
        <v>246</v>
      </c>
      <c r="C280" t="s">
        <v>1454</v>
      </c>
      <c r="D280" t="s">
        <v>884</v>
      </c>
      <c r="E280" t="s">
        <v>885</v>
      </c>
      <c r="F280" t="s">
        <v>116</v>
      </c>
      <c r="G280">
        <v>2025</v>
      </c>
      <c r="H280">
        <v>8</v>
      </c>
      <c r="I280">
        <v>17</v>
      </c>
      <c r="J280">
        <v>8424</v>
      </c>
      <c r="K280">
        <v>80</v>
      </c>
      <c r="L280">
        <v>1</v>
      </c>
      <c r="M280">
        <v>140.4</v>
      </c>
      <c r="N280">
        <v>1.3</v>
      </c>
      <c r="O280">
        <v>8.3000000000000007</v>
      </c>
      <c r="P280">
        <v>128</v>
      </c>
      <c r="Q280" s="1" t="s">
        <v>245</v>
      </c>
    </row>
    <row r="281" spans="1:17" hidden="1" x14ac:dyDescent="0.45">
      <c r="A281">
        <v>1215101</v>
      </c>
      <c r="B281" t="s">
        <v>249</v>
      </c>
      <c r="C281" t="s">
        <v>1463</v>
      </c>
      <c r="D281" t="s">
        <v>954</v>
      </c>
      <c r="E281" t="s">
        <v>956</v>
      </c>
      <c r="F281" t="s">
        <v>17</v>
      </c>
      <c r="G281">
        <v>2025</v>
      </c>
      <c r="H281">
        <v>6</v>
      </c>
      <c r="I281">
        <v>16</v>
      </c>
      <c r="J281">
        <v>10492</v>
      </c>
      <c r="K281">
        <v>0</v>
      </c>
      <c r="L281">
        <v>0</v>
      </c>
      <c r="M281">
        <v>174.9</v>
      </c>
      <c r="N281">
        <v>0</v>
      </c>
      <c r="O281">
        <v>10.9</v>
      </c>
      <c r="P281">
        <v>128</v>
      </c>
      <c r="Q281" s="1" t="s">
        <v>250</v>
      </c>
    </row>
    <row r="282" spans="1:17" hidden="1" x14ac:dyDescent="0.45">
      <c r="A282">
        <v>1215101</v>
      </c>
      <c r="B282" t="s">
        <v>249</v>
      </c>
      <c r="C282" t="s">
        <v>1463</v>
      </c>
      <c r="D282" t="s">
        <v>954</v>
      </c>
      <c r="E282" t="s">
        <v>956</v>
      </c>
      <c r="F282" t="s">
        <v>17</v>
      </c>
      <c r="G282">
        <v>2025</v>
      </c>
      <c r="H282">
        <v>7</v>
      </c>
      <c r="I282">
        <v>12</v>
      </c>
      <c r="J282">
        <v>8306</v>
      </c>
      <c r="K282">
        <v>0</v>
      </c>
      <c r="L282">
        <v>0</v>
      </c>
      <c r="M282">
        <v>138.4</v>
      </c>
      <c r="N282">
        <v>0</v>
      </c>
      <c r="O282">
        <v>11.5</v>
      </c>
      <c r="P282">
        <v>96</v>
      </c>
      <c r="Q282" s="1" t="s">
        <v>106</v>
      </c>
    </row>
    <row r="283" spans="1:17" hidden="1" x14ac:dyDescent="0.45">
      <c r="A283">
        <v>1215101</v>
      </c>
      <c r="B283" t="s">
        <v>249</v>
      </c>
      <c r="C283" t="s">
        <v>1463</v>
      </c>
      <c r="D283" t="s">
        <v>954</v>
      </c>
      <c r="E283" t="s">
        <v>956</v>
      </c>
      <c r="F283" t="s">
        <v>17</v>
      </c>
      <c r="G283">
        <v>2025</v>
      </c>
      <c r="H283">
        <v>8</v>
      </c>
      <c r="I283">
        <v>14</v>
      </c>
      <c r="J283">
        <v>8696</v>
      </c>
      <c r="K283">
        <v>0</v>
      </c>
      <c r="L283">
        <v>0</v>
      </c>
      <c r="M283">
        <v>144.9</v>
      </c>
      <c r="N283">
        <v>0</v>
      </c>
      <c r="O283">
        <v>10.4</v>
      </c>
      <c r="P283">
        <v>112</v>
      </c>
      <c r="Q283" s="1" t="s">
        <v>251</v>
      </c>
    </row>
    <row r="284" spans="1:17" hidden="1" x14ac:dyDescent="0.45">
      <c r="A284">
        <v>1215137</v>
      </c>
      <c r="B284" t="s">
        <v>252</v>
      </c>
      <c r="C284" t="s">
        <v>1470</v>
      </c>
      <c r="D284" t="s">
        <v>815</v>
      </c>
      <c r="E284" t="s">
        <v>821</v>
      </c>
      <c r="F284" t="s">
        <v>116</v>
      </c>
      <c r="G284">
        <v>2025</v>
      </c>
      <c r="H284">
        <v>6</v>
      </c>
      <c r="I284">
        <v>21</v>
      </c>
      <c r="J284">
        <v>11151</v>
      </c>
      <c r="K284">
        <v>0</v>
      </c>
      <c r="L284">
        <v>2</v>
      </c>
      <c r="M284">
        <v>185.8</v>
      </c>
      <c r="N284">
        <v>0</v>
      </c>
      <c r="O284">
        <v>8.8000000000000007</v>
      </c>
      <c r="P284">
        <v>152</v>
      </c>
      <c r="Q284" s="1" t="s">
        <v>253</v>
      </c>
    </row>
    <row r="285" spans="1:17" hidden="1" x14ac:dyDescent="0.45">
      <c r="A285">
        <v>1215137</v>
      </c>
      <c r="B285" t="s">
        <v>252</v>
      </c>
      <c r="C285" t="s">
        <v>1470</v>
      </c>
      <c r="D285" t="s">
        <v>815</v>
      </c>
      <c r="E285" t="s">
        <v>821</v>
      </c>
      <c r="F285" t="s">
        <v>116</v>
      </c>
      <c r="G285">
        <v>2025</v>
      </c>
      <c r="H285">
        <v>7</v>
      </c>
      <c r="I285">
        <v>16</v>
      </c>
      <c r="J285">
        <v>7376</v>
      </c>
      <c r="K285">
        <v>0</v>
      </c>
      <c r="L285">
        <v>3</v>
      </c>
      <c r="M285">
        <v>122.9</v>
      </c>
      <c r="N285">
        <v>0</v>
      </c>
      <c r="O285">
        <v>7.7</v>
      </c>
      <c r="P285">
        <v>104</v>
      </c>
      <c r="Q285" s="1" t="s">
        <v>205</v>
      </c>
    </row>
    <row r="286" spans="1:17" hidden="1" x14ac:dyDescent="0.45">
      <c r="A286">
        <v>1215137</v>
      </c>
      <c r="B286" t="s">
        <v>252</v>
      </c>
      <c r="C286" t="s">
        <v>1470</v>
      </c>
      <c r="D286" t="s">
        <v>815</v>
      </c>
      <c r="E286" t="s">
        <v>821</v>
      </c>
      <c r="F286" t="s">
        <v>116</v>
      </c>
      <c r="G286">
        <v>2025</v>
      </c>
      <c r="H286">
        <v>8</v>
      </c>
      <c r="I286">
        <v>19</v>
      </c>
      <c r="J286">
        <v>8091</v>
      </c>
      <c r="K286">
        <v>6</v>
      </c>
      <c r="L286">
        <v>4</v>
      </c>
      <c r="M286">
        <v>134.80000000000001</v>
      </c>
      <c r="N286">
        <v>0.1</v>
      </c>
      <c r="O286">
        <v>7.1</v>
      </c>
      <c r="P286">
        <v>120</v>
      </c>
      <c r="Q286" s="1" t="s">
        <v>254</v>
      </c>
    </row>
    <row r="287" spans="1:17" hidden="1" x14ac:dyDescent="0.45">
      <c r="A287">
        <v>1215138</v>
      </c>
      <c r="B287" t="s">
        <v>255</v>
      </c>
      <c r="C287" t="s">
        <v>1447</v>
      </c>
      <c r="D287" t="s">
        <v>938</v>
      </c>
      <c r="E287" t="s">
        <v>942</v>
      </c>
      <c r="F287" t="s">
        <v>116</v>
      </c>
      <c r="G287">
        <v>2025</v>
      </c>
      <c r="H287">
        <v>6</v>
      </c>
      <c r="I287">
        <v>16</v>
      </c>
      <c r="J287">
        <v>10055</v>
      </c>
      <c r="K287">
        <v>1124</v>
      </c>
      <c r="L287">
        <v>0</v>
      </c>
      <c r="M287">
        <v>167.6</v>
      </c>
      <c r="N287">
        <v>18.7</v>
      </c>
      <c r="O287">
        <v>10.5</v>
      </c>
      <c r="P287">
        <v>128</v>
      </c>
      <c r="Q287" s="1" t="s">
        <v>256</v>
      </c>
    </row>
    <row r="288" spans="1:17" hidden="1" x14ac:dyDescent="0.45">
      <c r="A288">
        <v>1215138</v>
      </c>
      <c r="B288" t="s">
        <v>255</v>
      </c>
      <c r="C288" t="s">
        <v>1447</v>
      </c>
      <c r="D288" t="s">
        <v>938</v>
      </c>
      <c r="E288" t="s">
        <v>942</v>
      </c>
      <c r="F288" t="s">
        <v>116</v>
      </c>
      <c r="G288">
        <v>2025</v>
      </c>
      <c r="H288">
        <v>7</v>
      </c>
      <c r="I288">
        <v>17</v>
      </c>
      <c r="J288">
        <v>10735</v>
      </c>
      <c r="K288">
        <v>1213</v>
      </c>
      <c r="L288">
        <v>0</v>
      </c>
      <c r="M288">
        <v>178.9</v>
      </c>
      <c r="N288">
        <v>20.2</v>
      </c>
      <c r="O288">
        <v>10.5</v>
      </c>
      <c r="P288">
        <v>136</v>
      </c>
      <c r="Q288" s="1" t="s">
        <v>257</v>
      </c>
    </row>
    <row r="289" spans="1:17" hidden="1" x14ac:dyDescent="0.45">
      <c r="A289">
        <v>1215138</v>
      </c>
      <c r="B289" t="s">
        <v>255</v>
      </c>
      <c r="C289" t="s">
        <v>1447</v>
      </c>
      <c r="D289" t="s">
        <v>938</v>
      </c>
      <c r="E289" t="s">
        <v>942</v>
      </c>
      <c r="F289" t="s">
        <v>116</v>
      </c>
      <c r="G289">
        <v>2025</v>
      </c>
      <c r="H289">
        <v>8</v>
      </c>
      <c r="I289">
        <v>15</v>
      </c>
      <c r="J289">
        <v>9548</v>
      </c>
      <c r="K289">
        <v>1449</v>
      </c>
      <c r="L289">
        <v>0</v>
      </c>
      <c r="M289">
        <v>159.1</v>
      </c>
      <c r="N289">
        <v>24.2</v>
      </c>
      <c r="O289">
        <v>10.6</v>
      </c>
      <c r="P289">
        <v>120</v>
      </c>
      <c r="Q289" s="1" t="s">
        <v>258</v>
      </c>
    </row>
    <row r="290" spans="1:17" hidden="1" x14ac:dyDescent="0.45">
      <c r="A290">
        <v>1215149</v>
      </c>
      <c r="B290" t="s">
        <v>259</v>
      </c>
      <c r="C290" t="s">
        <v>1468</v>
      </c>
      <c r="D290" t="s">
        <v>1008</v>
      </c>
      <c r="E290" t="s">
        <v>1010</v>
      </c>
      <c r="F290" t="s">
        <v>116</v>
      </c>
      <c r="G290">
        <v>2025</v>
      </c>
      <c r="H290">
        <v>6</v>
      </c>
      <c r="I290">
        <v>19</v>
      </c>
      <c r="J290">
        <v>11220</v>
      </c>
      <c r="K290">
        <v>0</v>
      </c>
      <c r="L290">
        <v>0</v>
      </c>
      <c r="M290">
        <v>187</v>
      </c>
      <c r="N290">
        <v>0</v>
      </c>
      <c r="O290">
        <v>9.8000000000000007</v>
      </c>
      <c r="P290">
        <v>152</v>
      </c>
      <c r="Q290">
        <v>35</v>
      </c>
    </row>
    <row r="291" spans="1:17" hidden="1" x14ac:dyDescent="0.45">
      <c r="A291">
        <v>1215149</v>
      </c>
      <c r="B291" t="s">
        <v>259</v>
      </c>
      <c r="C291" t="s">
        <v>1468</v>
      </c>
      <c r="D291" t="s">
        <v>1008</v>
      </c>
      <c r="E291" t="s">
        <v>1010</v>
      </c>
      <c r="F291" t="s">
        <v>116</v>
      </c>
      <c r="G291">
        <v>2025</v>
      </c>
      <c r="H291">
        <v>7</v>
      </c>
      <c r="I291">
        <v>19</v>
      </c>
      <c r="J291">
        <v>11380</v>
      </c>
      <c r="K291">
        <v>0</v>
      </c>
      <c r="L291">
        <v>0</v>
      </c>
      <c r="M291">
        <v>189.7</v>
      </c>
      <c r="N291">
        <v>0</v>
      </c>
      <c r="O291">
        <v>10</v>
      </c>
      <c r="P291">
        <v>152</v>
      </c>
      <c r="Q291" s="1" t="s">
        <v>260</v>
      </c>
    </row>
    <row r="292" spans="1:17" hidden="1" x14ac:dyDescent="0.45">
      <c r="A292">
        <v>1215149</v>
      </c>
      <c r="B292" t="s">
        <v>259</v>
      </c>
      <c r="C292" t="s">
        <v>1468</v>
      </c>
      <c r="D292" t="s">
        <v>1008</v>
      </c>
      <c r="E292" t="s">
        <v>1010</v>
      </c>
      <c r="F292" t="s">
        <v>116</v>
      </c>
      <c r="G292">
        <v>2025</v>
      </c>
      <c r="H292">
        <v>8</v>
      </c>
      <c r="I292">
        <v>16</v>
      </c>
      <c r="J292">
        <v>9049</v>
      </c>
      <c r="K292">
        <v>0</v>
      </c>
      <c r="L292">
        <v>0</v>
      </c>
      <c r="M292">
        <v>150.80000000000001</v>
      </c>
      <c r="N292">
        <v>0</v>
      </c>
      <c r="O292">
        <v>9.4</v>
      </c>
      <c r="P292">
        <v>128</v>
      </c>
      <c r="Q292" s="1" t="s">
        <v>261</v>
      </c>
    </row>
    <row r="293" spans="1:17" hidden="1" x14ac:dyDescent="0.45">
      <c r="A293">
        <v>1216011</v>
      </c>
      <c r="B293" t="s">
        <v>262</v>
      </c>
      <c r="C293" t="s">
        <v>1469</v>
      </c>
      <c r="D293" t="s">
        <v>815</v>
      </c>
      <c r="E293" t="s">
        <v>823</v>
      </c>
      <c r="F293" t="s">
        <v>116</v>
      </c>
      <c r="G293">
        <v>2025</v>
      </c>
      <c r="H293">
        <v>6</v>
      </c>
      <c r="I293">
        <v>15</v>
      </c>
      <c r="J293">
        <v>7885</v>
      </c>
      <c r="K293">
        <v>0</v>
      </c>
      <c r="L293">
        <v>0</v>
      </c>
      <c r="M293">
        <v>131.4</v>
      </c>
      <c r="N293">
        <v>0</v>
      </c>
      <c r="O293">
        <v>8.8000000000000007</v>
      </c>
      <c r="P293">
        <v>120</v>
      </c>
      <c r="Q293" s="1" t="s">
        <v>263</v>
      </c>
    </row>
    <row r="294" spans="1:17" hidden="1" x14ac:dyDescent="0.45">
      <c r="A294">
        <v>1216011</v>
      </c>
      <c r="B294" t="s">
        <v>262</v>
      </c>
      <c r="C294" t="s">
        <v>1469</v>
      </c>
      <c r="D294" t="s">
        <v>815</v>
      </c>
      <c r="E294" t="s">
        <v>823</v>
      </c>
      <c r="F294" t="s">
        <v>116</v>
      </c>
      <c r="G294">
        <v>2025</v>
      </c>
      <c r="H294">
        <v>7</v>
      </c>
      <c r="I294">
        <v>15</v>
      </c>
      <c r="J294">
        <v>8789</v>
      </c>
      <c r="K294">
        <v>0</v>
      </c>
      <c r="L294">
        <v>0</v>
      </c>
      <c r="M294">
        <v>146.5</v>
      </c>
      <c r="N294">
        <v>0</v>
      </c>
      <c r="O294">
        <v>9.8000000000000007</v>
      </c>
      <c r="P294">
        <v>120</v>
      </c>
      <c r="Q294">
        <v>26.5</v>
      </c>
    </row>
    <row r="295" spans="1:17" hidden="1" x14ac:dyDescent="0.45">
      <c r="A295">
        <v>1216011</v>
      </c>
      <c r="B295" t="s">
        <v>262</v>
      </c>
      <c r="C295" t="s">
        <v>1469</v>
      </c>
      <c r="D295" t="s">
        <v>815</v>
      </c>
      <c r="E295" t="s">
        <v>823</v>
      </c>
      <c r="F295" t="s">
        <v>116</v>
      </c>
      <c r="G295">
        <v>2025</v>
      </c>
      <c r="H295">
        <v>8</v>
      </c>
      <c r="I295">
        <v>14</v>
      </c>
      <c r="J295">
        <v>7967</v>
      </c>
      <c r="K295">
        <v>0</v>
      </c>
      <c r="L295">
        <v>0</v>
      </c>
      <c r="M295">
        <v>132.80000000000001</v>
      </c>
      <c r="N295">
        <v>0</v>
      </c>
      <c r="O295">
        <v>9.5</v>
      </c>
      <c r="P295">
        <v>112</v>
      </c>
      <c r="Q295" s="1" t="s">
        <v>264</v>
      </c>
    </row>
    <row r="296" spans="1:17" hidden="1" x14ac:dyDescent="0.45">
      <c r="A296">
        <v>1216012</v>
      </c>
      <c r="B296" t="s">
        <v>265</v>
      </c>
      <c r="C296" t="s">
        <v>1451</v>
      </c>
      <c r="D296" t="s">
        <v>718</v>
      </c>
      <c r="E296" t="s">
        <v>729</v>
      </c>
      <c r="F296" t="s">
        <v>116</v>
      </c>
      <c r="G296">
        <v>2025</v>
      </c>
      <c r="H296">
        <v>6</v>
      </c>
      <c r="I296">
        <v>17</v>
      </c>
      <c r="J296">
        <v>8662</v>
      </c>
      <c r="K296">
        <v>0</v>
      </c>
      <c r="L296">
        <v>0</v>
      </c>
      <c r="M296">
        <v>144.4</v>
      </c>
      <c r="N296">
        <v>0</v>
      </c>
      <c r="O296">
        <v>8.5</v>
      </c>
      <c r="P296">
        <v>136</v>
      </c>
      <c r="Q296" s="1" t="s">
        <v>266</v>
      </c>
    </row>
    <row r="297" spans="1:17" hidden="1" x14ac:dyDescent="0.45">
      <c r="A297">
        <v>1216012</v>
      </c>
      <c r="B297" t="s">
        <v>265</v>
      </c>
      <c r="C297" t="s">
        <v>1451</v>
      </c>
      <c r="D297" t="s">
        <v>718</v>
      </c>
      <c r="E297" t="s">
        <v>729</v>
      </c>
      <c r="F297" t="s">
        <v>116</v>
      </c>
      <c r="G297">
        <v>2025</v>
      </c>
      <c r="H297">
        <v>7</v>
      </c>
      <c r="I297">
        <v>17</v>
      </c>
      <c r="J297">
        <v>8859</v>
      </c>
      <c r="K297">
        <v>0</v>
      </c>
      <c r="L297">
        <v>0</v>
      </c>
      <c r="M297">
        <v>147.6</v>
      </c>
      <c r="N297">
        <v>0</v>
      </c>
      <c r="O297">
        <v>8.6999999999999993</v>
      </c>
      <c r="P297">
        <v>136</v>
      </c>
      <c r="Q297" s="1" t="s">
        <v>267</v>
      </c>
    </row>
    <row r="298" spans="1:17" hidden="1" x14ac:dyDescent="0.45">
      <c r="A298">
        <v>1216012</v>
      </c>
      <c r="B298" t="s">
        <v>265</v>
      </c>
      <c r="C298" t="s">
        <v>1451</v>
      </c>
      <c r="D298" t="s">
        <v>718</v>
      </c>
      <c r="E298" t="s">
        <v>729</v>
      </c>
      <c r="F298" t="s">
        <v>116</v>
      </c>
      <c r="G298">
        <v>2025</v>
      </c>
      <c r="H298">
        <v>8</v>
      </c>
      <c r="I298">
        <v>16</v>
      </c>
      <c r="J298">
        <v>8334</v>
      </c>
      <c r="K298">
        <v>0</v>
      </c>
      <c r="L298">
        <v>0</v>
      </c>
      <c r="M298">
        <v>138.9</v>
      </c>
      <c r="N298">
        <v>0</v>
      </c>
      <c r="O298">
        <v>8.6999999999999993</v>
      </c>
      <c r="P298">
        <v>128</v>
      </c>
      <c r="Q298" s="1" t="s">
        <v>268</v>
      </c>
    </row>
    <row r="299" spans="1:17" hidden="1" x14ac:dyDescent="0.45">
      <c r="A299">
        <v>1216022</v>
      </c>
      <c r="B299" t="s">
        <v>269</v>
      </c>
      <c r="C299" t="s">
        <v>1456</v>
      </c>
      <c r="D299" t="s">
        <v>906</v>
      </c>
      <c r="E299" t="s">
        <v>909</v>
      </c>
      <c r="F299" t="s">
        <v>171</v>
      </c>
      <c r="G299">
        <v>2025</v>
      </c>
      <c r="H299">
        <v>6</v>
      </c>
      <c r="I299">
        <v>19</v>
      </c>
      <c r="J299">
        <v>9678</v>
      </c>
      <c r="K299">
        <v>40</v>
      </c>
      <c r="L299">
        <v>0</v>
      </c>
      <c r="M299">
        <v>161.30000000000001</v>
      </c>
      <c r="N299">
        <v>0.7</v>
      </c>
      <c r="O299">
        <v>8.5</v>
      </c>
      <c r="P299">
        <v>152</v>
      </c>
      <c r="Q299" s="1" t="s">
        <v>270</v>
      </c>
    </row>
    <row r="300" spans="1:17" hidden="1" x14ac:dyDescent="0.45">
      <c r="A300">
        <v>1216022</v>
      </c>
      <c r="B300" t="s">
        <v>269</v>
      </c>
      <c r="C300" t="s">
        <v>1456</v>
      </c>
      <c r="D300" t="s">
        <v>906</v>
      </c>
      <c r="E300" t="s">
        <v>909</v>
      </c>
      <c r="F300" t="s">
        <v>171</v>
      </c>
      <c r="G300">
        <v>2025</v>
      </c>
      <c r="H300">
        <v>7</v>
      </c>
      <c r="I300">
        <v>18</v>
      </c>
      <c r="J300">
        <v>9615</v>
      </c>
      <c r="K300">
        <v>57</v>
      </c>
      <c r="L300">
        <v>0</v>
      </c>
      <c r="M300">
        <v>160.19999999999999</v>
      </c>
      <c r="N300">
        <v>1</v>
      </c>
      <c r="O300">
        <v>8.9</v>
      </c>
      <c r="P300">
        <v>144</v>
      </c>
      <c r="Q300" s="1" t="s">
        <v>271</v>
      </c>
    </row>
    <row r="301" spans="1:17" hidden="1" x14ac:dyDescent="0.45">
      <c r="A301">
        <v>1216022</v>
      </c>
      <c r="B301" t="s">
        <v>269</v>
      </c>
      <c r="C301" t="s">
        <v>1456</v>
      </c>
      <c r="D301" t="s">
        <v>906</v>
      </c>
      <c r="E301" t="s">
        <v>909</v>
      </c>
      <c r="F301" t="s">
        <v>171</v>
      </c>
      <c r="G301">
        <v>2025</v>
      </c>
      <c r="H301">
        <v>8</v>
      </c>
      <c r="I301">
        <v>13</v>
      </c>
      <c r="J301">
        <v>7549</v>
      </c>
      <c r="K301">
        <v>87</v>
      </c>
      <c r="L301">
        <v>0</v>
      </c>
      <c r="M301">
        <v>125.8</v>
      </c>
      <c r="N301">
        <v>1.4</v>
      </c>
      <c r="O301">
        <v>9.6999999999999993</v>
      </c>
      <c r="P301">
        <v>104</v>
      </c>
      <c r="Q301" s="1" t="s">
        <v>272</v>
      </c>
    </row>
    <row r="302" spans="1:17" hidden="1" x14ac:dyDescent="0.45">
      <c r="A302">
        <v>1216025</v>
      </c>
      <c r="B302" t="s">
        <v>273</v>
      </c>
      <c r="C302" t="s">
        <v>1466</v>
      </c>
      <c r="D302" t="s">
        <v>718</v>
      </c>
      <c r="E302" t="s">
        <v>739</v>
      </c>
      <c r="F302" t="s">
        <v>116</v>
      </c>
      <c r="G302">
        <v>2025</v>
      </c>
      <c r="H302">
        <v>6</v>
      </c>
      <c r="I302">
        <v>12</v>
      </c>
      <c r="J302">
        <v>6095</v>
      </c>
      <c r="K302">
        <v>0</v>
      </c>
      <c r="L302">
        <v>0</v>
      </c>
      <c r="M302">
        <v>101.6</v>
      </c>
      <c r="N302">
        <v>0</v>
      </c>
      <c r="O302">
        <v>8.5</v>
      </c>
      <c r="P302">
        <v>96</v>
      </c>
      <c r="Q302" s="1" t="s">
        <v>274</v>
      </c>
    </row>
    <row r="303" spans="1:17" hidden="1" x14ac:dyDescent="0.45">
      <c r="A303">
        <v>1216025</v>
      </c>
      <c r="B303" t="s">
        <v>273</v>
      </c>
      <c r="C303" t="s">
        <v>1466</v>
      </c>
      <c r="D303" t="s">
        <v>718</v>
      </c>
      <c r="E303" t="s">
        <v>739</v>
      </c>
      <c r="F303" t="s">
        <v>116</v>
      </c>
      <c r="G303">
        <v>2025</v>
      </c>
      <c r="H303">
        <v>7</v>
      </c>
      <c r="I303">
        <v>14</v>
      </c>
      <c r="J303">
        <v>5661</v>
      </c>
      <c r="K303">
        <v>0</v>
      </c>
      <c r="L303">
        <v>1</v>
      </c>
      <c r="M303">
        <v>94.4</v>
      </c>
      <c r="N303">
        <v>0</v>
      </c>
      <c r="O303">
        <v>6.7</v>
      </c>
      <c r="P303">
        <v>104</v>
      </c>
      <c r="Q303">
        <v>-9.6</v>
      </c>
    </row>
    <row r="304" spans="1:17" hidden="1" x14ac:dyDescent="0.45">
      <c r="A304">
        <v>1216025</v>
      </c>
      <c r="B304" t="s">
        <v>273</v>
      </c>
      <c r="C304" t="s">
        <v>1466</v>
      </c>
      <c r="D304" t="s">
        <v>718</v>
      </c>
      <c r="E304" t="s">
        <v>739</v>
      </c>
      <c r="F304" t="s">
        <v>116</v>
      </c>
      <c r="G304">
        <v>2025</v>
      </c>
      <c r="H304">
        <v>8</v>
      </c>
      <c r="I304">
        <v>6</v>
      </c>
      <c r="J304">
        <v>2968</v>
      </c>
      <c r="K304">
        <v>0</v>
      </c>
      <c r="L304">
        <v>0</v>
      </c>
      <c r="M304">
        <v>49.5</v>
      </c>
      <c r="N304">
        <v>0</v>
      </c>
      <c r="O304">
        <v>8.1999999999999993</v>
      </c>
      <c r="P304">
        <v>48</v>
      </c>
      <c r="Q304">
        <v>1.5</v>
      </c>
    </row>
    <row r="305" spans="1:17" hidden="1" x14ac:dyDescent="0.45">
      <c r="A305">
        <v>1216044</v>
      </c>
      <c r="B305" t="s">
        <v>275</v>
      </c>
      <c r="C305" t="s">
        <v>1447</v>
      </c>
      <c r="D305" t="s">
        <v>938</v>
      </c>
      <c r="E305" t="s">
        <v>942</v>
      </c>
      <c r="F305" t="s">
        <v>171</v>
      </c>
      <c r="G305">
        <v>2025</v>
      </c>
      <c r="H305">
        <v>6</v>
      </c>
      <c r="I305">
        <v>18</v>
      </c>
      <c r="J305">
        <v>11153</v>
      </c>
      <c r="K305">
        <v>562</v>
      </c>
      <c r="L305">
        <v>0</v>
      </c>
      <c r="M305">
        <v>185.9</v>
      </c>
      <c r="N305">
        <v>9.4</v>
      </c>
      <c r="O305">
        <v>10.3</v>
      </c>
      <c r="P305">
        <v>144</v>
      </c>
      <c r="Q305" s="1" t="s">
        <v>276</v>
      </c>
    </row>
    <row r="306" spans="1:17" hidden="1" x14ac:dyDescent="0.45">
      <c r="A306">
        <v>1216044</v>
      </c>
      <c r="B306" t="s">
        <v>275</v>
      </c>
      <c r="C306" t="s">
        <v>1447</v>
      </c>
      <c r="D306" t="s">
        <v>938</v>
      </c>
      <c r="E306" t="s">
        <v>942</v>
      </c>
      <c r="F306" t="s">
        <v>171</v>
      </c>
      <c r="G306">
        <v>2025</v>
      </c>
      <c r="H306">
        <v>7</v>
      </c>
      <c r="I306">
        <v>18</v>
      </c>
      <c r="J306">
        <v>10670</v>
      </c>
      <c r="K306">
        <v>400</v>
      </c>
      <c r="L306">
        <v>0</v>
      </c>
      <c r="M306">
        <v>177.8</v>
      </c>
      <c r="N306">
        <v>6.7</v>
      </c>
      <c r="O306">
        <v>9.9</v>
      </c>
      <c r="P306">
        <v>144</v>
      </c>
      <c r="Q306" s="1" t="s">
        <v>253</v>
      </c>
    </row>
    <row r="307" spans="1:17" hidden="1" x14ac:dyDescent="0.45">
      <c r="A307">
        <v>1216044</v>
      </c>
      <c r="B307" t="s">
        <v>275</v>
      </c>
      <c r="C307" t="s">
        <v>1447</v>
      </c>
      <c r="D307" t="s">
        <v>938</v>
      </c>
      <c r="E307" t="s">
        <v>942</v>
      </c>
      <c r="F307" t="s">
        <v>171</v>
      </c>
      <c r="G307">
        <v>2025</v>
      </c>
      <c r="H307">
        <v>8</v>
      </c>
      <c r="I307">
        <v>17</v>
      </c>
      <c r="J307">
        <v>9979</v>
      </c>
      <c r="K307">
        <v>615</v>
      </c>
      <c r="L307">
        <v>1</v>
      </c>
      <c r="M307">
        <v>166.3</v>
      </c>
      <c r="N307">
        <v>10.199999999999999</v>
      </c>
      <c r="O307">
        <v>9.8000000000000007</v>
      </c>
      <c r="P307">
        <v>128</v>
      </c>
      <c r="Q307" s="1" t="s">
        <v>277</v>
      </c>
    </row>
    <row r="308" spans="1:17" hidden="1" x14ac:dyDescent="0.45">
      <c r="A308">
        <v>1216071</v>
      </c>
      <c r="B308" t="s">
        <v>278</v>
      </c>
      <c r="C308" t="s">
        <v>1472</v>
      </c>
      <c r="D308" t="s">
        <v>1032</v>
      </c>
      <c r="E308" t="s">
        <v>1034</v>
      </c>
      <c r="F308" t="s">
        <v>17</v>
      </c>
      <c r="G308">
        <v>2025</v>
      </c>
      <c r="H308">
        <v>6</v>
      </c>
      <c r="I308">
        <v>28</v>
      </c>
      <c r="J308">
        <v>36492</v>
      </c>
      <c r="K308">
        <v>0</v>
      </c>
      <c r="L308">
        <v>7</v>
      </c>
      <c r="M308">
        <v>608.20000000000005</v>
      </c>
      <c r="N308">
        <v>0</v>
      </c>
      <c r="O308">
        <v>21.7</v>
      </c>
      <c r="P308">
        <v>168</v>
      </c>
      <c r="Q308" s="1" t="s">
        <v>279</v>
      </c>
    </row>
    <row r="309" spans="1:17" hidden="1" x14ac:dyDescent="0.45">
      <c r="A309">
        <v>1216071</v>
      </c>
      <c r="B309" t="s">
        <v>278</v>
      </c>
      <c r="C309" t="s">
        <v>1472</v>
      </c>
      <c r="D309" t="s">
        <v>1032</v>
      </c>
      <c r="E309" t="s">
        <v>1034</v>
      </c>
      <c r="F309" t="s">
        <v>17</v>
      </c>
      <c r="G309">
        <v>2025</v>
      </c>
      <c r="H309">
        <v>7</v>
      </c>
      <c r="I309">
        <v>29</v>
      </c>
      <c r="J309">
        <v>38092</v>
      </c>
      <c r="K309">
        <v>0</v>
      </c>
      <c r="L309">
        <v>8</v>
      </c>
      <c r="M309">
        <v>634.9</v>
      </c>
      <c r="N309">
        <v>0</v>
      </c>
      <c r="O309">
        <v>21.9</v>
      </c>
      <c r="P309">
        <v>168</v>
      </c>
      <c r="Q309">
        <v>466.9</v>
      </c>
    </row>
    <row r="310" spans="1:17" hidden="1" x14ac:dyDescent="0.45">
      <c r="A310">
        <v>1216071</v>
      </c>
      <c r="B310" t="s">
        <v>278</v>
      </c>
      <c r="C310" t="s">
        <v>1472</v>
      </c>
      <c r="D310" t="s">
        <v>1032</v>
      </c>
      <c r="E310" t="s">
        <v>1034</v>
      </c>
      <c r="F310" t="s">
        <v>17</v>
      </c>
      <c r="G310">
        <v>2025</v>
      </c>
      <c r="H310">
        <v>8</v>
      </c>
      <c r="I310">
        <v>20</v>
      </c>
      <c r="J310">
        <v>21299</v>
      </c>
      <c r="K310">
        <v>0</v>
      </c>
      <c r="L310">
        <v>4</v>
      </c>
      <c r="M310">
        <v>355</v>
      </c>
      <c r="N310">
        <v>0</v>
      </c>
      <c r="O310">
        <v>17.8</v>
      </c>
      <c r="P310">
        <v>128</v>
      </c>
      <c r="Q310">
        <v>227</v>
      </c>
    </row>
    <row r="311" spans="1:17" hidden="1" x14ac:dyDescent="0.45">
      <c r="A311">
        <v>1216118</v>
      </c>
      <c r="B311" t="s">
        <v>280</v>
      </c>
      <c r="C311" t="s">
        <v>1467</v>
      </c>
      <c r="D311" t="s">
        <v>999</v>
      </c>
      <c r="E311" t="s">
        <v>1001</v>
      </c>
      <c r="F311" t="s">
        <v>116</v>
      </c>
      <c r="G311">
        <v>2025</v>
      </c>
      <c r="H311">
        <v>6</v>
      </c>
      <c r="I311">
        <v>19</v>
      </c>
      <c r="J311">
        <v>11402</v>
      </c>
      <c r="K311">
        <v>0</v>
      </c>
      <c r="L311">
        <v>0</v>
      </c>
      <c r="M311">
        <v>190</v>
      </c>
      <c r="N311">
        <v>0</v>
      </c>
      <c r="O311">
        <v>10</v>
      </c>
      <c r="P311">
        <v>152</v>
      </c>
      <c r="Q311">
        <v>38</v>
      </c>
    </row>
    <row r="312" spans="1:17" hidden="1" x14ac:dyDescent="0.45">
      <c r="A312">
        <v>1216118</v>
      </c>
      <c r="B312" t="s">
        <v>280</v>
      </c>
      <c r="C312" t="s">
        <v>1467</v>
      </c>
      <c r="D312" t="s">
        <v>999</v>
      </c>
      <c r="E312" t="s">
        <v>1001</v>
      </c>
      <c r="F312" t="s">
        <v>116</v>
      </c>
      <c r="G312">
        <v>2025</v>
      </c>
      <c r="H312">
        <v>7</v>
      </c>
      <c r="I312">
        <v>25</v>
      </c>
      <c r="J312">
        <v>13660</v>
      </c>
      <c r="K312">
        <v>0</v>
      </c>
      <c r="L312">
        <v>3</v>
      </c>
      <c r="M312">
        <v>227.7</v>
      </c>
      <c r="N312">
        <v>0</v>
      </c>
      <c r="O312">
        <v>9.1</v>
      </c>
      <c r="P312">
        <v>176</v>
      </c>
      <c r="Q312" s="1" t="s">
        <v>281</v>
      </c>
    </row>
    <row r="313" spans="1:17" hidden="1" x14ac:dyDescent="0.45">
      <c r="A313">
        <v>1216118</v>
      </c>
      <c r="B313" t="s">
        <v>280</v>
      </c>
      <c r="C313" t="s">
        <v>1467</v>
      </c>
      <c r="D313" t="s">
        <v>999</v>
      </c>
      <c r="E313" t="s">
        <v>1001</v>
      </c>
      <c r="F313" t="s">
        <v>116</v>
      </c>
      <c r="G313">
        <v>2025</v>
      </c>
      <c r="H313">
        <v>8</v>
      </c>
      <c r="I313">
        <v>15</v>
      </c>
      <c r="J313">
        <v>8311</v>
      </c>
      <c r="K313">
        <v>0</v>
      </c>
      <c r="L313">
        <v>0</v>
      </c>
      <c r="M313">
        <v>138.5</v>
      </c>
      <c r="N313">
        <v>0</v>
      </c>
      <c r="O313">
        <v>9.1999999999999993</v>
      </c>
      <c r="P313">
        <v>120</v>
      </c>
      <c r="Q313">
        <v>18.5</v>
      </c>
    </row>
    <row r="314" spans="1:17" hidden="1" x14ac:dyDescent="0.45">
      <c r="A314">
        <v>1216119</v>
      </c>
      <c r="B314" t="s">
        <v>282</v>
      </c>
      <c r="C314" t="s">
        <v>1450</v>
      </c>
      <c r="D314" t="s">
        <v>718</v>
      </c>
      <c r="E314" t="s">
        <v>737</v>
      </c>
      <c r="F314" t="s">
        <v>116</v>
      </c>
      <c r="G314">
        <v>2025</v>
      </c>
      <c r="H314">
        <v>6</v>
      </c>
      <c r="I314">
        <v>21</v>
      </c>
      <c r="J314">
        <v>11226</v>
      </c>
      <c r="K314">
        <v>2031</v>
      </c>
      <c r="L314">
        <v>4</v>
      </c>
      <c r="M314">
        <v>187.1</v>
      </c>
      <c r="N314">
        <v>33.799999999999997</v>
      </c>
      <c r="O314">
        <v>8.9</v>
      </c>
      <c r="P314">
        <v>136</v>
      </c>
      <c r="Q314" s="1" t="s">
        <v>283</v>
      </c>
    </row>
    <row r="315" spans="1:17" hidden="1" x14ac:dyDescent="0.45">
      <c r="A315">
        <v>1216119</v>
      </c>
      <c r="B315" t="s">
        <v>282</v>
      </c>
      <c r="C315" t="s">
        <v>1450</v>
      </c>
      <c r="D315" t="s">
        <v>718</v>
      </c>
      <c r="E315" t="s">
        <v>737</v>
      </c>
      <c r="F315" t="s">
        <v>116</v>
      </c>
      <c r="G315">
        <v>2025</v>
      </c>
      <c r="H315">
        <v>7</v>
      </c>
      <c r="I315">
        <v>24</v>
      </c>
      <c r="J315">
        <v>15721</v>
      </c>
      <c r="K315">
        <v>2039</v>
      </c>
      <c r="L315">
        <v>4</v>
      </c>
      <c r="M315">
        <v>262</v>
      </c>
      <c r="N315">
        <v>34</v>
      </c>
      <c r="O315">
        <v>10.9</v>
      </c>
      <c r="P315">
        <v>160</v>
      </c>
      <c r="Q315">
        <v>102</v>
      </c>
    </row>
    <row r="316" spans="1:17" hidden="1" x14ac:dyDescent="0.45">
      <c r="A316">
        <v>1216119</v>
      </c>
      <c r="B316" t="s">
        <v>282</v>
      </c>
      <c r="C316" t="s">
        <v>1450</v>
      </c>
      <c r="D316" t="s">
        <v>718</v>
      </c>
      <c r="E316" t="s">
        <v>737</v>
      </c>
      <c r="F316" t="s">
        <v>116</v>
      </c>
      <c r="G316">
        <v>2025</v>
      </c>
      <c r="H316">
        <v>8</v>
      </c>
      <c r="I316">
        <v>20</v>
      </c>
      <c r="J316">
        <v>8498</v>
      </c>
      <c r="K316">
        <v>521</v>
      </c>
      <c r="L316">
        <v>4</v>
      </c>
      <c r="M316">
        <v>141.6</v>
      </c>
      <c r="N316">
        <v>8.6999999999999993</v>
      </c>
      <c r="O316">
        <v>7.1</v>
      </c>
      <c r="P316">
        <v>128</v>
      </c>
      <c r="Q316" s="1" t="s">
        <v>284</v>
      </c>
    </row>
    <row r="317" spans="1:17" hidden="1" x14ac:dyDescent="0.45">
      <c r="A317">
        <v>1216123</v>
      </c>
      <c r="B317" t="s">
        <v>285</v>
      </c>
      <c r="C317" t="s">
        <v>1459</v>
      </c>
      <c r="D317" t="s">
        <v>954</v>
      </c>
      <c r="E317" t="s">
        <v>962</v>
      </c>
      <c r="F317" t="s">
        <v>116</v>
      </c>
      <c r="G317">
        <v>2025</v>
      </c>
      <c r="H317">
        <v>6</v>
      </c>
      <c r="I317">
        <v>17</v>
      </c>
      <c r="J317">
        <v>11500</v>
      </c>
      <c r="K317">
        <v>2042</v>
      </c>
      <c r="L317">
        <v>0</v>
      </c>
      <c r="M317">
        <v>191.7</v>
      </c>
      <c r="N317">
        <v>34</v>
      </c>
      <c r="O317">
        <v>11.3</v>
      </c>
      <c r="P317">
        <v>136</v>
      </c>
      <c r="Q317" s="1" t="s">
        <v>286</v>
      </c>
    </row>
    <row r="318" spans="1:17" hidden="1" x14ac:dyDescent="0.45">
      <c r="A318">
        <v>1216123</v>
      </c>
      <c r="B318" t="s">
        <v>285</v>
      </c>
      <c r="C318" t="s">
        <v>1459</v>
      </c>
      <c r="D318" t="s">
        <v>954</v>
      </c>
      <c r="E318" t="s">
        <v>962</v>
      </c>
      <c r="F318" t="s">
        <v>116</v>
      </c>
      <c r="G318">
        <v>2025</v>
      </c>
      <c r="H318">
        <v>7</v>
      </c>
      <c r="I318">
        <v>17</v>
      </c>
      <c r="J318">
        <v>11367</v>
      </c>
      <c r="K318">
        <v>2316</v>
      </c>
      <c r="L318">
        <v>0</v>
      </c>
      <c r="M318">
        <v>189.4</v>
      </c>
      <c r="N318">
        <v>38.6</v>
      </c>
      <c r="O318">
        <v>11.1</v>
      </c>
      <c r="P318">
        <v>136</v>
      </c>
      <c r="Q318" s="1" t="s">
        <v>287</v>
      </c>
    </row>
    <row r="319" spans="1:17" hidden="1" x14ac:dyDescent="0.45">
      <c r="A319">
        <v>1216123</v>
      </c>
      <c r="B319" t="s">
        <v>285</v>
      </c>
      <c r="C319" t="s">
        <v>1459</v>
      </c>
      <c r="D319" t="s">
        <v>954</v>
      </c>
      <c r="E319" t="s">
        <v>962</v>
      </c>
      <c r="F319" t="s">
        <v>116</v>
      </c>
      <c r="G319">
        <v>2025</v>
      </c>
      <c r="H319">
        <v>8</v>
      </c>
      <c r="I319">
        <v>15</v>
      </c>
      <c r="J319">
        <v>10661</v>
      </c>
      <c r="K319">
        <v>2216</v>
      </c>
      <c r="L319">
        <v>0</v>
      </c>
      <c r="M319">
        <v>177.7</v>
      </c>
      <c r="N319">
        <v>36.9</v>
      </c>
      <c r="O319">
        <v>11.8</v>
      </c>
      <c r="P319">
        <v>120</v>
      </c>
      <c r="Q319" s="1" t="s">
        <v>288</v>
      </c>
    </row>
    <row r="320" spans="1:17" hidden="1" x14ac:dyDescent="0.45">
      <c r="A320">
        <v>1216125</v>
      </c>
      <c r="B320" t="s">
        <v>289</v>
      </c>
      <c r="C320" t="s">
        <v>1459</v>
      </c>
      <c r="D320" t="s">
        <v>954</v>
      </c>
      <c r="E320" t="s">
        <v>962</v>
      </c>
      <c r="F320" t="s">
        <v>116</v>
      </c>
      <c r="G320">
        <v>2025</v>
      </c>
      <c r="H320">
        <v>6</v>
      </c>
      <c r="I320">
        <v>19</v>
      </c>
      <c r="J320">
        <v>12514</v>
      </c>
      <c r="K320">
        <v>2192</v>
      </c>
      <c r="L320">
        <v>1</v>
      </c>
      <c r="M320">
        <v>208.6</v>
      </c>
      <c r="N320">
        <v>36.5</v>
      </c>
      <c r="O320">
        <v>11</v>
      </c>
      <c r="P320">
        <v>144</v>
      </c>
      <c r="Q320">
        <v>64.599999999999994</v>
      </c>
    </row>
    <row r="321" spans="1:17" hidden="1" x14ac:dyDescent="0.45">
      <c r="A321">
        <v>1216125</v>
      </c>
      <c r="B321" t="s">
        <v>289</v>
      </c>
      <c r="C321" t="s">
        <v>1459</v>
      </c>
      <c r="D321" t="s">
        <v>954</v>
      </c>
      <c r="E321" t="s">
        <v>962</v>
      </c>
      <c r="F321" t="s">
        <v>116</v>
      </c>
      <c r="G321">
        <v>2025</v>
      </c>
      <c r="H321">
        <v>7</v>
      </c>
      <c r="I321">
        <v>17</v>
      </c>
      <c r="J321">
        <v>12135</v>
      </c>
      <c r="K321">
        <v>2101</v>
      </c>
      <c r="L321">
        <v>0</v>
      </c>
      <c r="M321">
        <v>202.2</v>
      </c>
      <c r="N321">
        <v>35</v>
      </c>
      <c r="O321">
        <v>11.9</v>
      </c>
      <c r="P321">
        <v>136</v>
      </c>
      <c r="Q321" s="1" t="s">
        <v>290</v>
      </c>
    </row>
    <row r="322" spans="1:17" hidden="1" x14ac:dyDescent="0.45">
      <c r="A322">
        <v>1216125</v>
      </c>
      <c r="B322" t="s">
        <v>289</v>
      </c>
      <c r="C322" t="s">
        <v>1459</v>
      </c>
      <c r="D322" t="s">
        <v>954</v>
      </c>
      <c r="E322" t="s">
        <v>962</v>
      </c>
      <c r="F322" t="s">
        <v>116</v>
      </c>
      <c r="G322">
        <v>2025</v>
      </c>
      <c r="H322">
        <v>8</v>
      </c>
      <c r="I322">
        <v>16</v>
      </c>
      <c r="J322">
        <v>10927</v>
      </c>
      <c r="K322">
        <v>1773</v>
      </c>
      <c r="L322">
        <v>0</v>
      </c>
      <c r="M322">
        <v>182.1</v>
      </c>
      <c r="N322">
        <v>29.6</v>
      </c>
      <c r="O322">
        <v>11.4</v>
      </c>
      <c r="P322">
        <v>128</v>
      </c>
      <c r="Q322" s="1" t="s">
        <v>291</v>
      </c>
    </row>
    <row r="323" spans="1:17" hidden="1" x14ac:dyDescent="0.45">
      <c r="A323">
        <v>1216132</v>
      </c>
      <c r="B323" t="s">
        <v>292</v>
      </c>
      <c r="C323" t="s">
        <v>1462</v>
      </c>
      <c r="D323" t="s">
        <v>718</v>
      </c>
      <c r="E323" t="s">
        <v>741</v>
      </c>
      <c r="F323" t="s">
        <v>17</v>
      </c>
      <c r="G323">
        <v>2025</v>
      </c>
      <c r="H323">
        <v>6</v>
      </c>
      <c r="I323">
        <v>20</v>
      </c>
      <c r="J323">
        <v>17305</v>
      </c>
      <c r="K323">
        <v>0</v>
      </c>
      <c r="L323">
        <v>3</v>
      </c>
      <c r="M323">
        <v>288.39999999999998</v>
      </c>
      <c r="N323">
        <v>0</v>
      </c>
      <c r="O323">
        <v>14.4</v>
      </c>
      <c r="P323">
        <v>136</v>
      </c>
      <c r="Q323" s="1" t="s">
        <v>293</v>
      </c>
    </row>
    <row r="324" spans="1:17" hidden="1" x14ac:dyDescent="0.45">
      <c r="A324">
        <v>1216132</v>
      </c>
      <c r="B324" t="s">
        <v>292</v>
      </c>
      <c r="C324" t="s">
        <v>1462</v>
      </c>
      <c r="D324" t="s">
        <v>718</v>
      </c>
      <c r="E324" t="s">
        <v>741</v>
      </c>
      <c r="F324" t="s">
        <v>17</v>
      </c>
      <c r="G324">
        <v>2025</v>
      </c>
      <c r="H324">
        <v>7</v>
      </c>
      <c r="I324">
        <v>18</v>
      </c>
      <c r="J324">
        <v>13192</v>
      </c>
      <c r="K324">
        <v>0</v>
      </c>
      <c r="L324">
        <v>0</v>
      </c>
      <c r="M324">
        <v>219.9</v>
      </c>
      <c r="N324">
        <v>0</v>
      </c>
      <c r="O324">
        <v>12.2</v>
      </c>
      <c r="P324">
        <v>144</v>
      </c>
      <c r="Q324">
        <v>75.900000000000006</v>
      </c>
    </row>
    <row r="325" spans="1:17" hidden="1" x14ac:dyDescent="0.45">
      <c r="A325">
        <v>1216132</v>
      </c>
      <c r="B325" t="s">
        <v>292</v>
      </c>
      <c r="C325" t="s">
        <v>1462</v>
      </c>
      <c r="D325" t="s">
        <v>718</v>
      </c>
      <c r="E325" t="s">
        <v>741</v>
      </c>
      <c r="F325" t="s">
        <v>17</v>
      </c>
      <c r="G325">
        <v>2025</v>
      </c>
      <c r="H325">
        <v>8</v>
      </c>
      <c r="I325">
        <v>15</v>
      </c>
      <c r="J325">
        <v>10460</v>
      </c>
      <c r="K325">
        <v>0</v>
      </c>
      <c r="L325">
        <v>0</v>
      </c>
      <c r="M325">
        <v>174.3</v>
      </c>
      <c r="N325">
        <v>0</v>
      </c>
      <c r="O325">
        <v>11.6</v>
      </c>
      <c r="P325">
        <v>120</v>
      </c>
      <c r="Q325" s="1" t="s">
        <v>294</v>
      </c>
    </row>
    <row r="326" spans="1:17" hidden="1" x14ac:dyDescent="0.45">
      <c r="A326">
        <v>1216155</v>
      </c>
      <c r="B326" t="s">
        <v>295</v>
      </c>
      <c r="C326" t="s">
        <v>1454</v>
      </c>
      <c r="D326" t="s">
        <v>884</v>
      </c>
      <c r="E326" t="s">
        <v>885</v>
      </c>
      <c r="F326" t="s">
        <v>171</v>
      </c>
      <c r="G326">
        <v>2025</v>
      </c>
      <c r="H326">
        <v>6</v>
      </c>
      <c r="I326">
        <v>18</v>
      </c>
      <c r="J326">
        <v>10111</v>
      </c>
      <c r="K326">
        <v>28</v>
      </c>
      <c r="L326">
        <v>0</v>
      </c>
      <c r="M326">
        <v>168.5</v>
      </c>
      <c r="N326">
        <v>0.5</v>
      </c>
      <c r="O326">
        <v>9.4</v>
      </c>
      <c r="P326">
        <v>144</v>
      </c>
      <c r="Q326">
        <v>24.5</v>
      </c>
    </row>
    <row r="327" spans="1:17" hidden="1" x14ac:dyDescent="0.45">
      <c r="A327">
        <v>1216155</v>
      </c>
      <c r="B327" t="s">
        <v>295</v>
      </c>
      <c r="C327" t="s">
        <v>1454</v>
      </c>
      <c r="D327" t="s">
        <v>884</v>
      </c>
      <c r="E327" t="s">
        <v>885</v>
      </c>
      <c r="F327" t="s">
        <v>171</v>
      </c>
      <c r="G327">
        <v>2025</v>
      </c>
      <c r="H327">
        <v>7</v>
      </c>
      <c r="I327">
        <v>17</v>
      </c>
      <c r="J327">
        <v>9344</v>
      </c>
      <c r="K327">
        <v>0</v>
      </c>
      <c r="L327">
        <v>0</v>
      </c>
      <c r="M327">
        <v>155.69999999999999</v>
      </c>
      <c r="N327">
        <v>0</v>
      </c>
      <c r="O327">
        <v>9.1999999999999993</v>
      </c>
      <c r="P327">
        <v>136</v>
      </c>
      <c r="Q327" s="1" t="s">
        <v>296</v>
      </c>
    </row>
    <row r="328" spans="1:17" hidden="1" x14ac:dyDescent="0.45">
      <c r="A328">
        <v>1216155</v>
      </c>
      <c r="B328" t="s">
        <v>295</v>
      </c>
      <c r="C328" t="s">
        <v>1454</v>
      </c>
      <c r="D328" t="s">
        <v>884</v>
      </c>
      <c r="E328" t="s">
        <v>885</v>
      </c>
      <c r="F328" t="s">
        <v>171</v>
      </c>
      <c r="G328">
        <v>2025</v>
      </c>
      <c r="H328">
        <v>8</v>
      </c>
      <c r="I328">
        <v>16</v>
      </c>
      <c r="J328">
        <v>8377</v>
      </c>
      <c r="K328">
        <v>0</v>
      </c>
      <c r="L328">
        <v>0</v>
      </c>
      <c r="M328">
        <v>139.6</v>
      </c>
      <c r="N328">
        <v>0</v>
      </c>
      <c r="O328">
        <v>8.6999999999999993</v>
      </c>
      <c r="P328">
        <v>128</v>
      </c>
      <c r="Q328" s="1" t="s">
        <v>267</v>
      </c>
    </row>
    <row r="329" spans="1:17" hidden="1" x14ac:dyDescent="0.45">
      <c r="A329">
        <v>1216179</v>
      </c>
      <c r="B329" t="s">
        <v>297</v>
      </c>
      <c r="C329" t="s">
        <v>1473</v>
      </c>
      <c r="D329" t="s">
        <v>718</v>
      </c>
      <c r="E329" t="s">
        <v>731</v>
      </c>
      <c r="F329" t="s">
        <v>17</v>
      </c>
      <c r="G329">
        <v>2025</v>
      </c>
      <c r="H329">
        <v>6</v>
      </c>
      <c r="I329">
        <v>17</v>
      </c>
      <c r="J329">
        <v>9955</v>
      </c>
      <c r="K329">
        <v>0</v>
      </c>
      <c r="L329">
        <v>0</v>
      </c>
      <c r="M329">
        <v>165.9</v>
      </c>
      <c r="N329">
        <v>0</v>
      </c>
      <c r="O329">
        <v>9.8000000000000007</v>
      </c>
      <c r="P329">
        <v>136</v>
      </c>
      <c r="Q329" s="1" t="s">
        <v>298</v>
      </c>
    </row>
    <row r="330" spans="1:17" hidden="1" x14ac:dyDescent="0.45">
      <c r="A330">
        <v>1216179</v>
      </c>
      <c r="B330" t="s">
        <v>297</v>
      </c>
      <c r="C330" t="s">
        <v>1473</v>
      </c>
      <c r="D330" t="s">
        <v>718</v>
      </c>
      <c r="E330" t="s">
        <v>731</v>
      </c>
      <c r="F330" t="s">
        <v>17</v>
      </c>
      <c r="G330">
        <v>2025</v>
      </c>
      <c r="H330">
        <v>7</v>
      </c>
      <c r="I330">
        <v>19</v>
      </c>
      <c r="J330">
        <v>11135</v>
      </c>
      <c r="K330">
        <v>0</v>
      </c>
      <c r="L330">
        <v>0</v>
      </c>
      <c r="M330">
        <v>185.6</v>
      </c>
      <c r="N330">
        <v>0</v>
      </c>
      <c r="O330">
        <v>9.8000000000000007</v>
      </c>
      <c r="P330">
        <v>152</v>
      </c>
      <c r="Q330" s="1" t="s">
        <v>299</v>
      </c>
    </row>
    <row r="331" spans="1:17" hidden="1" x14ac:dyDescent="0.45">
      <c r="A331">
        <v>1216179</v>
      </c>
      <c r="B331" t="s">
        <v>297</v>
      </c>
      <c r="C331" t="s">
        <v>1473</v>
      </c>
      <c r="D331" t="s">
        <v>718</v>
      </c>
      <c r="E331" t="s">
        <v>731</v>
      </c>
      <c r="F331" t="s">
        <v>17</v>
      </c>
      <c r="G331">
        <v>2025</v>
      </c>
      <c r="H331">
        <v>8</v>
      </c>
      <c r="I331">
        <v>15</v>
      </c>
      <c r="J331">
        <v>8199</v>
      </c>
      <c r="K331">
        <v>0</v>
      </c>
      <c r="L331">
        <v>0</v>
      </c>
      <c r="M331">
        <v>136.6</v>
      </c>
      <c r="N331">
        <v>0</v>
      </c>
      <c r="O331">
        <v>9.1</v>
      </c>
      <c r="P331">
        <v>120</v>
      </c>
      <c r="Q331" s="1" t="s">
        <v>300</v>
      </c>
    </row>
    <row r="332" spans="1:17" hidden="1" x14ac:dyDescent="0.45">
      <c r="A332">
        <v>1216181</v>
      </c>
      <c r="B332" t="s">
        <v>301</v>
      </c>
      <c r="C332" t="s">
        <v>1464</v>
      </c>
      <c r="D332" t="s">
        <v>815</v>
      </c>
      <c r="E332" t="s">
        <v>835</v>
      </c>
      <c r="F332" t="s">
        <v>171</v>
      </c>
      <c r="G332">
        <v>2025</v>
      </c>
      <c r="H332">
        <v>6</v>
      </c>
      <c r="I332">
        <v>17</v>
      </c>
      <c r="J332">
        <v>9113</v>
      </c>
      <c r="K332">
        <v>0</v>
      </c>
      <c r="L332">
        <v>0</v>
      </c>
      <c r="M332">
        <v>151.9</v>
      </c>
      <c r="N332">
        <v>0</v>
      </c>
      <c r="O332">
        <v>8.9</v>
      </c>
      <c r="P332">
        <v>136</v>
      </c>
      <c r="Q332" s="1" t="s">
        <v>302</v>
      </c>
    </row>
    <row r="333" spans="1:17" hidden="1" x14ac:dyDescent="0.45">
      <c r="A333">
        <v>1216181</v>
      </c>
      <c r="B333" t="s">
        <v>301</v>
      </c>
      <c r="C333" t="s">
        <v>1464</v>
      </c>
      <c r="D333" t="s">
        <v>815</v>
      </c>
      <c r="E333" t="s">
        <v>835</v>
      </c>
      <c r="F333" t="s">
        <v>171</v>
      </c>
      <c r="G333">
        <v>2025</v>
      </c>
      <c r="H333">
        <v>7</v>
      </c>
      <c r="I333">
        <v>18</v>
      </c>
      <c r="J333">
        <v>9828</v>
      </c>
      <c r="K333">
        <v>0</v>
      </c>
      <c r="L333">
        <v>0</v>
      </c>
      <c r="M333">
        <v>163.80000000000001</v>
      </c>
      <c r="N333">
        <v>0</v>
      </c>
      <c r="O333">
        <v>9.1</v>
      </c>
      <c r="P333">
        <v>144</v>
      </c>
      <c r="Q333" s="1" t="s">
        <v>303</v>
      </c>
    </row>
    <row r="334" spans="1:17" hidden="1" x14ac:dyDescent="0.45">
      <c r="A334">
        <v>1216181</v>
      </c>
      <c r="B334" t="s">
        <v>301</v>
      </c>
      <c r="C334" t="s">
        <v>1464</v>
      </c>
      <c r="D334" t="s">
        <v>815</v>
      </c>
      <c r="E334" t="s">
        <v>835</v>
      </c>
      <c r="F334" t="s">
        <v>171</v>
      </c>
      <c r="G334">
        <v>2025</v>
      </c>
      <c r="H334">
        <v>8</v>
      </c>
      <c r="I334">
        <v>16</v>
      </c>
      <c r="J334">
        <v>8304</v>
      </c>
      <c r="K334">
        <v>0</v>
      </c>
      <c r="L334">
        <v>0</v>
      </c>
      <c r="M334">
        <v>138.4</v>
      </c>
      <c r="N334">
        <v>0</v>
      </c>
      <c r="O334">
        <v>8.6</v>
      </c>
      <c r="P334">
        <v>128</v>
      </c>
      <c r="Q334" s="1" t="s">
        <v>304</v>
      </c>
    </row>
    <row r="335" spans="1:17" hidden="1" x14ac:dyDescent="0.45">
      <c r="A335">
        <v>1216192</v>
      </c>
      <c r="B335" t="s">
        <v>305</v>
      </c>
      <c r="C335" t="s">
        <v>1469</v>
      </c>
      <c r="D335" t="s">
        <v>815</v>
      </c>
      <c r="E335" t="s">
        <v>823</v>
      </c>
      <c r="F335" t="s">
        <v>17</v>
      </c>
      <c r="G335">
        <v>2025</v>
      </c>
      <c r="H335">
        <v>6</v>
      </c>
      <c r="I335">
        <v>19</v>
      </c>
      <c r="J335">
        <v>9941</v>
      </c>
      <c r="K335">
        <v>0</v>
      </c>
      <c r="L335">
        <v>0</v>
      </c>
      <c r="M335">
        <v>165.7</v>
      </c>
      <c r="N335">
        <v>0</v>
      </c>
      <c r="O335">
        <v>8.6999999999999993</v>
      </c>
      <c r="P335">
        <v>152</v>
      </c>
      <c r="Q335" s="1" t="s">
        <v>306</v>
      </c>
    </row>
    <row r="336" spans="1:17" hidden="1" x14ac:dyDescent="0.45">
      <c r="A336">
        <v>1216192</v>
      </c>
      <c r="B336" t="s">
        <v>305</v>
      </c>
      <c r="C336" t="s">
        <v>1469</v>
      </c>
      <c r="D336" t="s">
        <v>815</v>
      </c>
      <c r="E336" t="s">
        <v>823</v>
      </c>
      <c r="F336" t="s">
        <v>17</v>
      </c>
      <c r="G336">
        <v>2025</v>
      </c>
      <c r="H336">
        <v>7</v>
      </c>
      <c r="I336">
        <v>18</v>
      </c>
      <c r="J336">
        <v>9309</v>
      </c>
      <c r="K336">
        <v>0</v>
      </c>
      <c r="L336">
        <v>0</v>
      </c>
      <c r="M336">
        <v>155.19999999999999</v>
      </c>
      <c r="N336">
        <v>0</v>
      </c>
      <c r="O336">
        <v>8.6</v>
      </c>
      <c r="P336">
        <v>144</v>
      </c>
      <c r="Q336" s="1" t="s">
        <v>65</v>
      </c>
    </row>
    <row r="337" spans="1:17" hidden="1" x14ac:dyDescent="0.45">
      <c r="A337">
        <v>1216192</v>
      </c>
      <c r="B337" t="s">
        <v>305</v>
      </c>
      <c r="C337" t="s">
        <v>1469</v>
      </c>
      <c r="D337" t="s">
        <v>815</v>
      </c>
      <c r="E337" t="s">
        <v>823</v>
      </c>
      <c r="F337" t="s">
        <v>17</v>
      </c>
      <c r="G337">
        <v>2025</v>
      </c>
      <c r="H337">
        <v>8</v>
      </c>
      <c r="I337">
        <v>16</v>
      </c>
      <c r="J337">
        <v>8017</v>
      </c>
      <c r="K337">
        <v>0</v>
      </c>
      <c r="L337">
        <v>0</v>
      </c>
      <c r="M337">
        <v>133.6</v>
      </c>
      <c r="N337">
        <v>0</v>
      </c>
      <c r="O337">
        <v>8.4</v>
      </c>
      <c r="P337">
        <v>128</v>
      </c>
      <c r="Q337" s="1" t="s">
        <v>274</v>
      </c>
    </row>
    <row r="338" spans="1:17" hidden="1" x14ac:dyDescent="0.45">
      <c r="A338">
        <v>1217012</v>
      </c>
      <c r="B338" t="s">
        <v>307</v>
      </c>
      <c r="C338" t="s">
        <v>1466</v>
      </c>
      <c r="D338" t="s">
        <v>718</v>
      </c>
      <c r="E338" t="s">
        <v>743</v>
      </c>
      <c r="F338" t="s">
        <v>116</v>
      </c>
      <c r="G338">
        <v>2025</v>
      </c>
      <c r="H338">
        <v>6</v>
      </c>
      <c r="I338">
        <v>29</v>
      </c>
      <c r="J338">
        <v>34101</v>
      </c>
      <c r="K338">
        <v>0</v>
      </c>
      <c r="L338">
        <v>8</v>
      </c>
      <c r="M338">
        <v>568.4</v>
      </c>
      <c r="N338">
        <v>0</v>
      </c>
      <c r="O338">
        <v>19.600000000000001</v>
      </c>
      <c r="P338">
        <v>168</v>
      </c>
      <c r="Q338">
        <v>400.4</v>
      </c>
    </row>
    <row r="339" spans="1:17" hidden="1" x14ac:dyDescent="0.45">
      <c r="A339">
        <v>1217012</v>
      </c>
      <c r="B339" t="s">
        <v>307</v>
      </c>
      <c r="C339" t="s">
        <v>1466</v>
      </c>
      <c r="D339" t="s">
        <v>718</v>
      </c>
      <c r="E339" t="s">
        <v>743</v>
      </c>
      <c r="F339" t="s">
        <v>116</v>
      </c>
      <c r="G339">
        <v>2025</v>
      </c>
      <c r="H339">
        <v>7</v>
      </c>
      <c r="I339">
        <v>23</v>
      </c>
      <c r="J339">
        <v>28672</v>
      </c>
      <c r="K339">
        <v>0</v>
      </c>
      <c r="L339">
        <v>3</v>
      </c>
      <c r="M339">
        <v>477.9</v>
      </c>
      <c r="N339">
        <v>0</v>
      </c>
      <c r="O339">
        <v>20.8</v>
      </c>
      <c r="P339">
        <v>160</v>
      </c>
      <c r="Q339">
        <v>317.89999999999998</v>
      </c>
    </row>
    <row r="340" spans="1:17" hidden="1" x14ac:dyDescent="0.45">
      <c r="A340">
        <v>1217012</v>
      </c>
      <c r="B340" t="s">
        <v>307</v>
      </c>
      <c r="C340" t="s">
        <v>1466</v>
      </c>
      <c r="D340" t="s">
        <v>718</v>
      </c>
      <c r="E340" t="s">
        <v>743</v>
      </c>
      <c r="F340" t="s">
        <v>116</v>
      </c>
      <c r="G340">
        <v>2025</v>
      </c>
      <c r="H340">
        <v>8</v>
      </c>
      <c r="I340">
        <v>22</v>
      </c>
      <c r="J340">
        <v>29369</v>
      </c>
      <c r="K340">
        <v>0</v>
      </c>
      <c r="L340">
        <v>6</v>
      </c>
      <c r="M340">
        <v>489.5</v>
      </c>
      <c r="N340">
        <v>0</v>
      </c>
      <c r="O340">
        <v>22.2</v>
      </c>
      <c r="P340">
        <v>128</v>
      </c>
      <c r="Q340">
        <v>361.5</v>
      </c>
    </row>
    <row r="341" spans="1:17" hidden="1" x14ac:dyDescent="0.45">
      <c r="A341">
        <v>1217016</v>
      </c>
      <c r="B341" t="s">
        <v>308</v>
      </c>
      <c r="C341" t="s">
        <v>1457</v>
      </c>
      <c r="D341" t="s">
        <v>929</v>
      </c>
      <c r="E341" t="s">
        <v>931</v>
      </c>
      <c r="F341" t="s">
        <v>116</v>
      </c>
      <c r="G341">
        <v>2025</v>
      </c>
      <c r="H341">
        <v>6</v>
      </c>
      <c r="I341">
        <v>18</v>
      </c>
      <c r="J341">
        <v>10693</v>
      </c>
      <c r="K341">
        <v>394</v>
      </c>
      <c r="L341">
        <v>0</v>
      </c>
      <c r="M341">
        <v>178.2</v>
      </c>
      <c r="N341">
        <v>6.6</v>
      </c>
      <c r="O341">
        <v>9.9</v>
      </c>
      <c r="P341">
        <v>144</v>
      </c>
      <c r="Q341" s="1" t="s">
        <v>309</v>
      </c>
    </row>
    <row r="342" spans="1:17" hidden="1" x14ac:dyDescent="0.45">
      <c r="A342">
        <v>1217016</v>
      </c>
      <c r="B342" t="s">
        <v>308</v>
      </c>
      <c r="C342" t="s">
        <v>1457</v>
      </c>
      <c r="D342" t="s">
        <v>929</v>
      </c>
      <c r="E342" t="s">
        <v>931</v>
      </c>
      <c r="F342" t="s">
        <v>116</v>
      </c>
      <c r="G342">
        <v>2025</v>
      </c>
      <c r="H342">
        <v>7</v>
      </c>
      <c r="I342">
        <v>18</v>
      </c>
      <c r="J342">
        <v>10616</v>
      </c>
      <c r="K342">
        <v>662</v>
      </c>
      <c r="L342">
        <v>0</v>
      </c>
      <c r="M342">
        <v>176.9</v>
      </c>
      <c r="N342">
        <v>11</v>
      </c>
      <c r="O342">
        <v>9.8000000000000007</v>
      </c>
      <c r="P342">
        <v>144</v>
      </c>
      <c r="Q342" s="1" t="s">
        <v>251</v>
      </c>
    </row>
    <row r="343" spans="1:17" hidden="1" x14ac:dyDescent="0.45">
      <c r="A343">
        <v>1217016</v>
      </c>
      <c r="B343" t="s">
        <v>308</v>
      </c>
      <c r="C343" t="s">
        <v>1457</v>
      </c>
      <c r="D343" t="s">
        <v>929</v>
      </c>
      <c r="E343" t="s">
        <v>931</v>
      </c>
      <c r="F343" t="s">
        <v>116</v>
      </c>
      <c r="G343">
        <v>2025</v>
      </c>
      <c r="H343">
        <v>8</v>
      </c>
      <c r="I343">
        <v>16</v>
      </c>
      <c r="J343">
        <v>8823</v>
      </c>
      <c r="K343">
        <v>707</v>
      </c>
      <c r="L343">
        <v>0</v>
      </c>
      <c r="M343">
        <v>147</v>
      </c>
      <c r="N343">
        <v>11.8</v>
      </c>
      <c r="O343">
        <v>9.1999999999999993</v>
      </c>
      <c r="P343">
        <v>128</v>
      </c>
      <c r="Q343">
        <v>19</v>
      </c>
    </row>
    <row r="344" spans="1:17" hidden="1" x14ac:dyDescent="0.45">
      <c r="A344">
        <v>1217023</v>
      </c>
      <c r="B344" t="s">
        <v>310</v>
      </c>
      <c r="C344" t="s">
        <v>1466</v>
      </c>
      <c r="D344" t="s">
        <v>718</v>
      </c>
      <c r="E344" t="s">
        <v>739</v>
      </c>
      <c r="F344" t="s">
        <v>116</v>
      </c>
      <c r="G344">
        <v>2025</v>
      </c>
      <c r="H344">
        <v>7</v>
      </c>
      <c r="I344">
        <v>4</v>
      </c>
      <c r="J344">
        <v>2055</v>
      </c>
      <c r="K344">
        <v>0</v>
      </c>
      <c r="L344">
        <v>0</v>
      </c>
      <c r="M344">
        <v>34.200000000000003</v>
      </c>
      <c r="N344">
        <v>0</v>
      </c>
      <c r="O344">
        <v>8.6</v>
      </c>
      <c r="P344">
        <v>32</v>
      </c>
      <c r="Q344" s="1" t="s">
        <v>311</v>
      </c>
    </row>
    <row r="345" spans="1:17" hidden="1" x14ac:dyDescent="0.45">
      <c r="A345">
        <v>1217029</v>
      </c>
      <c r="B345" t="s">
        <v>312</v>
      </c>
      <c r="C345" t="s">
        <v>1444</v>
      </c>
      <c r="D345" t="s">
        <v>718</v>
      </c>
      <c r="E345" t="s">
        <v>731</v>
      </c>
      <c r="F345" t="s">
        <v>17</v>
      </c>
      <c r="G345">
        <v>2025</v>
      </c>
      <c r="H345">
        <v>6</v>
      </c>
      <c r="I345">
        <v>17</v>
      </c>
      <c r="J345">
        <v>9860</v>
      </c>
      <c r="K345">
        <v>0</v>
      </c>
      <c r="L345">
        <v>0</v>
      </c>
      <c r="M345">
        <v>164.3</v>
      </c>
      <c r="N345">
        <v>0</v>
      </c>
      <c r="O345">
        <v>9.6999999999999993</v>
      </c>
      <c r="P345">
        <v>136</v>
      </c>
      <c r="Q345" s="1" t="s">
        <v>161</v>
      </c>
    </row>
    <row r="346" spans="1:17" hidden="1" x14ac:dyDescent="0.45">
      <c r="A346">
        <v>1217029</v>
      </c>
      <c r="B346" t="s">
        <v>312</v>
      </c>
      <c r="C346" t="s">
        <v>1444</v>
      </c>
      <c r="D346" t="s">
        <v>718</v>
      </c>
      <c r="E346" t="s">
        <v>731</v>
      </c>
      <c r="F346" t="s">
        <v>17</v>
      </c>
      <c r="G346">
        <v>2025</v>
      </c>
      <c r="H346">
        <v>7</v>
      </c>
      <c r="I346">
        <v>18</v>
      </c>
      <c r="J346">
        <v>10416</v>
      </c>
      <c r="K346">
        <v>0</v>
      </c>
      <c r="L346">
        <v>0</v>
      </c>
      <c r="M346">
        <v>173.6</v>
      </c>
      <c r="N346">
        <v>0</v>
      </c>
      <c r="O346">
        <v>9.6</v>
      </c>
      <c r="P346">
        <v>144</v>
      </c>
      <c r="Q346" s="1" t="s">
        <v>126</v>
      </c>
    </row>
    <row r="347" spans="1:17" hidden="1" x14ac:dyDescent="0.45">
      <c r="A347">
        <v>1217029</v>
      </c>
      <c r="B347" t="s">
        <v>312</v>
      </c>
      <c r="C347" t="s">
        <v>1444</v>
      </c>
      <c r="D347" t="s">
        <v>718</v>
      </c>
      <c r="E347" t="s">
        <v>731</v>
      </c>
      <c r="F347" t="s">
        <v>17</v>
      </c>
      <c r="G347">
        <v>2025</v>
      </c>
      <c r="H347">
        <v>8</v>
      </c>
      <c r="I347">
        <v>14</v>
      </c>
      <c r="J347">
        <v>7740</v>
      </c>
      <c r="K347">
        <v>0</v>
      </c>
      <c r="L347">
        <v>0</v>
      </c>
      <c r="M347">
        <v>129</v>
      </c>
      <c r="N347">
        <v>0</v>
      </c>
      <c r="O347">
        <v>9.1999999999999993</v>
      </c>
      <c r="P347">
        <v>112</v>
      </c>
      <c r="Q347">
        <v>17</v>
      </c>
    </row>
    <row r="348" spans="1:17" hidden="1" x14ac:dyDescent="0.45">
      <c r="A348">
        <v>1217043</v>
      </c>
      <c r="B348" t="s">
        <v>313</v>
      </c>
      <c r="C348" t="s">
        <v>1457</v>
      </c>
      <c r="D348" t="s">
        <v>929</v>
      </c>
      <c r="E348" t="s">
        <v>931</v>
      </c>
      <c r="F348" t="s">
        <v>116</v>
      </c>
      <c r="G348">
        <v>2025</v>
      </c>
      <c r="H348">
        <v>6</v>
      </c>
      <c r="I348">
        <v>18</v>
      </c>
      <c r="J348">
        <v>10508</v>
      </c>
      <c r="K348">
        <v>515</v>
      </c>
      <c r="L348">
        <v>0</v>
      </c>
      <c r="M348">
        <v>175.1</v>
      </c>
      <c r="N348">
        <v>8.6</v>
      </c>
      <c r="O348">
        <v>9.6999999999999993</v>
      </c>
      <c r="P348">
        <v>144</v>
      </c>
      <c r="Q348" s="1" t="s">
        <v>314</v>
      </c>
    </row>
    <row r="349" spans="1:17" hidden="1" x14ac:dyDescent="0.45">
      <c r="A349">
        <v>1217043</v>
      </c>
      <c r="B349" t="s">
        <v>313</v>
      </c>
      <c r="C349" t="s">
        <v>1457</v>
      </c>
      <c r="D349" t="s">
        <v>929</v>
      </c>
      <c r="E349" t="s">
        <v>931</v>
      </c>
      <c r="F349" t="s">
        <v>116</v>
      </c>
      <c r="G349">
        <v>2025</v>
      </c>
      <c r="H349">
        <v>7</v>
      </c>
      <c r="I349">
        <v>19</v>
      </c>
      <c r="J349">
        <v>11107</v>
      </c>
      <c r="K349">
        <v>1305</v>
      </c>
      <c r="L349">
        <v>1</v>
      </c>
      <c r="M349">
        <v>185.1</v>
      </c>
      <c r="N349">
        <v>21.8</v>
      </c>
      <c r="O349">
        <v>9.6999999999999993</v>
      </c>
      <c r="P349">
        <v>144</v>
      </c>
      <c r="Q349" s="1" t="s">
        <v>315</v>
      </c>
    </row>
    <row r="350" spans="1:17" hidden="1" x14ac:dyDescent="0.45">
      <c r="A350">
        <v>1217043</v>
      </c>
      <c r="B350" t="s">
        <v>313</v>
      </c>
      <c r="C350" t="s">
        <v>1457</v>
      </c>
      <c r="D350" t="s">
        <v>929</v>
      </c>
      <c r="E350" t="s">
        <v>931</v>
      </c>
      <c r="F350" t="s">
        <v>116</v>
      </c>
      <c r="G350">
        <v>2025</v>
      </c>
      <c r="H350">
        <v>8</v>
      </c>
      <c r="I350">
        <v>15</v>
      </c>
      <c r="J350">
        <v>7892</v>
      </c>
      <c r="K350">
        <v>304</v>
      </c>
      <c r="L350">
        <v>0</v>
      </c>
      <c r="M350">
        <v>131.5</v>
      </c>
      <c r="N350">
        <v>5.0999999999999996</v>
      </c>
      <c r="O350">
        <v>8.8000000000000007</v>
      </c>
      <c r="P350">
        <v>120</v>
      </c>
      <c r="Q350">
        <v>11.5</v>
      </c>
    </row>
    <row r="351" spans="1:17" hidden="1" x14ac:dyDescent="0.45">
      <c r="A351">
        <v>1217067</v>
      </c>
      <c r="B351" t="s">
        <v>316</v>
      </c>
      <c r="C351" t="s">
        <v>1474</v>
      </c>
      <c r="D351" t="s">
        <v>710</v>
      </c>
      <c r="E351" t="s">
        <v>710</v>
      </c>
      <c r="F351" t="s">
        <v>171</v>
      </c>
      <c r="G351">
        <v>2025</v>
      </c>
      <c r="H351">
        <v>6</v>
      </c>
      <c r="I351">
        <v>16</v>
      </c>
      <c r="J351">
        <v>8238</v>
      </c>
      <c r="K351">
        <v>0</v>
      </c>
      <c r="L351">
        <v>0</v>
      </c>
      <c r="M351">
        <v>137.30000000000001</v>
      </c>
      <c r="N351">
        <v>0</v>
      </c>
      <c r="O351">
        <v>8.6</v>
      </c>
      <c r="P351">
        <v>128</v>
      </c>
      <c r="Q351" s="1" t="s">
        <v>270</v>
      </c>
    </row>
    <row r="352" spans="1:17" hidden="1" x14ac:dyDescent="0.45">
      <c r="A352">
        <v>1217067</v>
      </c>
      <c r="B352" t="s">
        <v>316</v>
      </c>
      <c r="C352" t="s">
        <v>1474</v>
      </c>
      <c r="D352" t="s">
        <v>710</v>
      </c>
      <c r="E352" t="s">
        <v>710</v>
      </c>
      <c r="F352" t="s">
        <v>171</v>
      </c>
      <c r="G352">
        <v>2025</v>
      </c>
      <c r="H352">
        <v>7</v>
      </c>
      <c r="I352">
        <v>19</v>
      </c>
      <c r="J352">
        <v>10666</v>
      </c>
      <c r="K352">
        <v>158</v>
      </c>
      <c r="L352">
        <v>0</v>
      </c>
      <c r="M352">
        <v>177.8</v>
      </c>
      <c r="N352">
        <v>2.6</v>
      </c>
      <c r="O352">
        <v>9.4</v>
      </c>
      <c r="P352">
        <v>152</v>
      </c>
      <c r="Q352" s="1" t="s">
        <v>86</v>
      </c>
    </row>
    <row r="353" spans="1:17" hidden="1" x14ac:dyDescent="0.45">
      <c r="A353">
        <v>1217067</v>
      </c>
      <c r="B353" t="s">
        <v>316</v>
      </c>
      <c r="C353" t="s">
        <v>1474</v>
      </c>
      <c r="D353" t="s">
        <v>710</v>
      </c>
      <c r="E353" t="s">
        <v>710</v>
      </c>
      <c r="F353" t="s">
        <v>171</v>
      </c>
      <c r="G353">
        <v>2025</v>
      </c>
      <c r="H353">
        <v>8</v>
      </c>
      <c r="I353">
        <v>16</v>
      </c>
      <c r="J353">
        <v>8285</v>
      </c>
      <c r="K353">
        <v>0</v>
      </c>
      <c r="L353">
        <v>0</v>
      </c>
      <c r="M353">
        <v>138.1</v>
      </c>
      <c r="N353">
        <v>0</v>
      </c>
      <c r="O353">
        <v>8.6</v>
      </c>
      <c r="P353">
        <v>128</v>
      </c>
      <c r="Q353" s="1" t="s">
        <v>152</v>
      </c>
    </row>
    <row r="354" spans="1:17" hidden="1" x14ac:dyDescent="0.45">
      <c r="A354">
        <v>1217068</v>
      </c>
      <c r="B354" t="s">
        <v>317</v>
      </c>
      <c r="C354" t="s">
        <v>1466</v>
      </c>
      <c r="D354" t="s">
        <v>718</v>
      </c>
      <c r="E354" t="s">
        <v>739</v>
      </c>
      <c r="F354" t="s">
        <v>116</v>
      </c>
      <c r="G354">
        <v>2025</v>
      </c>
      <c r="H354">
        <v>6</v>
      </c>
      <c r="I354">
        <v>26</v>
      </c>
      <c r="J354">
        <v>28507</v>
      </c>
      <c r="K354">
        <v>3151</v>
      </c>
      <c r="L354">
        <v>5</v>
      </c>
      <c r="M354">
        <v>475.1</v>
      </c>
      <c r="N354">
        <v>52.5</v>
      </c>
      <c r="O354">
        <v>18.3</v>
      </c>
      <c r="P354">
        <v>168</v>
      </c>
      <c r="Q354">
        <v>307.10000000000002</v>
      </c>
    </row>
    <row r="355" spans="1:17" hidden="1" x14ac:dyDescent="0.45">
      <c r="A355">
        <v>1217068</v>
      </c>
      <c r="B355" t="s">
        <v>317</v>
      </c>
      <c r="C355" t="s">
        <v>1466</v>
      </c>
      <c r="D355" t="s">
        <v>718</v>
      </c>
      <c r="E355" t="s">
        <v>739</v>
      </c>
      <c r="F355" t="s">
        <v>116</v>
      </c>
      <c r="G355">
        <v>2025</v>
      </c>
      <c r="H355">
        <v>7</v>
      </c>
      <c r="I355">
        <v>22</v>
      </c>
      <c r="J355">
        <v>19798</v>
      </c>
      <c r="K355">
        <v>2843</v>
      </c>
      <c r="L355">
        <v>3</v>
      </c>
      <c r="M355">
        <v>330</v>
      </c>
      <c r="N355">
        <v>47.4</v>
      </c>
      <c r="O355">
        <v>15</v>
      </c>
      <c r="P355">
        <v>152</v>
      </c>
      <c r="Q355">
        <v>178</v>
      </c>
    </row>
    <row r="356" spans="1:17" hidden="1" x14ac:dyDescent="0.45">
      <c r="A356">
        <v>1217068</v>
      </c>
      <c r="B356" t="s">
        <v>317</v>
      </c>
      <c r="C356" t="s">
        <v>1466</v>
      </c>
      <c r="D356" t="s">
        <v>718</v>
      </c>
      <c r="E356" t="s">
        <v>739</v>
      </c>
      <c r="F356" t="s">
        <v>116</v>
      </c>
      <c r="G356">
        <v>2025</v>
      </c>
      <c r="H356">
        <v>8</v>
      </c>
      <c r="I356">
        <v>17</v>
      </c>
      <c r="J356">
        <v>11916</v>
      </c>
      <c r="K356">
        <v>1771</v>
      </c>
      <c r="L356">
        <v>0</v>
      </c>
      <c r="M356">
        <v>198.6</v>
      </c>
      <c r="N356">
        <v>29.5</v>
      </c>
      <c r="O356">
        <v>11.7</v>
      </c>
      <c r="P356">
        <v>136</v>
      </c>
      <c r="Q356" s="1" t="s">
        <v>318</v>
      </c>
    </row>
    <row r="357" spans="1:17" hidden="1" x14ac:dyDescent="0.45">
      <c r="A357">
        <v>1218006</v>
      </c>
      <c r="B357" t="s">
        <v>319</v>
      </c>
      <c r="C357" t="s">
        <v>1466</v>
      </c>
      <c r="D357" t="s">
        <v>718</v>
      </c>
      <c r="E357" t="s">
        <v>739</v>
      </c>
      <c r="F357" t="s">
        <v>116</v>
      </c>
      <c r="G357">
        <v>2025</v>
      </c>
      <c r="H357">
        <v>6</v>
      </c>
      <c r="I357">
        <v>7</v>
      </c>
      <c r="J357">
        <v>2960</v>
      </c>
      <c r="K357">
        <v>0</v>
      </c>
      <c r="L357">
        <v>0</v>
      </c>
      <c r="M357">
        <v>49.3</v>
      </c>
      <c r="N357">
        <v>0</v>
      </c>
      <c r="O357">
        <v>7</v>
      </c>
      <c r="P357">
        <v>56</v>
      </c>
      <c r="Q357">
        <v>-6.7</v>
      </c>
    </row>
    <row r="358" spans="1:17" hidden="1" x14ac:dyDescent="0.45">
      <c r="A358">
        <v>1218006</v>
      </c>
      <c r="B358" t="s">
        <v>319</v>
      </c>
      <c r="C358" t="s">
        <v>1466</v>
      </c>
      <c r="D358" t="s">
        <v>718</v>
      </c>
      <c r="E358" t="s">
        <v>739</v>
      </c>
      <c r="F358" t="s">
        <v>116</v>
      </c>
      <c r="G358">
        <v>2025</v>
      </c>
      <c r="H358">
        <v>7</v>
      </c>
      <c r="I358">
        <v>13</v>
      </c>
      <c r="J358">
        <v>6565</v>
      </c>
      <c r="K358">
        <v>0</v>
      </c>
      <c r="L358">
        <v>1</v>
      </c>
      <c r="M358">
        <v>109.4</v>
      </c>
      <c r="N358">
        <v>0</v>
      </c>
      <c r="O358">
        <v>8.4</v>
      </c>
      <c r="P358">
        <v>96</v>
      </c>
      <c r="Q358" s="1" t="s">
        <v>320</v>
      </c>
    </row>
    <row r="359" spans="1:17" hidden="1" x14ac:dyDescent="0.45">
      <c r="A359">
        <v>1218006</v>
      </c>
      <c r="B359" t="s">
        <v>319</v>
      </c>
      <c r="C359" t="s">
        <v>1466</v>
      </c>
      <c r="D359" t="s">
        <v>718</v>
      </c>
      <c r="E359" t="s">
        <v>739</v>
      </c>
      <c r="F359" t="s">
        <v>116</v>
      </c>
      <c r="G359">
        <v>2025</v>
      </c>
      <c r="H359">
        <v>8</v>
      </c>
      <c r="I359">
        <v>11</v>
      </c>
      <c r="J359">
        <v>4715</v>
      </c>
      <c r="K359">
        <v>0</v>
      </c>
      <c r="L359">
        <v>0</v>
      </c>
      <c r="M359">
        <v>78.599999999999994</v>
      </c>
      <c r="N359">
        <v>0</v>
      </c>
      <c r="O359">
        <v>7.1</v>
      </c>
      <c r="P359">
        <v>88</v>
      </c>
      <c r="Q359">
        <v>-9.4</v>
      </c>
    </row>
    <row r="360" spans="1:17" hidden="1" x14ac:dyDescent="0.45">
      <c r="A360">
        <v>1218008</v>
      </c>
      <c r="B360" t="s">
        <v>321</v>
      </c>
      <c r="C360" t="s">
        <v>1462</v>
      </c>
      <c r="D360" t="s">
        <v>718</v>
      </c>
      <c r="E360" t="s">
        <v>737</v>
      </c>
      <c r="F360" t="s">
        <v>17</v>
      </c>
      <c r="G360">
        <v>2025</v>
      </c>
      <c r="H360">
        <v>6</v>
      </c>
      <c r="I360">
        <v>17</v>
      </c>
      <c r="J360">
        <v>8427</v>
      </c>
      <c r="K360">
        <v>120</v>
      </c>
      <c r="L360">
        <v>0</v>
      </c>
      <c r="M360">
        <v>140.4</v>
      </c>
      <c r="N360">
        <v>2</v>
      </c>
      <c r="O360">
        <v>8.3000000000000007</v>
      </c>
      <c r="P360">
        <v>136</v>
      </c>
      <c r="Q360" s="1" t="s">
        <v>322</v>
      </c>
    </row>
    <row r="361" spans="1:17" hidden="1" x14ac:dyDescent="0.45">
      <c r="A361">
        <v>1218008</v>
      </c>
      <c r="B361" t="s">
        <v>321</v>
      </c>
      <c r="C361" t="s">
        <v>1462</v>
      </c>
      <c r="D361" t="s">
        <v>718</v>
      </c>
      <c r="E361" t="s">
        <v>737</v>
      </c>
      <c r="F361" t="s">
        <v>17</v>
      </c>
      <c r="G361">
        <v>2025</v>
      </c>
      <c r="H361">
        <v>7</v>
      </c>
      <c r="I361">
        <v>16</v>
      </c>
      <c r="J361">
        <v>8913</v>
      </c>
      <c r="K361">
        <v>0</v>
      </c>
      <c r="L361">
        <v>0</v>
      </c>
      <c r="M361">
        <v>148.6</v>
      </c>
      <c r="N361">
        <v>0</v>
      </c>
      <c r="O361">
        <v>9.3000000000000007</v>
      </c>
      <c r="P361">
        <v>128</v>
      </c>
      <c r="Q361" s="1" t="s">
        <v>150</v>
      </c>
    </row>
    <row r="362" spans="1:17" hidden="1" x14ac:dyDescent="0.45">
      <c r="A362">
        <v>1218008</v>
      </c>
      <c r="B362" t="s">
        <v>321</v>
      </c>
      <c r="C362" t="s">
        <v>1462</v>
      </c>
      <c r="D362" t="s">
        <v>718</v>
      </c>
      <c r="E362" t="s">
        <v>737</v>
      </c>
      <c r="F362" t="s">
        <v>17</v>
      </c>
      <c r="G362">
        <v>2025</v>
      </c>
      <c r="H362">
        <v>8</v>
      </c>
      <c r="I362">
        <v>16</v>
      </c>
      <c r="J362">
        <v>8049</v>
      </c>
      <c r="K362">
        <v>133</v>
      </c>
      <c r="L362">
        <v>0</v>
      </c>
      <c r="M362">
        <v>134.19999999999999</v>
      </c>
      <c r="N362">
        <v>2.2000000000000002</v>
      </c>
      <c r="O362">
        <v>8.4</v>
      </c>
      <c r="P362">
        <v>128</v>
      </c>
      <c r="Q362" s="1" t="s">
        <v>323</v>
      </c>
    </row>
    <row r="363" spans="1:17" hidden="1" x14ac:dyDescent="0.45">
      <c r="A363">
        <v>1219011</v>
      </c>
      <c r="B363" t="s">
        <v>324</v>
      </c>
      <c r="C363" t="s">
        <v>1467</v>
      </c>
      <c r="D363" t="s">
        <v>999</v>
      </c>
      <c r="E363" t="s">
        <v>1001</v>
      </c>
      <c r="F363" t="s">
        <v>116</v>
      </c>
      <c r="G363">
        <v>2025</v>
      </c>
      <c r="H363">
        <v>6</v>
      </c>
      <c r="I363">
        <v>18</v>
      </c>
      <c r="J363">
        <v>10762</v>
      </c>
      <c r="K363">
        <v>0</v>
      </c>
      <c r="L363">
        <v>0</v>
      </c>
      <c r="M363">
        <v>179.4</v>
      </c>
      <c r="N363">
        <v>0</v>
      </c>
      <c r="O363">
        <v>10</v>
      </c>
      <c r="P363">
        <v>144</v>
      </c>
      <c r="Q363" s="1" t="s">
        <v>325</v>
      </c>
    </row>
    <row r="364" spans="1:17" hidden="1" x14ac:dyDescent="0.45">
      <c r="A364">
        <v>1219011</v>
      </c>
      <c r="B364" t="s">
        <v>324</v>
      </c>
      <c r="C364" t="s">
        <v>1467</v>
      </c>
      <c r="D364" t="s">
        <v>999</v>
      </c>
      <c r="E364" t="s">
        <v>1001</v>
      </c>
      <c r="F364" t="s">
        <v>116</v>
      </c>
      <c r="G364">
        <v>2025</v>
      </c>
      <c r="H364">
        <v>7</v>
      </c>
      <c r="I364">
        <v>23</v>
      </c>
      <c r="J364">
        <v>14440</v>
      </c>
      <c r="K364">
        <v>0</v>
      </c>
      <c r="L364">
        <v>0</v>
      </c>
      <c r="M364">
        <v>240.7</v>
      </c>
      <c r="N364">
        <v>0</v>
      </c>
      <c r="O364">
        <v>10.5</v>
      </c>
      <c r="P364">
        <v>184</v>
      </c>
      <c r="Q364" s="1" t="s">
        <v>326</v>
      </c>
    </row>
    <row r="365" spans="1:17" hidden="1" x14ac:dyDescent="0.45">
      <c r="A365">
        <v>1219011</v>
      </c>
      <c r="B365" t="s">
        <v>324</v>
      </c>
      <c r="C365" t="s">
        <v>1467</v>
      </c>
      <c r="D365" t="s">
        <v>999</v>
      </c>
      <c r="E365" t="s">
        <v>1001</v>
      </c>
      <c r="F365" t="s">
        <v>116</v>
      </c>
      <c r="G365">
        <v>2025</v>
      </c>
      <c r="H365">
        <v>8</v>
      </c>
      <c r="I365">
        <v>16</v>
      </c>
      <c r="J365">
        <v>8211</v>
      </c>
      <c r="K365">
        <v>0</v>
      </c>
      <c r="L365">
        <v>0</v>
      </c>
      <c r="M365">
        <v>136.80000000000001</v>
      </c>
      <c r="N365">
        <v>0</v>
      </c>
      <c r="O365">
        <v>8.6</v>
      </c>
      <c r="P365">
        <v>128</v>
      </c>
      <c r="Q365" s="1" t="s">
        <v>327</v>
      </c>
    </row>
    <row r="366" spans="1:17" hidden="1" x14ac:dyDescent="0.45">
      <c r="A366">
        <v>1219013</v>
      </c>
      <c r="B366" t="s">
        <v>328</v>
      </c>
      <c r="C366" t="s">
        <v>1452</v>
      </c>
      <c r="D366" t="s">
        <v>954</v>
      </c>
      <c r="E366" t="s">
        <v>958</v>
      </c>
      <c r="F366" t="s">
        <v>116</v>
      </c>
      <c r="G366">
        <v>2025</v>
      </c>
      <c r="H366">
        <v>6</v>
      </c>
      <c r="I366">
        <v>19</v>
      </c>
      <c r="J366">
        <v>9649</v>
      </c>
      <c r="K366">
        <v>360</v>
      </c>
      <c r="L366">
        <v>0</v>
      </c>
      <c r="M366">
        <v>160.80000000000001</v>
      </c>
      <c r="N366">
        <v>6</v>
      </c>
      <c r="O366">
        <v>8.5</v>
      </c>
      <c r="P366">
        <v>152</v>
      </c>
      <c r="Q366" s="1" t="s">
        <v>327</v>
      </c>
    </row>
    <row r="367" spans="1:17" hidden="1" x14ac:dyDescent="0.45">
      <c r="A367">
        <v>1219013</v>
      </c>
      <c r="B367" t="s">
        <v>328</v>
      </c>
      <c r="C367" t="s">
        <v>1452</v>
      </c>
      <c r="D367" t="s">
        <v>954</v>
      </c>
      <c r="E367" t="s">
        <v>958</v>
      </c>
      <c r="F367" t="s">
        <v>116</v>
      </c>
      <c r="G367">
        <v>2025</v>
      </c>
      <c r="H367">
        <v>7</v>
      </c>
      <c r="I367">
        <v>16</v>
      </c>
      <c r="J367">
        <v>9119</v>
      </c>
      <c r="K367">
        <v>600</v>
      </c>
      <c r="L367">
        <v>0</v>
      </c>
      <c r="M367">
        <v>152</v>
      </c>
      <c r="N367">
        <v>10</v>
      </c>
      <c r="O367">
        <v>9.5</v>
      </c>
      <c r="P367">
        <v>128</v>
      </c>
      <c r="Q367">
        <v>24</v>
      </c>
    </row>
    <row r="368" spans="1:17" hidden="1" x14ac:dyDescent="0.45">
      <c r="A368">
        <v>1219013</v>
      </c>
      <c r="B368" t="s">
        <v>328</v>
      </c>
      <c r="C368" t="s">
        <v>1452</v>
      </c>
      <c r="D368" t="s">
        <v>954</v>
      </c>
      <c r="E368" t="s">
        <v>958</v>
      </c>
      <c r="F368" t="s">
        <v>116</v>
      </c>
      <c r="G368">
        <v>2025</v>
      </c>
      <c r="H368">
        <v>8</v>
      </c>
      <c r="I368">
        <v>15</v>
      </c>
      <c r="J368">
        <v>6685</v>
      </c>
      <c r="K368">
        <v>240</v>
      </c>
      <c r="L368">
        <v>0</v>
      </c>
      <c r="M368">
        <v>111.4</v>
      </c>
      <c r="N368">
        <v>4</v>
      </c>
      <c r="O368">
        <v>7.4</v>
      </c>
      <c r="P368">
        <v>120</v>
      </c>
      <c r="Q368">
        <v>-8.6</v>
      </c>
    </row>
    <row r="369" spans="1:17" hidden="1" x14ac:dyDescent="0.45">
      <c r="A369">
        <v>1219014</v>
      </c>
      <c r="B369" t="s">
        <v>329</v>
      </c>
      <c r="C369" t="s">
        <v>1452</v>
      </c>
      <c r="D369" t="s">
        <v>954</v>
      </c>
      <c r="E369" t="s">
        <v>958</v>
      </c>
      <c r="F369" t="s">
        <v>116</v>
      </c>
      <c r="G369">
        <v>2025</v>
      </c>
      <c r="H369">
        <v>6</v>
      </c>
      <c r="I369">
        <v>18</v>
      </c>
      <c r="J369">
        <v>9405</v>
      </c>
      <c r="K369">
        <v>216</v>
      </c>
      <c r="L369">
        <v>0</v>
      </c>
      <c r="M369">
        <v>156.80000000000001</v>
      </c>
      <c r="N369">
        <v>3.6</v>
      </c>
      <c r="O369">
        <v>8.6999999999999993</v>
      </c>
      <c r="P369">
        <v>144</v>
      </c>
      <c r="Q369" s="1" t="s">
        <v>330</v>
      </c>
    </row>
    <row r="370" spans="1:17" hidden="1" x14ac:dyDescent="0.45">
      <c r="A370">
        <v>1219014</v>
      </c>
      <c r="B370" t="s">
        <v>329</v>
      </c>
      <c r="C370" t="s">
        <v>1452</v>
      </c>
      <c r="D370" t="s">
        <v>954</v>
      </c>
      <c r="E370" t="s">
        <v>958</v>
      </c>
      <c r="F370" t="s">
        <v>116</v>
      </c>
      <c r="G370">
        <v>2025</v>
      </c>
      <c r="H370">
        <v>7</v>
      </c>
      <c r="I370">
        <v>19</v>
      </c>
      <c r="J370">
        <v>10613</v>
      </c>
      <c r="K370">
        <v>930</v>
      </c>
      <c r="L370">
        <v>1</v>
      </c>
      <c r="M370">
        <v>176.9</v>
      </c>
      <c r="N370">
        <v>15.5</v>
      </c>
      <c r="O370">
        <v>9.3000000000000007</v>
      </c>
      <c r="P370">
        <v>144</v>
      </c>
      <c r="Q370" s="1" t="s">
        <v>251</v>
      </c>
    </row>
    <row r="371" spans="1:17" hidden="1" x14ac:dyDescent="0.45">
      <c r="A371">
        <v>1219014</v>
      </c>
      <c r="B371" t="s">
        <v>329</v>
      </c>
      <c r="C371" t="s">
        <v>1452</v>
      </c>
      <c r="D371" t="s">
        <v>954</v>
      </c>
      <c r="E371" t="s">
        <v>958</v>
      </c>
      <c r="F371" t="s">
        <v>116</v>
      </c>
      <c r="G371">
        <v>2025</v>
      </c>
      <c r="H371">
        <v>8</v>
      </c>
      <c r="I371">
        <v>16</v>
      </c>
      <c r="J371">
        <v>8117</v>
      </c>
      <c r="K371">
        <v>29</v>
      </c>
      <c r="L371">
        <v>0</v>
      </c>
      <c r="M371">
        <v>135.30000000000001</v>
      </c>
      <c r="N371">
        <v>0.5</v>
      </c>
      <c r="O371">
        <v>8.5</v>
      </c>
      <c r="P371">
        <v>128</v>
      </c>
      <c r="Q371" s="1" t="s">
        <v>331</v>
      </c>
    </row>
    <row r="372" spans="1:17" hidden="1" x14ac:dyDescent="0.45">
      <c r="A372">
        <v>1219016</v>
      </c>
      <c r="B372" t="s">
        <v>332</v>
      </c>
      <c r="C372" t="s">
        <v>1465</v>
      </c>
      <c r="D372" t="s">
        <v>1008</v>
      </c>
      <c r="E372" t="s">
        <v>1013</v>
      </c>
      <c r="F372" t="s">
        <v>116</v>
      </c>
      <c r="G372">
        <v>2025</v>
      </c>
      <c r="H372">
        <v>6</v>
      </c>
      <c r="I372">
        <v>19</v>
      </c>
      <c r="J372">
        <v>11466</v>
      </c>
      <c r="K372">
        <v>650</v>
      </c>
      <c r="L372">
        <v>0</v>
      </c>
      <c r="M372">
        <v>191.1</v>
      </c>
      <c r="N372">
        <v>10.8</v>
      </c>
      <c r="O372">
        <v>10.1</v>
      </c>
      <c r="P372">
        <v>152</v>
      </c>
      <c r="Q372" s="1" t="s">
        <v>258</v>
      </c>
    </row>
    <row r="373" spans="1:17" hidden="1" x14ac:dyDescent="0.45">
      <c r="A373">
        <v>1219016</v>
      </c>
      <c r="B373" t="s">
        <v>332</v>
      </c>
      <c r="C373" t="s">
        <v>1465</v>
      </c>
      <c r="D373" t="s">
        <v>1008</v>
      </c>
      <c r="E373" t="s">
        <v>1013</v>
      </c>
      <c r="F373" t="s">
        <v>116</v>
      </c>
      <c r="G373">
        <v>2025</v>
      </c>
      <c r="H373">
        <v>7</v>
      </c>
      <c r="I373">
        <v>21</v>
      </c>
      <c r="J373">
        <v>11322</v>
      </c>
      <c r="K373">
        <v>751</v>
      </c>
      <c r="L373">
        <v>3</v>
      </c>
      <c r="M373">
        <v>188.7</v>
      </c>
      <c r="N373">
        <v>12.5</v>
      </c>
      <c r="O373">
        <v>9</v>
      </c>
      <c r="P373">
        <v>144</v>
      </c>
      <c r="Q373" s="1" t="s">
        <v>333</v>
      </c>
    </row>
    <row r="374" spans="1:17" hidden="1" x14ac:dyDescent="0.45">
      <c r="A374">
        <v>1219016</v>
      </c>
      <c r="B374" t="s">
        <v>332</v>
      </c>
      <c r="C374" t="s">
        <v>1465</v>
      </c>
      <c r="D374" t="s">
        <v>1008</v>
      </c>
      <c r="E374" t="s">
        <v>1013</v>
      </c>
      <c r="F374" t="s">
        <v>116</v>
      </c>
      <c r="G374">
        <v>2025</v>
      </c>
      <c r="H374">
        <v>8</v>
      </c>
      <c r="I374">
        <v>15</v>
      </c>
      <c r="J374">
        <v>8843</v>
      </c>
      <c r="K374">
        <v>801</v>
      </c>
      <c r="L374">
        <v>0</v>
      </c>
      <c r="M374">
        <v>147.4</v>
      </c>
      <c r="N374">
        <v>13.4</v>
      </c>
      <c r="O374">
        <v>9.8000000000000007</v>
      </c>
      <c r="P374">
        <v>120</v>
      </c>
      <c r="Q374" s="1" t="s">
        <v>334</v>
      </c>
    </row>
    <row r="375" spans="1:17" hidden="1" x14ac:dyDescent="0.45">
      <c r="A375">
        <v>1220016</v>
      </c>
      <c r="B375" t="s">
        <v>335</v>
      </c>
      <c r="C375" t="s">
        <v>1467</v>
      </c>
      <c r="D375" t="s">
        <v>999</v>
      </c>
      <c r="E375" t="s">
        <v>1001</v>
      </c>
      <c r="F375" t="s">
        <v>17</v>
      </c>
      <c r="G375">
        <v>2025</v>
      </c>
      <c r="H375">
        <v>6</v>
      </c>
      <c r="I375">
        <v>20</v>
      </c>
      <c r="J375">
        <v>13698</v>
      </c>
      <c r="K375">
        <v>0</v>
      </c>
      <c r="L375">
        <v>1</v>
      </c>
      <c r="M375">
        <v>228.3</v>
      </c>
      <c r="N375">
        <v>0</v>
      </c>
      <c r="O375">
        <v>11.4</v>
      </c>
      <c r="P375">
        <v>152</v>
      </c>
      <c r="Q375" s="1" t="s">
        <v>336</v>
      </c>
    </row>
    <row r="376" spans="1:17" hidden="1" x14ac:dyDescent="0.45">
      <c r="A376">
        <v>1220016</v>
      </c>
      <c r="B376" t="s">
        <v>335</v>
      </c>
      <c r="C376" t="s">
        <v>1467</v>
      </c>
      <c r="D376" t="s">
        <v>999</v>
      </c>
      <c r="E376" t="s">
        <v>1001</v>
      </c>
      <c r="F376" t="s">
        <v>17</v>
      </c>
      <c r="G376">
        <v>2025</v>
      </c>
      <c r="H376">
        <v>7</v>
      </c>
      <c r="I376">
        <v>23</v>
      </c>
      <c r="J376">
        <v>14210</v>
      </c>
      <c r="K376">
        <v>0</v>
      </c>
      <c r="L376">
        <v>0</v>
      </c>
      <c r="M376">
        <v>236.8</v>
      </c>
      <c r="N376">
        <v>0</v>
      </c>
      <c r="O376">
        <v>10.3</v>
      </c>
      <c r="P376">
        <v>184</v>
      </c>
      <c r="Q376" s="1" t="s">
        <v>337</v>
      </c>
    </row>
    <row r="377" spans="1:17" hidden="1" x14ac:dyDescent="0.45">
      <c r="A377">
        <v>1220016</v>
      </c>
      <c r="B377" t="s">
        <v>335</v>
      </c>
      <c r="C377" t="s">
        <v>1467</v>
      </c>
      <c r="D377" t="s">
        <v>999</v>
      </c>
      <c r="E377" t="s">
        <v>1001</v>
      </c>
      <c r="F377" t="s">
        <v>17</v>
      </c>
      <c r="G377">
        <v>2025</v>
      </c>
      <c r="H377">
        <v>8</v>
      </c>
      <c r="I377">
        <v>20</v>
      </c>
      <c r="J377">
        <v>10868</v>
      </c>
      <c r="K377">
        <v>0</v>
      </c>
      <c r="L377">
        <v>3</v>
      </c>
      <c r="M377">
        <v>181.1</v>
      </c>
      <c r="N377">
        <v>0</v>
      </c>
      <c r="O377">
        <v>9.1</v>
      </c>
      <c r="P377">
        <v>136</v>
      </c>
      <c r="Q377" s="1" t="s">
        <v>168</v>
      </c>
    </row>
    <row r="378" spans="1:17" hidden="1" x14ac:dyDescent="0.45">
      <c r="A378">
        <v>1221026</v>
      </c>
      <c r="B378" t="s">
        <v>338</v>
      </c>
      <c r="C378" t="s">
        <v>1473</v>
      </c>
      <c r="D378" t="s">
        <v>718</v>
      </c>
      <c r="E378" t="s">
        <v>746</v>
      </c>
      <c r="F378" t="s">
        <v>171</v>
      </c>
      <c r="G378">
        <v>2025</v>
      </c>
      <c r="H378">
        <v>6</v>
      </c>
      <c r="I378">
        <v>17</v>
      </c>
      <c r="J378">
        <v>9710</v>
      </c>
      <c r="K378">
        <v>0</v>
      </c>
      <c r="L378">
        <v>0</v>
      </c>
      <c r="M378">
        <v>161.80000000000001</v>
      </c>
      <c r="N378">
        <v>0</v>
      </c>
      <c r="O378">
        <v>9.5</v>
      </c>
      <c r="P378">
        <v>136</v>
      </c>
      <c r="Q378" s="1" t="s">
        <v>86</v>
      </c>
    </row>
    <row r="379" spans="1:17" hidden="1" x14ac:dyDescent="0.45">
      <c r="A379">
        <v>1221026</v>
      </c>
      <c r="B379" t="s">
        <v>338</v>
      </c>
      <c r="C379" t="s">
        <v>1473</v>
      </c>
      <c r="D379" t="s">
        <v>718</v>
      </c>
      <c r="E379" t="s">
        <v>746</v>
      </c>
      <c r="F379" t="s">
        <v>171</v>
      </c>
      <c r="G379">
        <v>2025</v>
      </c>
      <c r="H379">
        <v>7</v>
      </c>
      <c r="I379">
        <v>19</v>
      </c>
      <c r="J379">
        <v>10595</v>
      </c>
      <c r="K379">
        <v>0</v>
      </c>
      <c r="L379">
        <v>0</v>
      </c>
      <c r="M379">
        <v>176.6</v>
      </c>
      <c r="N379">
        <v>0</v>
      </c>
      <c r="O379">
        <v>9.3000000000000007</v>
      </c>
      <c r="P379">
        <v>152</v>
      </c>
      <c r="Q379" s="1" t="s">
        <v>339</v>
      </c>
    </row>
    <row r="380" spans="1:17" hidden="1" x14ac:dyDescent="0.45">
      <c r="A380">
        <v>1221026</v>
      </c>
      <c r="B380" t="s">
        <v>338</v>
      </c>
      <c r="C380" t="s">
        <v>1473</v>
      </c>
      <c r="D380" t="s">
        <v>718</v>
      </c>
      <c r="E380" t="s">
        <v>746</v>
      </c>
      <c r="F380" t="s">
        <v>171</v>
      </c>
      <c r="G380">
        <v>2025</v>
      </c>
      <c r="H380">
        <v>8</v>
      </c>
      <c r="I380">
        <v>16</v>
      </c>
      <c r="J380">
        <v>8756</v>
      </c>
      <c r="K380">
        <v>0</v>
      </c>
      <c r="L380">
        <v>0</v>
      </c>
      <c r="M380">
        <v>145.9</v>
      </c>
      <c r="N380">
        <v>0</v>
      </c>
      <c r="O380">
        <v>9.1</v>
      </c>
      <c r="P380">
        <v>128</v>
      </c>
      <c r="Q380" s="1" t="s">
        <v>135</v>
      </c>
    </row>
    <row r="381" spans="1:17" hidden="1" x14ac:dyDescent="0.45">
      <c r="A381">
        <v>1221034</v>
      </c>
      <c r="B381" t="s">
        <v>340</v>
      </c>
      <c r="C381" t="s">
        <v>1449</v>
      </c>
      <c r="D381" t="s">
        <v>815</v>
      </c>
      <c r="E381" t="s">
        <v>819</v>
      </c>
      <c r="F381" t="s">
        <v>116</v>
      </c>
      <c r="G381">
        <v>2025</v>
      </c>
      <c r="H381">
        <v>6</v>
      </c>
      <c r="I381">
        <v>17</v>
      </c>
      <c r="J381">
        <v>9501</v>
      </c>
      <c r="K381">
        <v>351</v>
      </c>
      <c r="L381">
        <v>0</v>
      </c>
      <c r="M381">
        <v>158.4</v>
      </c>
      <c r="N381">
        <v>5.8</v>
      </c>
      <c r="O381">
        <v>9.3000000000000007</v>
      </c>
      <c r="P381">
        <v>136</v>
      </c>
      <c r="Q381" s="1" t="s">
        <v>341</v>
      </c>
    </row>
    <row r="382" spans="1:17" hidden="1" x14ac:dyDescent="0.45">
      <c r="A382">
        <v>1221034</v>
      </c>
      <c r="B382" t="s">
        <v>340</v>
      </c>
      <c r="C382" t="s">
        <v>1449</v>
      </c>
      <c r="D382" t="s">
        <v>815</v>
      </c>
      <c r="E382" t="s">
        <v>819</v>
      </c>
      <c r="F382" t="s">
        <v>116</v>
      </c>
      <c r="G382">
        <v>2025</v>
      </c>
      <c r="H382">
        <v>7</v>
      </c>
      <c r="I382">
        <v>16</v>
      </c>
      <c r="J382">
        <v>9076</v>
      </c>
      <c r="K382">
        <v>147</v>
      </c>
      <c r="L382">
        <v>0</v>
      </c>
      <c r="M382">
        <v>151.30000000000001</v>
      </c>
      <c r="N382">
        <v>2.4</v>
      </c>
      <c r="O382">
        <v>9.5</v>
      </c>
      <c r="P382">
        <v>128</v>
      </c>
      <c r="Q382" s="1" t="s">
        <v>342</v>
      </c>
    </row>
    <row r="383" spans="1:17" hidden="1" x14ac:dyDescent="0.45">
      <c r="A383">
        <v>1221034</v>
      </c>
      <c r="B383" t="s">
        <v>340</v>
      </c>
      <c r="C383" t="s">
        <v>1449</v>
      </c>
      <c r="D383" t="s">
        <v>815</v>
      </c>
      <c r="E383" t="s">
        <v>819</v>
      </c>
      <c r="F383" t="s">
        <v>116</v>
      </c>
      <c r="G383">
        <v>2025</v>
      </c>
      <c r="H383">
        <v>8</v>
      </c>
      <c r="I383">
        <v>14</v>
      </c>
      <c r="J383">
        <v>7447</v>
      </c>
      <c r="K383">
        <v>256</v>
      </c>
      <c r="L383">
        <v>0</v>
      </c>
      <c r="M383">
        <v>124.1</v>
      </c>
      <c r="N383">
        <v>4.3</v>
      </c>
      <c r="O383">
        <v>8.9</v>
      </c>
      <c r="P383">
        <v>112</v>
      </c>
      <c r="Q383" s="1" t="s">
        <v>343</v>
      </c>
    </row>
    <row r="384" spans="1:17" hidden="1" x14ac:dyDescent="0.45">
      <c r="A384">
        <v>1221050</v>
      </c>
      <c r="B384" t="s">
        <v>344</v>
      </c>
      <c r="C384" t="s">
        <v>1451</v>
      </c>
      <c r="D384" t="e">
        <v>#N/A</v>
      </c>
      <c r="E384" t="e">
        <v>#N/A</v>
      </c>
      <c r="F384" t="s">
        <v>116</v>
      </c>
      <c r="G384">
        <v>2025</v>
      </c>
      <c r="H384">
        <v>6</v>
      </c>
      <c r="I384">
        <v>13</v>
      </c>
      <c r="J384">
        <v>7136</v>
      </c>
      <c r="K384">
        <v>697</v>
      </c>
      <c r="L384">
        <v>0</v>
      </c>
      <c r="M384">
        <v>118.9</v>
      </c>
      <c r="N384">
        <v>11.6</v>
      </c>
      <c r="O384">
        <v>9.1</v>
      </c>
      <c r="P384">
        <v>104</v>
      </c>
      <c r="Q384" s="1" t="s">
        <v>345</v>
      </c>
    </row>
    <row r="385" spans="1:17" hidden="1" x14ac:dyDescent="0.45">
      <c r="A385">
        <v>1221050</v>
      </c>
      <c r="B385" t="s">
        <v>344</v>
      </c>
      <c r="C385" t="s">
        <v>1451</v>
      </c>
      <c r="D385" t="e">
        <v>#N/A</v>
      </c>
      <c r="E385" t="e">
        <v>#N/A</v>
      </c>
      <c r="F385" t="s">
        <v>116</v>
      </c>
      <c r="G385">
        <v>2025</v>
      </c>
      <c r="H385">
        <v>7</v>
      </c>
      <c r="I385">
        <v>15</v>
      </c>
      <c r="J385">
        <v>10458</v>
      </c>
      <c r="K385">
        <v>1562</v>
      </c>
      <c r="L385">
        <v>2</v>
      </c>
      <c r="M385">
        <v>174.3</v>
      </c>
      <c r="N385">
        <v>26</v>
      </c>
      <c r="O385">
        <v>11.6</v>
      </c>
      <c r="P385">
        <v>104</v>
      </c>
      <c r="Q385" s="1" t="s">
        <v>117</v>
      </c>
    </row>
    <row r="386" spans="1:17" hidden="1" x14ac:dyDescent="0.45">
      <c r="A386">
        <v>1221050</v>
      </c>
      <c r="B386" t="s">
        <v>344</v>
      </c>
      <c r="C386" t="s">
        <v>1451</v>
      </c>
      <c r="D386" t="e">
        <v>#N/A</v>
      </c>
      <c r="E386" t="e">
        <v>#N/A</v>
      </c>
      <c r="F386" t="s">
        <v>116</v>
      </c>
      <c r="G386">
        <v>2025</v>
      </c>
      <c r="H386">
        <v>8</v>
      </c>
      <c r="I386">
        <v>15</v>
      </c>
      <c r="J386">
        <v>9216</v>
      </c>
      <c r="K386">
        <v>1088</v>
      </c>
      <c r="L386">
        <v>0</v>
      </c>
      <c r="M386">
        <v>153.6</v>
      </c>
      <c r="N386">
        <v>18.100000000000001</v>
      </c>
      <c r="O386">
        <v>10.199999999999999</v>
      </c>
      <c r="P386">
        <v>120</v>
      </c>
      <c r="Q386" s="1" t="s">
        <v>299</v>
      </c>
    </row>
    <row r="387" spans="1:17" hidden="1" x14ac:dyDescent="0.45">
      <c r="A387">
        <v>1222008</v>
      </c>
      <c r="B387" t="s">
        <v>346</v>
      </c>
      <c r="C387" t="s">
        <v>1473</v>
      </c>
      <c r="D387" t="s">
        <v>718</v>
      </c>
      <c r="E387" t="s">
        <v>746</v>
      </c>
      <c r="F387" t="s">
        <v>17</v>
      </c>
      <c r="G387">
        <v>2025</v>
      </c>
      <c r="H387">
        <v>6</v>
      </c>
      <c r="I387">
        <v>14</v>
      </c>
      <c r="J387">
        <v>8143</v>
      </c>
      <c r="K387">
        <v>0</v>
      </c>
      <c r="L387">
        <v>0</v>
      </c>
      <c r="M387">
        <v>135.69999999999999</v>
      </c>
      <c r="N387">
        <v>0</v>
      </c>
      <c r="O387">
        <v>9.6999999999999993</v>
      </c>
      <c r="P387">
        <v>112</v>
      </c>
      <c r="Q387" s="1" t="s">
        <v>347</v>
      </c>
    </row>
    <row r="388" spans="1:17" hidden="1" x14ac:dyDescent="0.45">
      <c r="A388">
        <v>1222008</v>
      </c>
      <c r="B388" t="s">
        <v>346</v>
      </c>
      <c r="C388" t="s">
        <v>1473</v>
      </c>
      <c r="D388" t="s">
        <v>718</v>
      </c>
      <c r="E388" t="s">
        <v>746</v>
      </c>
      <c r="F388" t="s">
        <v>17</v>
      </c>
      <c r="G388">
        <v>2025</v>
      </c>
      <c r="H388">
        <v>7</v>
      </c>
      <c r="I388">
        <v>19</v>
      </c>
      <c r="J388">
        <v>10980</v>
      </c>
      <c r="K388">
        <v>0</v>
      </c>
      <c r="L388">
        <v>0</v>
      </c>
      <c r="M388">
        <v>183</v>
      </c>
      <c r="N388">
        <v>0</v>
      </c>
      <c r="O388">
        <v>9.6</v>
      </c>
      <c r="P388">
        <v>152</v>
      </c>
      <c r="Q388">
        <v>31</v>
      </c>
    </row>
    <row r="389" spans="1:17" hidden="1" x14ac:dyDescent="0.45">
      <c r="A389">
        <v>1222008</v>
      </c>
      <c r="B389" t="s">
        <v>346</v>
      </c>
      <c r="C389" t="s">
        <v>1473</v>
      </c>
      <c r="D389" t="s">
        <v>718</v>
      </c>
      <c r="E389" t="s">
        <v>746</v>
      </c>
      <c r="F389" t="s">
        <v>17</v>
      </c>
      <c r="G389">
        <v>2025</v>
      </c>
      <c r="H389">
        <v>8</v>
      </c>
      <c r="I389">
        <v>14</v>
      </c>
      <c r="J389">
        <v>7797</v>
      </c>
      <c r="K389">
        <v>0</v>
      </c>
      <c r="L389">
        <v>0</v>
      </c>
      <c r="M389">
        <v>130</v>
      </c>
      <c r="N389">
        <v>0</v>
      </c>
      <c r="O389">
        <v>9.3000000000000007</v>
      </c>
      <c r="P389">
        <v>112</v>
      </c>
      <c r="Q389">
        <v>18</v>
      </c>
    </row>
    <row r="390" spans="1:17" hidden="1" x14ac:dyDescent="0.45">
      <c r="A390">
        <v>1222011</v>
      </c>
      <c r="B390" t="s">
        <v>348</v>
      </c>
      <c r="C390" t="s">
        <v>1472</v>
      </c>
      <c r="D390" t="s">
        <v>1032</v>
      </c>
      <c r="E390" t="s">
        <v>1034</v>
      </c>
      <c r="F390" t="s">
        <v>116</v>
      </c>
      <c r="G390">
        <v>2025</v>
      </c>
      <c r="H390">
        <v>6</v>
      </c>
      <c r="I390">
        <v>21</v>
      </c>
      <c r="J390">
        <v>17936</v>
      </c>
      <c r="K390">
        <v>0</v>
      </c>
      <c r="L390">
        <v>2</v>
      </c>
      <c r="M390">
        <v>298.89999999999998</v>
      </c>
      <c r="N390">
        <v>0</v>
      </c>
      <c r="O390">
        <v>14.2</v>
      </c>
      <c r="P390">
        <v>152</v>
      </c>
      <c r="Q390" s="1" t="s">
        <v>349</v>
      </c>
    </row>
    <row r="391" spans="1:17" hidden="1" x14ac:dyDescent="0.45">
      <c r="A391">
        <v>1222011</v>
      </c>
      <c r="B391" t="s">
        <v>348</v>
      </c>
      <c r="C391" t="s">
        <v>1472</v>
      </c>
      <c r="D391" t="s">
        <v>1032</v>
      </c>
      <c r="E391" t="s">
        <v>1034</v>
      </c>
      <c r="F391" t="s">
        <v>116</v>
      </c>
      <c r="G391">
        <v>2025</v>
      </c>
      <c r="H391">
        <v>7</v>
      </c>
      <c r="I391">
        <v>16</v>
      </c>
      <c r="J391">
        <v>8399</v>
      </c>
      <c r="K391">
        <v>0</v>
      </c>
      <c r="L391">
        <v>0</v>
      </c>
      <c r="M391">
        <v>140</v>
      </c>
      <c r="N391">
        <v>0</v>
      </c>
      <c r="O391">
        <v>8.8000000000000007</v>
      </c>
      <c r="P391">
        <v>128</v>
      </c>
      <c r="Q391">
        <v>12</v>
      </c>
    </row>
    <row r="392" spans="1:17" hidden="1" x14ac:dyDescent="0.45">
      <c r="A392">
        <v>1222011</v>
      </c>
      <c r="B392" t="s">
        <v>348</v>
      </c>
      <c r="C392" t="s">
        <v>1472</v>
      </c>
      <c r="D392" t="s">
        <v>1032</v>
      </c>
      <c r="E392" t="s">
        <v>1034</v>
      </c>
      <c r="F392" t="s">
        <v>116</v>
      </c>
      <c r="G392">
        <v>2025</v>
      </c>
      <c r="H392">
        <v>8</v>
      </c>
      <c r="I392">
        <v>14</v>
      </c>
      <c r="J392">
        <v>7541</v>
      </c>
      <c r="K392">
        <v>0</v>
      </c>
      <c r="L392">
        <v>0</v>
      </c>
      <c r="M392">
        <v>125.7</v>
      </c>
      <c r="N392">
        <v>0</v>
      </c>
      <c r="O392">
        <v>9</v>
      </c>
      <c r="P392">
        <v>112</v>
      </c>
      <c r="Q392" s="1" t="s">
        <v>350</v>
      </c>
    </row>
    <row r="393" spans="1:17" hidden="1" x14ac:dyDescent="0.45">
      <c r="A393">
        <v>1222012</v>
      </c>
      <c r="B393" t="s">
        <v>351</v>
      </c>
      <c r="C393" t="s">
        <v>1446</v>
      </c>
      <c r="D393" t="s">
        <v>1032</v>
      </c>
      <c r="E393" t="s">
        <v>1036</v>
      </c>
      <c r="F393" t="s">
        <v>171</v>
      </c>
      <c r="G393">
        <v>2025</v>
      </c>
      <c r="H393">
        <v>6</v>
      </c>
      <c r="I393">
        <v>19</v>
      </c>
      <c r="J393">
        <v>11099</v>
      </c>
      <c r="K393">
        <v>0</v>
      </c>
      <c r="L393">
        <v>0</v>
      </c>
      <c r="M393">
        <v>185</v>
      </c>
      <c r="N393">
        <v>0</v>
      </c>
      <c r="O393">
        <v>9.6999999999999993</v>
      </c>
      <c r="P393">
        <v>152</v>
      </c>
      <c r="Q393">
        <v>33</v>
      </c>
    </row>
    <row r="394" spans="1:17" hidden="1" x14ac:dyDescent="0.45">
      <c r="A394">
        <v>1222012</v>
      </c>
      <c r="B394" t="s">
        <v>351</v>
      </c>
      <c r="C394" t="s">
        <v>1446</v>
      </c>
      <c r="D394" t="s">
        <v>1032</v>
      </c>
      <c r="E394" t="s">
        <v>1036</v>
      </c>
      <c r="F394" t="s">
        <v>171</v>
      </c>
      <c r="G394">
        <v>2025</v>
      </c>
      <c r="H394">
        <v>7</v>
      </c>
      <c r="I394">
        <v>20</v>
      </c>
      <c r="J394">
        <v>10646</v>
      </c>
      <c r="K394">
        <v>0</v>
      </c>
      <c r="L394">
        <v>0</v>
      </c>
      <c r="M394">
        <v>177.4</v>
      </c>
      <c r="N394">
        <v>0</v>
      </c>
      <c r="O394">
        <v>8.9</v>
      </c>
      <c r="P394">
        <v>160</v>
      </c>
      <c r="Q394" s="1" t="s">
        <v>87</v>
      </c>
    </row>
    <row r="395" spans="1:17" hidden="1" x14ac:dyDescent="0.45">
      <c r="A395">
        <v>1222012</v>
      </c>
      <c r="B395" t="s">
        <v>351</v>
      </c>
      <c r="C395" t="s">
        <v>1446</v>
      </c>
      <c r="D395" t="s">
        <v>1032</v>
      </c>
      <c r="E395" t="s">
        <v>1036</v>
      </c>
      <c r="F395" t="s">
        <v>171</v>
      </c>
      <c r="G395">
        <v>2025</v>
      </c>
      <c r="H395">
        <v>8</v>
      </c>
      <c r="I395">
        <v>16</v>
      </c>
      <c r="J395">
        <v>8807</v>
      </c>
      <c r="K395">
        <v>0</v>
      </c>
      <c r="L395">
        <v>0</v>
      </c>
      <c r="M395">
        <v>146.80000000000001</v>
      </c>
      <c r="N395">
        <v>0</v>
      </c>
      <c r="O395">
        <v>9.1999999999999993</v>
      </c>
      <c r="P395">
        <v>128</v>
      </c>
      <c r="Q395" s="1" t="s">
        <v>68</v>
      </c>
    </row>
    <row r="396" spans="1:17" hidden="1" x14ac:dyDescent="0.45">
      <c r="A396">
        <v>1222019</v>
      </c>
      <c r="B396" t="s">
        <v>352</v>
      </c>
      <c r="C396" t="s">
        <v>1472</v>
      </c>
      <c r="D396" t="s">
        <v>1032</v>
      </c>
      <c r="E396" t="s">
        <v>1034</v>
      </c>
      <c r="F396" t="s">
        <v>171</v>
      </c>
      <c r="G396">
        <v>2025</v>
      </c>
      <c r="H396">
        <v>6</v>
      </c>
      <c r="I396">
        <v>10</v>
      </c>
      <c r="J396">
        <v>5257</v>
      </c>
      <c r="K396">
        <v>0</v>
      </c>
      <c r="L396">
        <v>0</v>
      </c>
      <c r="M396">
        <v>87.6</v>
      </c>
      <c r="N396">
        <v>0</v>
      </c>
      <c r="O396">
        <v>8.8000000000000007</v>
      </c>
      <c r="P396">
        <v>80</v>
      </c>
      <c r="Q396" s="1" t="s">
        <v>353</v>
      </c>
    </row>
    <row r="397" spans="1:17" hidden="1" x14ac:dyDescent="0.45">
      <c r="A397">
        <v>1222019</v>
      </c>
      <c r="B397" t="s">
        <v>352</v>
      </c>
      <c r="C397" t="s">
        <v>1472</v>
      </c>
      <c r="D397" t="s">
        <v>1032</v>
      </c>
      <c r="E397" t="s">
        <v>1034</v>
      </c>
      <c r="F397" t="s">
        <v>171</v>
      </c>
      <c r="G397">
        <v>2025</v>
      </c>
      <c r="H397">
        <v>7</v>
      </c>
      <c r="I397">
        <v>20</v>
      </c>
      <c r="J397">
        <v>9989</v>
      </c>
      <c r="K397">
        <v>0</v>
      </c>
      <c r="L397">
        <v>0</v>
      </c>
      <c r="M397">
        <v>166.5</v>
      </c>
      <c r="N397">
        <v>0</v>
      </c>
      <c r="O397">
        <v>8.3000000000000007</v>
      </c>
      <c r="P397">
        <v>160</v>
      </c>
      <c r="Q397">
        <v>6.5</v>
      </c>
    </row>
    <row r="398" spans="1:17" hidden="1" x14ac:dyDescent="0.45">
      <c r="A398">
        <v>1222019</v>
      </c>
      <c r="B398" t="s">
        <v>352</v>
      </c>
      <c r="C398" t="s">
        <v>1472</v>
      </c>
      <c r="D398" t="s">
        <v>1032</v>
      </c>
      <c r="E398" t="s">
        <v>1034</v>
      </c>
      <c r="F398" t="s">
        <v>171</v>
      </c>
      <c r="G398">
        <v>2025</v>
      </c>
      <c r="H398">
        <v>8</v>
      </c>
      <c r="I398">
        <v>14</v>
      </c>
      <c r="J398">
        <v>7912</v>
      </c>
      <c r="K398">
        <v>0</v>
      </c>
      <c r="L398">
        <v>0</v>
      </c>
      <c r="M398">
        <v>131.9</v>
      </c>
      <c r="N398">
        <v>0</v>
      </c>
      <c r="O398">
        <v>9.4</v>
      </c>
      <c r="P398">
        <v>112</v>
      </c>
      <c r="Q398" s="1" t="s">
        <v>99</v>
      </c>
    </row>
    <row r="399" spans="1:17" hidden="1" x14ac:dyDescent="0.45">
      <c r="A399">
        <v>1222021</v>
      </c>
      <c r="B399" t="s">
        <v>354</v>
      </c>
      <c r="C399" t="s">
        <v>1472</v>
      </c>
      <c r="D399" t="s">
        <v>1032</v>
      </c>
      <c r="E399" t="s">
        <v>1034</v>
      </c>
      <c r="F399" t="s">
        <v>116</v>
      </c>
      <c r="G399">
        <v>2025</v>
      </c>
      <c r="H399">
        <v>6</v>
      </c>
      <c r="I399">
        <v>21</v>
      </c>
      <c r="J399">
        <v>16363</v>
      </c>
      <c r="K399">
        <v>0</v>
      </c>
      <c r="L399">
        <v>1</v>
      </c>
      <c r="M399">
        <v>272.7</v>
      </c>
      <c r="N399">
        <v>0</v>
      </c>
      <c r="O399">
        <v>13</v>
      </c>
      <c r="P399">
        <v>160</v>
      </c>
      <c r="Q399" s="1" t="s">
        <v>355</v>
      </c>
    </row>
    <row r="400" spans="1:17" hidden="1" x14ac:dyDescent="0.45">
      <c r="A400">
        <v>1222021</v>
      </c>
      <c r="B400" t="s">
        <v>354</v>
      </c>
      <c r="C400" t="s">
        <v>1472</v>
      </c>
      <c r="D400" t="s">
        <v>1032</v>
      </c>
      <c r="E400" t="s">
        <v>1034</v>
      </c>
      <c r="F400" t="s">
        <v>116</v>
      </c>
      <c r="G400">
        <v>2025</v>
      </c>
      <c r="H400">
        <v>7</v>
      </c>
      <c r="I400">
        <v>20</v>
      </c>
      <c r="J400">
        <v>13663</v>
      </c>
      <c r="K400">
        <v>0</v>
      </c>
      <c r="L400">
        <v>2</v>
      </c>
      <c r="M400">
        <v>227.7</v>
      </c>
      <c r="N400">
        <v>0</v>
      </c>
      <c r="O400">
        <v>11.4</v>
      </c>
      <c r="P400">
        <v>144</v>
      </c>
      <c r="Q400" s="1" t="s">
        <v>356</v>
      </c>
    </row>
    <row r="401" spans="1:17" hidden="1" x14ac:dyDescent="0.45">
      <c r="A401">
        <v>1222021</v>
      </c>
      <c r="B401" t="s">
        <v>354</v>
      </c>
      <c r="C401" t="s">
        <v>1472</v>
      </c>
      <c r="D401" t="s">
        <v>1032</v>
      </c>
      <c r="E401" t="s">
        <v>1034</v>
      </c>
      <c r="F401" t="s">
        <v>116</v>
      </c>
      <c r="G401">
        <v>2025</v>
      </c>
      <c r="H401">
        <v>8</v>
      </c>
      <c r="I401">
        <v>17</v>
      </c>
      <c r="J401">
        <v>9736</v>
      </c>
      <c r="K401">
        <v>0</v>
      </c>
      <c r="L401">
        <v>1</v>
      </c>
      <c r="M401">
        <v>162.30000000000001</v>
      </c>
      <c r="N401">
        <v>0</v>
      </c>
      <c r="O401">
        <v>9.5</v>
      </c>
      <c r="P401">
        <v>128</v>
      </c>
      <c r="Q401" s="1" t="s">
        <v>357</v>
      </c>
    </row>
    <row r="402" spans="1:17" hidden="1" x14ac:dyDescent="0.45">
      <c r="A402">
        <v>1222025</v>
      </c>
      <c r="B402" t="s">
        <v>358</v>
      </c>
      <c r="C402" t="s">
        <v>1468</v>
      </c>
      <c r="D402" t="s">
        <v>1008</v>
      </c>
      <c r="E402" t="s">
        <v>1010</v>
      </c>
      <c r="F402" t="s">
        <v>116</v>
      </c>
      <c r="G402">
        <v>2025</v>
      </c>
      <c r="H402">
        <v>6</v>
      </c>
      <c r="I402">
        <v>19</v>
      </c>
      <c r="J402">
        <v>10715</v>
      </c>
      <c r="K402">
        <v>442</v>
      </c>
      <c r="L402">
        <v>0</v>
      </c>
      <c r="M402">
        <v>178.6</v>
      </c>
      <c r="N402">
        <v>7.4</v>
      </c>
      <c r="O402">
        <v>9.4</v>
      </c>
      <c r="P402">
        <v>152</v>
      </c>
      <c r="Q402" s="1" t="s">
        <v>359</v>
      </c>
    </row>
    <row r="403" spans="1:17" hidden="1" x14ac:dyDescent="0.45">
      <c r="A403">
        <v>1222025</v>
      </c>
      <c r="B403" t="s">
        <v>358</v>
      </c>
      <c r="C403" t="s">
        <v>1468</v>
      </c>
      <c r="D403" t="s">
        <v>1008</v>
      </c>
      <c r="E403" t="s">
        <v>1010</v>
      </c>
      <c r="F403" t="s">
        <v>116</v>
      </c>
      <c r="G403">
        <v>2025</v>
      </c>
      <c r="H403">
        <v>7</v>
      </c>
      <c r="I403">
        <v>18</v>
      </c>
      <c r="J403">
        <v>10399</v>
      </c>
      <c r="K403">
        <v>413</v>
      </c>
      <c r="L403">
        <v>0</v>
      </c>
      <c r="M403">
        <v>173.3</v>
      </c>
      <c r="N403">
        <v>6.9</v>
      </c>
      <c r="O403">
        <v>9.6</v>
      </c>
      <c r="P403">
        <v>144</v>
      </c>
      <c r="Q403" s="1" t="s">
        <v>360</v>
      </c>
    </row>
    <row r="404" spans="1:17" hidden="1" x14ac:dyDescent="0.45">
      <c r="A404">
        <v>1222025</v>
      </c>
      <c r="B404" t="s">
        <v>358</v>
      </c>
      <c r="C404" t="s">
        <v>1468</v>
      </c>
      <c r="D404" t="s">
        <v>1008</v>
      </c>
      <c r="E404" t="s">
        <v>1010</v>
      </c>
      <c r="F404" t="s">
        <v>116</v>
      </c>
      <c r="G404">
        <v>2025</v>
      </c>
      <c r="H404">
        <v>8</v>
      </c>
      <c r="I404">
        <v>16</v>
      </c>
      <c r="J404">
        <v>8678</v>
      </c>
      <c r="K404">
        <v>420</v>
      </c>
      <c r="L404">
        <v>0</v>
      </c>
      <c r="M404">
        <v>144.6</v>
      </c>
      <c r="N404">
        <v>7</v>
      </c>
      <c r="O404">
        <v>9</v>
      </c>
      <c r="P404">
        <v>128</v>
      </c>
      <c r="Q404" s="1" t="s">
        <v>300</v>
      </c>
    </row>
    <row r="405" spans="1:17" hidden="1" x14ac:dyDescent="0.45">
      <c r="A405">
        <v>1222031</v>
      </c>
      <c r="B405" t="s">
        <v>361</v>
      </c>
      <c r="C405" t="s">
        <v>1458</v>
      </c>
      <c r="D405" t="s">
        <v>815</v>
      </c>
      <c r="E405" t="s">
        <v>827</v>
      </c>
      <c r="F405" t="s">
        <v>116</v>
      </c>
      <c r="G405">
        <v>2025</v>
      </c>
      <c r="H405">
        <v>6</v>
      </c>
      <c r="I405">
        <v>19</v>
      </c>
      <c r="J405">
        <v>10997</v>
      </c>
      <c r="K405">
        <v>226</v>
      </c>
      <c r="L405">
        <v>1</v>
      </c>
      <c r="M405">
        <v>183.3</v>
      </c>
      <c r="N405">
        <v>3.8</v>
      </c>
      <c r="O405">
        <v>9.6</v>
      </c>
      <c r="P405">
        <v>144</v>
      </c>
      <c r="Q405" s="1" t="s">
        <v>362</v>
      </c>
    </row>
    <row r="406" spans="1:17" hidden="1" x14ac:dyDescent="0.45">
      <c r="A406">
        <v>1222031</v>
      </c>
      <c r="B406" t="s">
        <v>361</v>
      </c>
      <c r="C406" t="s">
        <v>1458</v>
      </c>
      <c r="D406" t="s">
        <v>815</v>
      </c>
      <c r="E406" t="s">
        <v>827</v>
      </c>
      <c r="F406" t="s">
        <v>116</v>
      </c>
      <c r="G406">
        <v>2025</v>
      </c>
      <c r="H406">
        <v>7</v>
      </c>
      <c r="I406">
        <v>19</v>
      </c>
      <c r="J406">
        <v>10080</v>
      </c>
      <c r="K406">
        <v>0</v>
      </c>
      <c r="L406">
        <v>1</v>
      </c>
      <c r="M406">
        <v>168</v>
      </c>
      <c r="N406">
        <v>0</v>
      </c>
      <c r="O406">
        <v>8.8000000000000007</v>
      </c>
      <c r="P406">
        <v>144</v>
      </c>
      <c r="Q406">
        <v>24</v>
      </c>
    </row>
    <row r="407" spans="1:17" hidden="1" x14ac:dyDescent="0.45">
      <c r="A407">
        <v>1222031</v>
      </c>
      <c r="B407" t="s">
        <v>361</v>
      </c>
      <c r="C407" t="s">
        <v>1458</v>
      </c>
      <c r="D407" t="s">
        <v>815</v>
      </c>
      <c r="E407" t="s">
        <v>827</v>
      </c>
      <c r="F407" t="s">
        <v>116</v>
      </c>
      <c r="G407">
        <v>2025</v>
      </c>
      <c r="H407">
        <v>8</v>
      </c>
      <c r="I407">
        <v>17</v>
      </c>
      <c r="J407">
        <v>9762</v>
      </c>
      <c r="K407">
        <v>143</v>
      </c>
      <c r="L407">
        <v>1</v>
      </c>
      <c r="M407">
        <v>162.69999999999999</v>
      </c>
      <c r="N407">
        <v>2.4</v>
      </c>
      <c r="O407">
        <v>9.6</v>
      </c>
      <c r="P407">
        <v>128</v>
      </c>
      <c r="Q407" s="1" t="s">
        <v>363</v>
      </c>
    </row>
    <row r="408" spans="1:17" hidden="1" x14ac:dyDescent="0.45">
      <c r="A408">
        <v>1222033</v>
      </c>
      <c r="B408" t="s">
        <v>364</v>
      </c>
      <c r="C408" t="s">
        <v>1445</v>
      </c>
      <c r="D408" t="s">
        <v>815</v>
      </c>
      <c r="E408" t="s">
        <v>830</v>
      </c>
      <c r="F408" t="s">
        <v>116</v>
      </c>
      <c r="G408">
        <v>2025</v>
      </c>
      <c r="H408">
        <v>6</v>
      </c>
      <c r="I408">
        <v>21</v>
      </c>
      <c r="J408">
        <v>11579</v>
      </c>
      <c r="K408">
        <v>303</v>
      </c>
      <c r="L408">
        <v>2</v>
      </c>
      <c r="M408">
        <v>193</v>
      </c>
      <c r="N408">
        <v>5</v>
      </c>
      <c r="O408">
        <v>9.1999999999999993</v>
      </c>
      <c r="P408">
        <v>152</v>
      </c>
      <c r="Q408">
        <v>41</v>
      </c>
    </row>
    <row r="409" spans="1:17" hidden="1" x14ac:dyDescent="0.45">
      <c r="A409">
        <v>1222033</v>
      </c>
      <c r="B409" t="s">
        <v>364</v>
      </c>
      <c r="C409" t="s">
        <v>1445</v>
      </c>
      <c r="D409" t="s">
        <v>815</v>
      </c>
      <c r="E409" t="s">
        <v>830</v>
      </c>
      <c r="F409" t="s">
        <v>116</v>
      </c>
      <c r="G409">
        <v>2025</v>
      </c>
      <c r="H409">
        <v>7</v>
      </c>
      <c r="I409">
        <v>17</v>
      </c>
      <c r="J409">
        <v>10011</v>
      </c>
      <c r="K409">
        <v>109</v>
      </c>
      <c r="L409">
        <v>0</v>
      </c>
      <c r="M409">
        <v>166.8</v>
      </c>
      <c r="N409">
        <v>1.8</v>
      </c>
      <c r="O409">
        <v>9.8000000000000007</v>
      </c>
      <c r="P409">
        <v>136</v>
      </c>
      <c r="Q409" s="1" t="s">
        <v>365</v>
      </c>
    </row>
    <row r="410" spans="1:17" hidden="1" x14ac:dyDescent="0.45">
      <c r="A410">
        <v>1222033</v>
      </c>
      <c r="B410" t="s">
        <v>364</v>
      </c>
      <c r="C410" t="s">
        <v>1445</v>
      </c>
      <c r="D410" t="s">
        <v>815</v>
      </c>
      <c r="E410" t="s">
        <v>830</v>
      </c>
      <c r="F410" t="s">
        <v>116</v>
      </c>
      <c r="G410">
        <v>2025</v>
      </c>
      <c r="H410">
        <v>8</v>
      </c>
      <c r="I410">
        <v>14</v>
      </c>
      <c r="J410">
        <v>6758</v>
      </c>
      <c r="K410">
        <v>0</v>
      </c>
      <c r="L410">
        <v>0</v>
      </c>
      <c r="M410">
        <v>112.6</v>
      </c>
      <c r="N410">
        <v>0</v>
      </c>
      <c r="O410">
        <v>8</v>
      </c>
      <c r="P410">
        <v>112</v>
      </c>
      <c r="Q410" s="1" t="s">
        <v>366</v>
      </c>
    </row>
    <row r="411" spans="1:17" hidden="1" x14ac:dyDescent="0.45">
      <c r="A411">
        <v>1222034</v>
      </c>
      <c r="B411" t="s">
        <v>367</v>
      </c>
      <c r="C411" t="s">
        <v>1459</v>
      </c>
      <c r="D411" t="s">
        <v>954</v>
      </c>
      <c r="E411" t="s">
        <v>962</v>
      </c>
      <c r="F411" t="s">
        <v>116</v>
      </c>
      <c r="G411">
        <v>2025</v>
      </c>
      <c r="H411">
        <v>6</v>
      </c>
      <c r="I411">
        <v>17</v>
      </c>
      <c r="J411">
        <v>10560</v>
      </c>
      <c r="K411">
        <v>1691</v>
      </c>
      <c r="L411">
        <v>0</v>
      </c>
      <c r="M411">
        <v>176</v>
      </c>
      <c r="N411">
        <v>28.2</v>
      </c>
      <c r="O411">
        <v>10.4</v>
      </c>
      <c r="P411">
        <v>136</v>
      </c>
      <c r="Q411">
        <v>40</v>
      </c>
    </row>
    <row r="412" spans="1:17" hidden="1" x14ac:dyDescent="0.45">
      <c r="A412">
        <v>1222034</v>
      </c>
      <c r="B412" t="s">
        <v>367</v>
      </c>
      <c r="C412" t="s">
        <v>1459</v>
      </c>
      <c r="D412" t="s">
        <v>954</v>
      </c>
      <c r="E412" t="s">
        <v>962</v>
      </c>
      <c r="F412" t="s">
        <v>116</v>
      </c>
      <c r="G412">
        <v>2025</v>
      </c>
      <c r="H412">
        <v>7</v>
      </c>
      <c r="I412">
        <v>18</v>
      </c>
      <c r="J412">
        <v>11539</v>
      </c>
      <c r="K412">
        <v>2097</v>
      </c>
      <c r="L412">
        <v>0</v>
      </c>
      <c r="M412">
        <v>192.3</v>
      </c>
      <c r="N412">
        <v>35</v>
      </c>
      <c r="O412">
        <v>10.7</v>
      </c>
      <c r="P412">
        <v>144</v>
      </c>
      <c r="Q412" s="1" t="s">
        <v>368</v>
      </c>
    </row>
    <row r="413" spans="1:17" hidden="1" x14ac:dyDescent="0.45">
      <c r="A413">
        <v>1222034</v>
      </c>
      <c r="B413" t="s">
        <v>367</v>
      </c>
      <c r="C413" t="s">
        <v>1459</v>
      </c>
      <c r="D413" t="s">
        <v>954</v>
      </c>
      <c r="E413" t="s">
        <v>962</v>
      </c>
      <c r="F413" t="s">
        <v>116</v>
      </c>
      <c r="G413">
        <v>2025</v>
      </c>
      <c r="H413">
        <v>8</v>
      </c>
      <c r="I413">
        <v>16</v>
      </c>
      <c r="J413">
        <v>11888</v>
      </c>
      <c r="K413">
        <v>2315</v>
      </c>
      <c r="L413">
        <v>0</v>
      </c>
      <c r="M413">
        <v>198.1</v>
      </c>
      <c r="N413">
        <v>38.6</v>
      </c>
      <c r="O413">
        <v>12.4</v>
      </c>
      <c r="P413">
        <v>128</v>
      </c>
      <c r="Q413">
        <v>70.099999999999994</v>
      </c>
    </row>
    <row r="414" spans="1:17" hidden="1" x14ac:dyDescent="0.45">
      <c r="A414">
        <v>1222035</v>
      </c>
      <c r="B414" t="s">
        <v>369</v>
      </c>
      <c r="C414" t="s">
        <v>1467</v>
      </c>
      <c r="D414" t="s">
        <v>999</v>
      </c>
      <c r="E414" t="s">
        <v>1001</v>
      </c>
      <c r="F414" t="s">
        <v>171</v>
      </c>
      <c r="G414">
        <v>2025</v>
      </c>
      <c r="H414">
        <v>6</v>
      </c>
      <c r="I414">
        <v>19</v>
      </c>
      <c r="J414">
        <v>11017</v>
      </c>
      <c r="K414">
        <v>0</v>
      </c>
      <c r="L414">
        <v>0</v>
      </c>
      <c r="M414">
        <v>183.6</v>
      </c>
      <c r="N414">
        <v>0</v>
      </c>
      <c r="O414">
        <v>9.6999999999999993</v>
      </c>
      <c r="P414">
        <v>152</v>
      </c>
      <c r="Q414" s="1" t="s">
        <v>370</v>
      </c>
    </row>
    <row r="415" spans="1:17" hidden="1" x14ac:dyDescent="0.45">
      <c r="A415">
        <v>1222035</v>
      </c>
      <c r="B415" t="s">
        <v>369</v>
      </c>
      <c r="C415" t="s">
        <v>1467</v>
      </c>
      <c r="D415" t="s">
        <v>999</v>
      </c>
      <c r="E415" t="s">
        <v>1001</v>
      </c>
      <c r="F415" t="s">
        <v>171</v>
      </c>
      <c r="G415">
        <v>2025</v>
      </c>
      <c r="H415">
        <v>7</v>
      </c>
      <c r="I415">
        <v>22</v>
      </c>
      <c r="J415">
        <v>13112</v>
      </c>
      <c r="K415">
        <v>0</v>
      </c>
      <c r="L415">
        <v>0</v>
      </c>
      <c r="M415">
        <v>218.5</v>
      </c>
      <c r="N415">
        <v>0</v>
      </c>
      <c r="O415">
        <v>9.9</v>
      </c>
      <c r="P415">
        <v>176</v>
      </c>
      <c r="Q415">
        <v>42.5</v>
      </c>
    </row>
    <row r="416" spans="1:17" hidden="1" x14ac:dyDescent="0.45">
      <c r="A416">
        <v>1222035</v>
      </c>
      <c r="B416" t="s">
        <v>369</v>
      </c>
      <c r="C416" t="s">
        <v>1467</v>
      </c>
      <c r="D416" t="s">
        <v>999</v>
      </c>
      <c r="E416" t="s">
        <v>1001</v>
      </c>
      <c r="F416" t="s">
        <v>171</v>
      </c>
      <c r="G416">
        <v>2025</v>
      </c>
      <c r="H416">
        <v>8</v>
      </c>
      <c r="I416">
        <v>15</v>
      </c>
      <c r="J416">
        <v>7889</v>
      </c>
      <c r="K416">
        <v>0</v>
      </c>
      <c r="L416">
        <v>0</v>
      </c>
      <c r="M416">
        <v>131.5</v>
      </c>
      <c r="N416">
        <v>0</v>
      </c>
      <c r="O416">
        <v>8.8000000000000007</v>
      </c>
      <c r="P416">
        <v>120</v>
      </c>
      <c r="Q416">
        <v>11.5</v>
      </c>
    </row>
    <row r="417" spans="1:17" hidden="1" x14ac:dyDescent="0.45">
      <c r="A417">
        <v>1222036</v>
      </c>
      <c r="B417" t="s">
        <v>371</v>
      </c>
      <c r="C417" t="s">
        <v>1465</v>
      </c>
      <c r="D417" t="s">
        <v>1008</v>
      </c>
      <c r="E417" t="s">
        <v>1013</v>
      </c>
      <c r="F417" t="s">
        <v>171</v>
      </c>
      <c r="G417">
        <v>2025</v>
      </c>
      <c r="H417">
        <v>6</v>
      </c>
      <c r="I417">
        <v>19</v>
      </c>
      <c r="J417">
        <v>11261</v>
      </c>
      <c r="K417">
        <v>605</v>
      </c>
      <c r="L417">
        <v>0</v>
      </c>
      <c r="M417">
        <v>187.7</v>
      </c>
      <c r="N417">
        <v>10.1</v>
      </c>
      <c r="O417">
        <v>9.9</v>
      </c>
      <c r="P417">
        <v>152</v>
      </c>
      <c r="Q417" s="1" t="s">
        <v>58</v>
      </c>
    </row>
    <row r="418" spans="1:17" hidden="1" x14ac:dyDescent="0.45">
      <c r="A418">
        <v>1222036</v>
      </c>
      <c r="B418" t="s">
        <v>371</v>
      </c>
      <c r="C418" t="s">
        <v>1465</v>
      </c>
      <c r="D418" t="s">
        <v>1008</v>
      </c>
      <c r="E418" t="s">
        <v>1013</v>
      </c>
      <c r="F418" t="s">
        <v>171</v>
      </c>
      <c r="G418">
        <v>2025</v>
      </c>
      <c r="H418">
        <v>7</v>
      </c>
      <c r="I418">
        <v>17</v>
      </c>
      <c r="J418">
        <v>10082</v>
      </c>
      <c r="K418">
        <v>1011</v>
      </c>
      <c r="L418">
        <v>0</v>
      </c>
      <c r="M418">
        <v>168</v>
      </c>
      <c r="N418">
        <v>16.8</v>
      </c>
      <c r="O418">
        <v>9.9</v>
      </c>
      <c r="P418">
        <v>136</v>
      </c>
      <c r="Q418">
        <v>32</v>
      </c>
    </row>
    <row r="419" spans="1:17" hidden="1" x14ac:dyDescent="0.45">
      <c r="A419">
        <v>1222036</v>
      </c>
      <c r="B419" t="s">
        <v>371</v>
      </c>
      <c r="C419" t="s">
        <v>1465</v>
      </c>
      <c r="D419" t="s">
        <v>1008</v>
      </c>
      <c r="E419" t="s">
        <v>1013</v>
      </c>
      <c r="F419" t="s">
        <v>171</v>
      </c>
      <c r="G419">
        <v>2025</v>
      </c>
      <c r="H419">
        <v>8</v>
      </c>
      <c r="I419">
        <v>16</v>
      </c>
      <c r="J419">
        <v>8872</v>
      </c>
      <c r="K419">
        <v>635</v>
      </c>
      <c r="L419">
        <v>0</v>
      </c>
      <c r="M419">
        <v>147.9</v>
      </c>
      <c r="N419">
        <v>10.6</v>
      </c>
      <c r="O419">
        <v>9.1999999999999993</v>
      </c>
      <c r="P419">
        <v>128</v>
      </c>
      <c r="Q419" s="1" t="s">
        <v>99</v>
      </c>
    </row>
    <row r="420" spans="1:17" hidden="1" x14ac:dyDescent="0.45">
      <c r="A420">
        <v>1222037</v>
      </c>
      <c r="B420" t="s">
        <v>372</v>
      </c>
      <c r="C420" t="s">
        <v>1448</v>
      </c>
      <c r="D420" t="s">
        <v>884</v>
      </c>
      <c r="E420" t="s">
        <v>887</v>
      </c>
      <c r="F420" t="s">
        <v>171</v>
      </c>
      <c r="G420">
        <v>2025</v>
      </c>
      <c r="H420">
        <v>6</v>
      </c>
      <c r="I420">
        <v>18</v>
      </c>
      <c r="J420">
        <v>10062</v>
      </c>
      <c r="K420">
        <v>190</v>
      </c>
      <c r="L420">
        <v>0</v>
      </c>
      <c r="M420">
        <v>167.7</v>
      </c>
      <c r="N420">
        <v>3.2</v>
      </c>
      <c r="O420">
        <v>9.3000000000000007</v>
      </c>
      <c r="P420">
        <v>144</v>
      </c>
      <c r="Q420" s="1" t="s">
        <v>347</v>
      </c>
    </row>
    <row r="421" spans="1:17" hidden="1" x14ac:dyDescent="0.45">
      <c r="A421">
        <v>1222037</v>
      </c>
      <c r="B421" t="s">
        <v>372</v>
      </c>
      <c r="C421" t="s">
        <v>1448</v>
      </c>
      <c r="D421" t="s">
        <v>884</v>
      </c>
      <c r="E421" t="s">
        <v>887</v>
      </c>
      <c r="F421" t="s">
        <v>171</v>
      </c>
      <c r="G421">
        <v>2025</v>
      </c>
      <c r="H421">
        <v>7</v>
      </c>
      <c r="I421">
        <v>18</v>
      </c>
      <c r="J421">
        <v>9984</v>
      </c>
      <c r="K421">
        <v>130</v>
      </c>
      <c r="L421">
        <v>0</v>
      </c>
      <c r="M421">
        <v>166.4</v>
      </c>
      <c r="N421">
        <v>2.2000000000000002</v>
      </c>
      <c r="O421">
        <v>9.1999999999999993</v>
      </c>
      <c r="P421">
        <v>144</v>
      </c>
      <c r="Q421" s="1" t="s">
        <v>341</v>
      </c>
    </row>
    <row r="422" spans="1:17" hidden="1" x14ac:dyDescent="0.45">
      <c r="A422">
        <v>1222037</v>
      </c>
      <c r="B422" t="s">
        <v>372</v>
      </c>
      <c r="C422" t="s">
        <v>1448</v>
      </c>
      <c r="D422" t="s">
        <v>884</v>
      </c>
      <c r="E422" t="s">
        <v>887</v>
      </c>
      <c r="F422" t="s">
        <v>171</v>
      </c>
      <c r="G422">
        <v>2025</v>
      </c>
      <c r="H422">
        <v>8</v>
      </c>
      <c r="I422">
        <v>15</v>
      </c>
      <c r="J422">
        <v>7867</v>
      </c>
      <c r="K422">
        <v>85</v>
      </c>
      <c r="L422">
        <v>0</v>
      </c>
      <c r="M422">
        <v>131.1</v>
      </c>
      <c r="N422">
        <v>1.4</v>
      </c>
      <c r="O422">
        <v>8.6999999999999993</v>
      </c>
      <c r="P422">
        <v>120</v>
      </c>
      <c r="Q422" s="1" t="s">
        <v>373</v>
      </c>
    </row>
    <row r="423" spans="1:17" hidden="1" x14ac:dyDescent="0.45">
      <c r="A423">
        <v>1222038</v>
      </c>
      <c r="B423" t="s">
        <v>374</v>
      </c>
      <c r="C423" t="s">
        <v>1462</v>
      </c>
      <c r="D423" t="s">
        <v>718</v>
      </c>
      <c r="E423" t="s">
        <v>741</v>
      </c>
      <c r="F423" t="s">
        <v>171</v>
      </c>
      <c r="G423">
        <v>2025</v>
      </c>
      <c r="H423">
        <v>6</v>
      </c>
      <c r="I423">
        <v>30</v>
      </c>
      <c r="J423">
        <v>42751</v>
      </c>
      <c r="K423">
        <v>0</v>
      </c>
      <c r="L423">
        <v>9</v>
      </c>
      <c r="M423">
        <v>712.5</v>
      </c>
      <c r="N423">
        <v>0</v>
      </c>
      <c r="O423">
        <v>23.8</v>
      </c>
      <c r="P423">
        <v>168</v>
      </c>
      <c r="Q423">
        <v>544.5</v>
      </c>
    </row>
    <row r="424" spans="1:17" hidden="1" x14ac:dyDescent="0.45">
      <c r="A424">
        <v>1222038</v>
      </c>
      <c r="B424" t="s">
        <v>374</v>
      </c>
      <c r="C424" t="s">
        <v>1462</v>
      </c>
      <c r="D424" t="s">
        <v>718</v>
      </c>
      <c r="E424" t="s">
        <v>741</v>
      </c>
      <c r="F424" t="s">
        <v>171</v>
      </c>
      <c r="G424">
        <v>2025</v>
      </c>
      <c r="H424">
        <v>7</v>
      </c>
      <c r="I424">
        <v>31</v>
      </c>
      <c r="J424">
        <v>44194</v>
      </c>
      <c r="K424">
        <v>0</v>
      </c>
      <c r="L424">
        <v>8</v>
      </c>
      <c r="M424">
        <v>736.6</v>
      </c>
      <c r="N424">
        <v>0</v>
      </c>
      <c r="O424">
        <v>23.8</v>
      </c>
      <c r="P424">
        <v>184</v>
      </c>
      <c r="Q424">
        <v>552.6</v>
      </c>
    </row>
    <row r="425" spans="1:17" hidden="1" x14ac:dyDescent="0.45">
      <c r="A425">
        <v>1222038</v>
      </c>
      <c r="B425" t="s">
        <v>374</v>
      </c>
      <c r="C425" t="s">
        <v>1462</v>
      </c>
      <c r="D425" t="s">
        <v>718</v>
      </c>
      <c r="E425" t="s">
        <v>741</v>
      </c>
      <c r="F425" t="s">
        <v>171</v>
      </c>
      <c r="G425">
        <v>2025</v>
      </c>
      <c r="H425">
        <v>8</v>
      </c>
      <c r="I425">
        <v>26</v>
      </c>
      <c r="J425">
        <v>36279</v>
      </c>
      <c r="K425">
        <v>0</v>
      </c>
      <c r="L425">
        <v>8</v>
      </c>
      <c r="M425">
        <v>604.6</v>
      </c>
      <c r="N425">
        <v>0</v>
      </c>
      <c r="O425">
        <v>23.3</v>
      </c>
      <c r="P425">
        <v>144</v>
      </c>
      <c r="Q425">
        <v>460.6</v>
      </c>
    </row>
    <row r="426" spans="1:17" x14ac:dyDescent="0.45">
      <c r="A426">
        <v>1222041</v>
      </c>
      <c r="B426" t="s">
        <v>179</v>
      </c>
      <c r="C426" t="s">
        <v>1451</v>
      </c>
      <c r="D426" t="s">
        <v>718</v>
      </c>
      <c r="E426" t="s">
        <v>733</v>
      </c>
      <c r="F426" t="s">
        <v>171</v>
      </c>
      <c r="G426">
        <v>2025</v>
      </c>
      <c r="H426">
        <v>6</v>
      </c>
      <c r="I426">
        <v>18</v>
      </c>
      <c r="J426">
        <v>10306</v>
      </c>
      <c r="K426">
        <v>168</v>
      </c>
      <c r="L426">
        <v>0</v>
      </c>
      <c r="M426">
        <v>171.8</v>
      </c>
      <c r="N426">
        <v>2.8</v>
      </c>
      <c r="O426">
        <v>9.5</v>
      </c>
      <c r="P426">
        <v>144</v>
      </c>
      <c r="Q426" s="1" t="s">
        <v>163</v>
      </c>
    </row>
    <row r="427" spans="1:17" x14ac:dyDescent="0.45">
      <c r="A427">
        <v>1222041</v>
      </c>
      <c r="B427" t="s">
        <v>179</v>
      </c>
      <c r="C427" t="s">
        <v>1451</v>
      </c>
      <c r="D427" t="s">
        <v>718</v>
      </c>
      <c r="E427" t="s">
        <v>733</v>
      </c>
      <c r="F427" t="s">
        <v>171</v>
      </c>
      <c r="G427">
        <v>2025</v>
      </c>
      <c r="H427">
        <v>7</v>
      </c>
      <c r="I427">
        <v>19</v>
      </c>
      <c r="J427">
        <v>10484</v>
      </c>
      <c r="K427">
        <v>373</v>
      </c>
      <c r="L427">
        <v>1</v>
      </c>
      <c r="M427">
        <v>174.7</v>
      </c>
      <c r="N427">
        <v>6.2</v>
      </c>
      <c r="O427">
        <v>9.1999999999999993</v>
      </c>
      <c r="P427">
        <v>144</v>
      </c>
      <c r="Q427" s="1" t="s">
        <v>193</v>
      </c>
    </row>
    <row r="428" spans="1:17" x14ac:dyDescent="0.45">
      <c r="A428">
        <v>1222041</v>
      </c>
      <c r="B428" t="s">
        <v>179</v>
      </c>
      <c r="C428" t="s">
        <v>1451</v>
      </c>
      <c r="D428" t="s">
        <v>718</v>
      </c>
      <c r="E428" t="s">
        <v>733</v>
      </c>
      <c r="F428" t="s">
        <v>171</v>
      </c>
      <c r="G428">
        <v>2025</v>
      </c>
      <c r="H428">
        <v>8</v>
      </c>
      <c r="I428">
        <v>17</v>
      </c>
      <c r="J428">
        <v>8636</v>
      </c>
      <c r="K428">
        <v>202</v>
      </c>
      <c r="L428">
        <v>0</v>
      </c>
      <c r="M428">
        <v>143.9</v>
      </c>
      <c r="N428">
        <v>3.4</v>
      </c>
      <c r="O428">
        <v>8.5</v>
      </c>
      <c r="P428">
        <v>136</v>
      </c>
      <c r="Q428" s="1" t="s">
        <v>375</v>
      </c>
    </row>
    <row r="429" spans="1:17" hidden="1" x14ac:dyDescent="0.45">
      <c r="A429">
        <v>1222042</v>
      </c>
      <c r="B429" t="s">
        <v>376</v>
      </c>
      <c r="C429" t="s">
        <v>1473</v>
      </c>
      <c r="D429" t="s">
        <v>718</v>
      </c>
      <c r="E429" t="s">
        <v>746</v>
      </c>
      <c r="F429" t="s">
        <v>116</v>
      </c>
      <c r="G429">
        <v>2025</v>
      </c>
      <c r="H429">
        <v>6</v>
      </c>
      <c r="I429">
        <v>10</v>
      </c>
      <c r="J429">
        <v>5866</v>
      </c>
      <c r="K429">
        <v>212</v>
      </c>
      <c r="L429">
        <v>0</v>
      </c>
      <c r="M429">
        <v>97.8</v>
      </c>
      <c r="N429">
        <v>3.5</v>
      </c>
      <c r="O429">
        <v>9.8000000000000007</v>
      </c>
      <c r="P429">
        <v>80</v>
      </c>
      <c r="Q429" s="1" t="s">
        <v>377</v>
      </c>
    </row>
    <row r="430" spans="1:17" hidden="1" x14ac:dyDescent="0.45">
      <c r="A430">
        <v>1222042</v>
      </c>
      <c r="B430" t="s">
        <v>376</v>
      </c>
      <c r="C430" t="s">
        <v>1473</v>
      </c>
      <c r="D430" t="s">
        <v>718</v>
      </c>
      <c r="E430" t="s">
        <v>746</v>
      </c>
      <c r="F430" t="s">
        <v>116</v>
      </c>
      <c r="G430">
        <v>2025</v>
      </c>
      <c r="H430">
        <v>7</v>
      </c>
      <c r="I430">
        <v>17</v>
      </c>
      <c r="J430">
        <v>10344</v>
      </c>
      <c r="K430">
        <v>357</v>
      </c>
      <c r="L430">
        <v>0</v>
      </c>
      <c r="M430">
        <v>172.4</v>
      </c>
      <c r="N430">
        <v>6</v>
      </c>
      <c r="O430">
        <v>10.1</v>
      </c>
      <c r="P430">
        <v>136</v>
      </c>
      <c r="Q430" s="1" t="s">
        <v>378</v>
      </c>
    </row>
    <row r="431" spans="1:17" hidden="1" x14ac:dyDescent="0.45">
      <c r="A431">
        <v>1222042</v>
      </c>
      <c r="B431" t="s">
        <v>376</v>
      </c>
      <c r="C431" t="s">
        <v>1473</v>
      </c>
      <c r="D431" t="s">
        <v>718</v>
      </c>
      <c r="E431" t="s">
        <v>746</v>
      </c>
      <c r="F431" t="s">
        <v>116</v>
      </c>
      <c r="G431">
        <v>2025</v>
      </c>
      <c r="H431">
        <v>8</v>
      </c>
      <c r="I431">
        <v>15</v>
      </c>
      <c r="J431">
        <v>8145</v>
      </c>
      <c r="K431">
        <v>279</v>
      </c>
      <c r="L431">
        <v>0</v>
      </c>
      <c r="M431">
        <v>135.80000000000001</v>
      </c>
      <c r="N431">
        <v>4.5999999999999996</v>
      </c>
      <c r="O431">
        <v>9.1</v>
      </c>
      <c r="P431">
        <v>120</v>
      </c>
      <c r="Q431" s="1" t="s">
        <v>379</v>
      </c>
    </row>
    <row r="432" spans="1:17" hidden="1" x14ac:dyDescent="0.45">
      <c r="A432">
        <v>1222047</v>
      </c>
      <c r="B432" t="s">
        <v>380</v>
      </c>
      <c r="C432" t="s">
        <v>1468</v>
      </c>
      <c r="D432" t="s">
        <v>1008</v>
      </c>
      <c r="E432" t="s">
        <v>1010</v>
      </c>
      <c r="F432" t="s">
        <v>171</v>
      </c>
      <c r="G432">
        <v>2025</v>
      </c>
      <c r="H432">
        <v>6</v>
      </c>
      <c r="I432">
        <v>18</v>
      </c>
      <c r="J432">
        <v>9920</v>
      </c>
      <c r="K432">
        <v>185</v>
      </c>
      <c r="L432">
        <v>0</v>
      </c>
      <c r="M432">
        <v>165.3</v>
      </c>
      <c r="N432">
        <v>3.1</v>
      </c>
      <c r="O432">
        <v>9.1999999999999993</v>
      </c>
      <c r="P432">
        <v>144</v>
      </c>
      <c r="Q432" s="1" t="s">
        <v>220</v>
      </c>
    </row>
    <row r="433" spans="1:17" hidden="1" x14ac:dyDescent="0.45">
      <c r="A433">
        <v>1222047</v>
      </c>
      <c r="B433" t="s">
        <v>380</v>
      </c>
      <c r="C433" t="s">
        <v>1468</v>
      </c>
      <c r="D433" t="s">
        <v>1008</v>
      </c>
      <c r="E433" t="s">
        <v>1010</v>
      </c>
      <c r="F433" t="s">
        <v>171</v>
      </c>
      <c r="G433">
        <v>2025</v>
      </c>
      <c r="H433">
        <v>7</v>
      </c>
      <c r="I433">
        <v>20</v>
      </c>
      <c r="J433">
        <v>11715</v>
      </c>
      <c r="K433">
        <v>0</v>
      </c>
      <c r="L433">
        <v>1</v>
      </c>
      <c r="M433">
        <v>195.2</v>
      </c>
      <c r="N433">
        <v>0</v>
      </c>
      <c r="O433">
        <v>9.8000000000000007</v>
      </c>
      <c r="P433">
        <v>152</v>
      </c>
      <c r="Q433" s="1" t="s">
        <v>381</v>
      </c>
    </row>
    <row r="434" spans="1:17" hidden="1" x14ac:dyDescent="0.45">
      <c r="A434">
        <v>1222047</v>
      </c>
      <c r="B434" t="s">
        <v>380</v>
      </c>
      <c r="C434" t="s">
        <v>1468</v>
      </c>
      <c r="D434" t="s">
        <v>1008</v>
      </c>
      <c r="E434" t="s">
        <v>1010</v>
      </c>
      <c r="F434" t="s">
        <v>171</v>
      </c>
      <c r="G434">
        <v>2025</v>
      </c>
      <c r="H434">
        <v>8</v>
      </c>
      <c r="I434">
        <v>16</v>
      </c>
      <c r="J434">
        <v>8230</v>
      </c>
      <c r="K434">
        <v>0</v>
      </c>
      <c r="L434">
        <v>0</v>
      </c>
      <c r="M434">
        <v>137.19999999999999</v>
      </c>
      <c r="N434">
        <v>0</v>
      </c>
      <c r="O434">
        <v>8.6</v>
      </c>
      <c r="P434">
        <v>128</v>
      </c>
      <c r="Q434" s="1" t="s">
        <v>382</v>
      </c>
    </row>
    <row r="435" spans="1:17" hidden="1" x14ac:dyDescent="0.45">
      <c r="A435">
        <v>1222050</v>
      </c>
      <c r="B435" t="s">
        <v>383</v>
      </c>
      <c r="C435" t="s">
        <v>1470</v>
      </c>
      <c r="D435" t="s">
        <v>815</v>
      </c>
      <c r="E435" t="s">
        <v>821</v>
      </c>
      <c r="F435" t="s">
        <v>116</v>
      </c>
      <c r="G435">
        <v>2025</v>
      </c>
      <c r="H435">
        <v>6</v>
      </c>
      <c r="I435">
        <v>19</v>
      </c>
      <c r="J435">
        <v>11068</v>
      </c>
      <c r="K435">
        <v>881</v>
      </c>
      <c r="L435">
        <v>0</v>
      </c>
      <c r="M435">
        <v>184.5</v>
      </c>
      <c r="N435">
        <v>14.7</v>
      </c>
      <c r="O435">
        <v>9.6999999999999993</v>
      </c>
      <c r="P435">
        <v>152</v>
      </c>
      <c r="Q435">
        <v>32.5</v>
      </c>
    </row>
    <row r="436" spans="1:17" hidden="1" x14ac:dyDescent="0.45">
      <c r="A436">
        <v>1222050</v>
      </c>
      <c r="B436" t="s">
        <v>383</v>
      </c>
      <c r="C436" t="s">
        <v>1470</v>
      </c>
      <c r="D436" t="s">
        <v>815</v>
      </c>
      <c r="E436" t="s">
        <v>821</v>
      </c>
      <c r="F436" t="s">
        <v>116</v>
      </c>
      <c r="G436">
        <v>2025</v>
      </c>
      <c r="H436">
        <v>7</v>
      </c>
      <c r="I436">
        <v>24</v>
      </c>
      <c r="J436">
        <v>11812</v>
      </c>
      <c r="K436">
        <v>254</v>
      </c>
      <c r="L436">
        <v>1</v>
      </c>
      <c r="M436">
        <v>196.9</v>
      </c>
      <c r="N436">
        <v>4.2</v>
      </c>
      <c r="O436">
        <v>8.1999999999999993</v>
      </c>
      <c r="P436">
        <v>184</v>
      </c>
      <c r="Q436" s="1" t="s">
        <v>384</v>
      </c>
    </row>
    <row r="437" spans="1:17" hidden="1" x14ac:dyDescent="0.45">
      <c r="A437">
        <v>1222050</v>
      </c>
      <c r="B437" t="s">
        <v>383</v>
      </c>
      <c r="C437" t="s">
        <v>1470</v>
      </c>
      <c r="D437" t="s">
        <v>815</v>
      </c>
      <c r="E437" t="s">
        <v>821</v>
      </c>
      <c r="F437" t="s">
        <v>116</v>
      </c>
      <c r="G437">
        <v>2025</v>
      </c>
      <c r="H437">
        <v>8</v>
      </c>
      <c r="I437">
        <v>16</v>
      </c>
      <c r="J437">
        <v>7711</v>
      </c>
      <c r="K437">
        <v>245</v>
      </c>
      <c r="L437">
        <v>0</v>
      </c>
      <c r="M437">
        <v>128.5</v>
      </c>
      <c r="N437">
        <v>4.0999999999999996</v>
      </c>
      <c r="O437">
        <v>8</v>
      </c>
      <c r="P437">
        <v>128</v>
      </c>
      <c r="Q437">
        <v>0.5</v>
      </c>
    </row>
    <row r="438" spans="1:17" hidden="1" x14ac:dyDescent="0.45">
      <c r="A438">
        <v>1222051</v>
      </c>
      <c r="B438" t="s">
        <v>385</v>
      </c>
      <c r="C438" t="s">
        <v>1473</v>
      </c>
      <c r="D438" t="s">
        <v>718</v>
      </c>
      <c r="E438" t="s">
        <v>746</v>
      </c>
      <c r="F438" t="s">
        <v>116</v>
      </c>
      <c r="G438">
        <v>2025</v>
      </c>
      <c r="H438">
        <v>6</v>
      </c>
      <c r="I438">
        <v>12</v>
      </c>
      <c r="J438">
        <v>4946</v>
      </c>
      <c r="K438">
        <v>0</v>
      </c>
      <c r="L438">
        <v>0</v>
      </c>
      <c r="M438">
        <v>82.4</v>
      </c>
      <c r="N438">
        <v>0</v>
      </c>
      <c r="O438">
        <v>6.9</v>
      </c>
      <c r="P438">
        <v>96</v>
      </c>
      <c r="Q438">
        <v>-13.6</v>
      </c>
    </row>
    <row r="439" spans="1:17" hidden="1" x14ac:dyDescent="0.45">
      <c r="A439">
        <v>1222051</v>
      </c>
      <c r="B439" t="s">
        <v>385</v>
      </c>
      <c r="C439" t="s">
        <v>1473</v>
      </c>
      <c r="D439" t="s">
        <v>718</v>
      </c>
      <c r="E439" t="s">
        <v>746</v>
      </c>
      <c r="F439" t="s">
        <v>116</v>
      </c>
      <c r="G439">
        <v>2025</v>
      </c>
      <c r="H439">
        <v>7</v>
      </c>
      <c r="I439">
        <v>18</v>
      </c>
      <c r="J439">
        <v>9765</v>
      </c>
      <c r="K439">
        <v>0</v>
      </c>
      <c r="L439">
        <v>0</v>
      </c>
      <c r="M439">
        <v>162.80000000000001</v>
      </c>
      <c r="N439">
        <v>0</v>
      </c>
      <c r="O439">
        <v>9</v>
      </c>
      <c r="P439">
        <v>144</v>
      </c>
      <c r="Q439" s="1" t="s">
        <v>68</v>
      </c>
    </row>
    <row r="440" spans="1:17" hidden="1" x14ac:dyDescent="0.45">
      <c r="A440">
        <v>1222051</v>
      </c>
      <c r="B440" t="s">
        <v>385</v>
      </c>
      <c r="C440" t="s">
        <v>1473</v>
      </c>
      <c r="D440" t="s">
        <v>718</v>
      </c>
      <c r="E440" t="s">
        <v>746</v>
      </c>
      <c r="F440" t="s">
        <v>116</v>
      </c>
      <c r="G440">
        <v>2025</v>
      </c>
      <c r="H440">
        <v>8</v>
      </c>
      <c r="I440">
        <v>16</v>
      </c>
      <c r="J440">
        <v>7418</v>
      </c>
      <c r="K440">
        <v>0</v>
      </c>
      <c r="L440">
        <v>0</v>
      </c>
      <c r="M440">
        <v>123.6</v>
      </c>
      <c r="N440">
        <v>0</v>
      </c>
      <c r="O440">
        <v>7.7</v>
      </c>
      <c r="P440">
        <v>128</v>
      </c>
      <c r="Q440">
        <v>-4.4000000000000004</v>
      </c>
    </row>
    <row r="441" spans="1:17" hidden="1" x14ac:dyDescent="0.45">
      <c r="A441">
        <v>1222053</v>
      </c>
      <c r="B441" t="s">
        <v>386</v>
      </c>
      <c r="C441" t="s">
        <v>1470</v>
      </c>
      <c r="D441" t="s">
        <v>815</v>
      </c>
      <c r="E441" t="s">
        <v>821</v>
      </c>
      <c r="F441" t="s">
        <v>171</v>
      </c>
      <c r="G441">
        <v>2025</v>
      </c>
      <c r="H441">
        <v>6</v>
      </c>
      <c r="I441">
        <v>17</v>
      </c>
      <c r="J441">
        <v>8486</v>
      </c>
      <c r="K441">
        <v>251</v>
      </c>
      <c r="L441">
        <v>0</v>
      </c>
      <c r="M441">
        <v>141.4</v>
      </c>
      <c r="N441">
        <v>4.2</v>
      </c>
      <c r="O441">
        <v>8.3000000000000007</v>
      </c>
      <c r="P441">
        <v>136</v>
      </c>
      <c r="Q441" s="1" t="s">
        <v>387</v>
      </c>
    </row>
    <row r="442" spans="1:17" hidden="1" x14ac:dyDescent="0.45">
      <c r="A442">
        <v>1222053</v>
      </c>
      <c r="B442" t="s">
        <v>386</v>
      </c>
      <c r="C442" t="s">
        <v>1470</v>
      </c>
      <c r="D442" t="s">
        <v>815</v>
      </c>
      <c r="E442" t="s">
        <v>821</v>
      </c>
      <c r="F442" t="s">
        <v>171</v>
      </c>
      <c r="G442">
        <v>2025</v>
      </c>
      <c r="H442">
        <v>7</v>
      </c>
      <c r="I442">
        <v>17</v>
      </c>
      <c r="J442">
        <v>9496</v>
      </c>
      <c r="K442">
        <v>231</v>
      </c>
      <c r="L442">
        <v>0</v>
      </c>
      <c r="M442">
        <v>158.30000000000001</v>
      </c>
      <c r="N442">
        <v>3.8</v>
      </c>
      <c r="O442">
        <v>9.3000000000000007</v>
      </c>
      <c r="P442">
        <v>136</v>
      </c>
      <c r="Q442" s="1" t="s">
        <v>142</v>
      </c>
    </row>
    <row r="443" spans="1:17" hidden="1" x14ac:dyDescent="0.45">
      <c r="A443">
        <v>1222053</v>
      </c>
      <c r="B443" t="s">
        <v>386</v>
      </c>
      <c r="C443" t="s">
        <v>1470</v>
      </c>
      <c r="D443" t="s">
        <v>815</v>
      </c>
      <c r="E443" t="s">
        <v>821</v>
      </c>
      <c r="F443" t="s">
        <v>171</v>
      </c>
      <c r="G443">
        <v>2025</v>
      </c>
      <c r="H443">
        <v>8</v>
      </c>
      <c r="I443">
        <v>16</v>
      </c>
      <c r="J443">
        <v>9514</v>
      </c>
      <c r="K443">
        <v>98</v>
      </c>
      <c r="L443">
        <v>1</v>
      </c>
      <c r="M443">
        <v>158.6</v>
      </c>
      <c r="N443">
        <v>1.6</v>
      </c>
      <c r="O443">
        <v>9.9</v>
      </c>
      <c r="P443">
        <v>120</v>
      </c>
      <c r="Q443" s="1" t="s">
        <v>388</v>
      </c>
    </row>
    <row r="444" spans="1:17" hidden="1" x14ac:dyDescent="0.45">
      <c r="A444">
        <v>1222055</v>
      </c>
      <c r="B444" t="s">
        <v>389</v>
      </c>
      <c r="C444" t="s">
        <v>1455</v>
      </c>
      <c r="D444" t="s">
        <v>921</v>
      </c>
      <c r="E444" t="s">
        <v>922</v>
      </c>
      <c r="F444" t="s">
        <v>116</v>
      </c>
      <c r="G444">
        <v>2025</v>
      </c>
      <c r="H444">
        <v>6</v>
      </c>
      <c r="I444">
        <v>18</v>
      </c>
      <c r="J444">
        <v>10372</v>
      </c>
      <c r="K444">
        <v>490</v>
      </c>
      <c r="L444">
        <v>0</v>
      </c>
      <c r="M444">
        <v>172.9</v>
      </c>
      <c r="N444">
        <v>8.1999999999999993</v>
      </c>
      <c r="O444">
        <v>9.6</v>
      </c>
      <c r="P444">
        <v>144</v>
      </c>
      <c r="Q444" s="1" t="s">
        <v>45</v>
      </c>
    </row>
    <row r="445" spans="1:17" hidden="1" x14ac:dyDescent="0.45">
      <c r="A445">
        <v>1222055</v>
      </c>
      <c r="B445" t="s">
        <v>389</v>
      </c>
      <c r="C445" t="s">
        <v>1455</v>
      </c>
      <c r="D445" t="s">
        <v>921</v>
      </c>
      <c r="E445" t="s">
        <v>922</v>
      </c>
      <c r="F445" t="s">
        <v>116</v>
      </c>
      <c r="G445">
        <v>2025</v>
      </c>
      <c r="H445">
        <v>7</v>
      </c>
      <c r="I445">
        <v>17</v>
      </c>
      <c r="J445">
        <v>9496</v>
      </c>
      <c r="K445">
        <v>295</v>
      </c>
      <c r="L445">
        <v>0</v>
      </c>
      <c r="M445">
        <v>158.30000000000001</v>
      </c>
      <c r="N445">
        <v>4.9000000000000004</v>
      </c>
      <c r="O445">
        <v>9.3000000000000007</v>
      </c>
      <c r="P445">
        <v>136</v>
      </c>
      <c r="Q445" s="1" t="s">
        <v>142</v>
      </c>
    </row>
    <row r="446" spans="1:17" hidden="1" x14ac:dyDescent="0.45">
      <c r="A446">
        <v>1222055</v>
      </c>
      <c r="B446" t="s">
        <v>389</v>
      </c>
      <c r="C446" t="s">
        <v>1455</v>
      </c>
      <c r="D446" t="s">
        <v>921</v>
      </c>
      <c r="E446" t="s">
        <v>922</v>
      </c>
      <c r="F446" t="s">
        <v>116</v>
      </c>
      <c r="G446">
        <v>2025</v>
      </c>
      <c r="H446">
        <v>8</v>
      </c>
      <c r="I446">
        <v>13</v>
      </c>
      <c r="J446">
        <v>7253</v>
      </c>
      <c r="K446">
        <v>563</v>
      </c>
      <c r="L446">
        <v>0</v>
      </c>
      <c r="M446">
        <v>120.9</v>
      </c>
      <c r="N446">
        <v>9.4</v>
      </c>
      <c r="O446">
        <v>9.3000000000000007</v>
      </c>
      <c r="P446">
        <v>104</v>
      </c>
      <c r="Q446" s="1" t="s">
        <v>173</v>
      </c>
    </row>
    <row r="447" spans="1:17" hidden="1" x14ac:dyDescent="0.45">
      <c r="A447">
        <v>1223008</v>
      </c>
      <c r="B447" t="s">
        <v>390</v>
      </c>
      <c r="C447" t="s">
        <v>1453</v>
      </c>
      <c r="D447" t="s">
        <v>815</v>
      </c>
      <c r="E447" t="s">
        <v>827</v>
      </c>
      <c r="F447" t="s">
        <v>116</v>
      </c>
      <c r="G447">
        <v>2025</v>
      </c>
      <c r="H447">
        <v>6</v>
      </c>
      <c r="I447">
        <v>18</v>
      </c>
      <c r="J447">
        <v>10533</v>
      </c>
      <c r="K447">
        <v>245</v>
      </c>
      <c r="L447">
        <v>0</v>
      </c>
      <c r="M447">
        <v>175.6</v>
      </c>
      <c r="N447">
        <v>4.0999999999999996</v>
      </c>
      <c r="O447">
        <v>9.8000000000000007</v>
      </c>
      <c r="P447">
        <v>144</v>
      </c>
      <c r="Q447" s="1" t="s">
        <v>370</v>
      </c>
    </row>
    <row r="448" spans="1:17" hidden="1" x14ac:dyDescent="0.45">
      <c r="A448">
        <v>1223008</v>
      </c>
      <c r="B448" t="s">
        <v>390</v>
      </c>
      <c r="C448" t="s">
        <v>1453</v>
      </c>
      <c r="D448" t="s">
        <v>815</v>
      </c>
      <c r="E448" t="s">
        <v>827</v>
      </c>
      <c r="F448" t="s">
        <v>116</v>
      </c>
      <c r="G448">
        <v>2025</v>
      </c>
      <c r="H448">
        <v>7</v>
      </c>
      <c r="I448">
        <v>18</v>
      </c>
      <c r="J448">
        <v>11181</v>
      </c>
      <c r="K448">
        <v>901</v>
      </c>
      <c r="L448">
        <v>0</v>
      </c>
      <c r="M448">
        <v>186.4</v>
      </c>
      <c r="N448">
        <v>15</v>
      </c>
      <c r="O448">
        <v>10.4</v>
      </c>
      <c r="P448">
        <v>144</v>
      </c>
      <c r="Q448" s="1" t="s">
        <v>106</v>
      </c>
    </row>
    <row r="449" spans="1:17" hidden="1" x14ac:dyDescent="0.45">
      <c r="A449">
        <v>1223008</v>
      </c>
      <c r="B449" t="s">
        <v>390</v>
      </c>
      <c r="C449" t="s">
        <v>1453</v>
      </c>
      <c r="D449" t="s">
        <v>815</v>
      </c>
      <c r="E449" t="s">
        <v>827</v>
      </c>
      <c r="F449" t="s">
        <v>116</v>
      </c>
      <c r="G449">
        <v>2025</v>
      </c>
      <c r="H449">
        <v>8</v>
      </c>
      <c r="I449">
        <v>19</v>
      </c>
      <c r="J449">
        <v>10099</v>
      </c>
      <c r="K449">
        <v>1934</v>
      </c>
      <c r="L449">
        <v>3</v>
      </c>
      <c r="M449">
        <v>168.3</v>
      </c>
      <c r="N449">
        <v>32.200000000000003</v>
      </c>
      <c r="O449">
        <v>8.9</v>
      </c>
      <c r="P449">
        <v>128</v>
      </c>
      <c r="Q449" s="1" t="s">
        <v>391</v>
      </c>
    </row>
    <row r="450" spans="1:17" hidden="1" x14ac:dyDescent="0.45">
      <c r="A450">
        <v>1223009</v>
      </c>
      <c r="B450" t="s">
        <v>392</v>
      </c>
      <c r="C450" t="s">
        <v>1464</v>
      </c>
      <c r="D450" t="s">
        <v>815</v>
      </c>
      <c r="E450" t="s">
        <v>835</v>
      </c>
      <c r="F450" t="s">
        <v>116</v>
      </c>
      <c r="G450">
        <v>2025</v>
      </c>
      <c r="H450">
        <v>6</v>
      </c>
      <c r="I450">
        <v>18</v>
      </c>
      <c r="J450">
        <v>8439</v>
      </c>
      <c r="K450">
        <v>0</v>
      </c>
      <c r="L450">
        <v>0</v>
      </c>
      <c r="M450">
        <v>140.6</v>
      </c>
      <c r="N450">
        <v>0</v>
      </c>
      <c r="O450">
        <v>7.8</v>
      </c>
      <c r="P450">
        <v>144</v>
      </c>
      <c r="Q450">
        <v>-3.4</v>
      </c>
    </row>
    <row r="451" spans="1:17" hidden="1" x14ac:dyDescent="0.45">
      <c r="A451">
        <v>1223009</v>
      </c>
      <c r="B451" t="s">
        <v>392</v>
      </c>
      <c r="C451" t="s">
        <v>1464</v>
      </c>
      <c r="D451" t="s">
        <v>815</v>
      </c>
      <c r="E451" t="s">
        <v>835</v>
      </c>
      <c r="F451" t="s">
        <v>116</v>
      </c>
      <c r="G451">
        <v>2025</v>
      </c>
      <c r="H451">
        <v>7</v>
      </c>
      <c r="I451">
        <v>18</v>
      </c>
      <c r="J451">
        <v>8666</v>
      </c>
      <c r="K451">
        <v>0</v>
      </c>
      <c r="L451">
        <v>0</v>
      </c>
      <c r="M451">
        <v>144.4</v>
      </c>
      <c r="N451">
        <v>0</v>
      </c>
      <c r="O451">
        <v>8</v>
      </c>
      <c r="P451">
        <v>144</v>
      </c>
      <c r="Q451" s="1" t="s">
        <v>393</v>
      </c>
    </row>
    <row r="452" spans="1:17" hidden="1" x14ac:dyDescent="0.45">
      <c r="A452">
        <v>1223009</v>
      </c>
      <c r="B452" t="s">
        <v>392</v>
      </c>
      <c r="C452" t="s">
        <v>1464</v>
      </c>
      <c r="D452" t="s">
        <v>815</v>
      </c>
      <c r="E452" t="s">
        <v>835</v>
      </c>
      <c r="F452" t="s">
        <v>116</v>
      </c>
      <c r="G452">
        <v>2025</v>
      </c>
      <c r="H452">
        <v>8</v>
      </c>
      <c r="I452">
        <v>15</v>
      </c>
      <c r="J452">
        <v>4678</v>
      </c>
      <c r="K452">
        <v>0</v>
      </c>
      <c r="L452">
        <v>0</v>
      </c>
      <c r="M452">
        <v>78</v>
      </c>
      <c r="N452">
        <v>0</v>
      </c>
      <c r="O452">
        <v>5.2</v>
      </c>
      <c r="P452">
        <v>120</v>
      </c>
      <c r="Q452">
        <v>-42</v>
      </c>
    </row>
    <row r="453" spans="1:17" hidden="1" x14ac:dyDescent="0.45">
      <c r="A453">
        <v>1223010</v>
      </c>
      <c r="B453" t="s">
        <v>394</v>
      </c>
      <c r="C453" t="s">
        <v>1461</v>
      </c>
      <c r="D453" t="s">
        <v>938</v>
      </c>
      <c r="E453" t="s">
        <v>940</v>
      </c>
      <c r="F453" t="s">
        <v>171</v>
      </c>
      <c r="G453">
        <v>2025</v>
      </c>
      <c r="H453">
        <v>6</v>
      </c>
      <c r="I453">
        <v>17</v>
      </c>
      <c r="J453">
        <v>12669</v>
      </c>
      <c r="K453">
        <v>1898</v>
      </c>
      <c r="L453">
        <v>0</v>
      </c>
      <c r="M453">
        <v>211.2</v>
      </c>
      <c r="N453">
        <v>31.6</v>
      </c>
      <c r="O453">
        <v>12.4</v>
      </c>
      <c r="P453">
        <v>136</v>
      </c>
      <c r="Q453" s="1" t="s">
        <v>395</v>
      </c>
    </row>
    <row r="454" spans="1:17" hidden="1" x14ac:dyDescent="0.45">
      <c r="A454">
        <v>1223010</v>
      </c>
      <c r="B454" t="s">
        <v>394</v>
      </c>
      <c r="C454" t="s">
        <v>1461</v>
      </c>
      <c r="D454" t="s">
        <v>938</v>
      </c>
      <c r="E454" t="s">
        <v>940</v>
      </c>
      <c r="F454" t="s">
        <v>171</v>
      </c>
      <c r="G454">
        <v>2025</v>
      </c>
      <c r="H454">
        <v>7</v>
      </c>
      <c r="I454">
        <v>19</v>
      </c>
      <c r="J454">
        <v>12725</v>
      </c>
      <c r="K454">
        <v>2182</v>
      </c>
      <c r="L454">
        <v>0</v>
      </c>
      <c r="M454">
        <v>212.1</v>
      </c>
      <c r="N454">
        <v>36.4</v>
      </c>
      <c r="O454">
        <v>11.2</v>
      </c>
      <c r="P454">
        <v>152</v>
      </c>
      <c r="Q454" s="1" t="s">
        <v>396</v>
      </c>
    </row>
    <row r="455" spans="1:17" hidden="1" x14ac:dyDescent="0.45">
      <c r="A455">
        <v>1223010</v>
      </c>
      <c r="B455" t="s">
        <v>394</v>
      </c>
      <c r="C455" t="s">
        <v>1461</v>
      </c>
      <c r="D455" t="s">
        <v>938</v>
      </c>
      <c r="E455" t="s">
        <v>940</v>
      </c>
      <c r="F455" t="s">
        <v>171</v>
      </c>
      <c r="G455">
        <v>2025</v>
      </c>
      <c r="H455">
        <v>8</v>
      </c>
      <c r="I455">
        <v>16</v>
      </c>
      <c r="J455">
        <v>9892</v>
      </c>
      <c r="K455">
        <v>1647</v>
      </c>
      <c r="L455">
        <v>0</v>
      </c>
      <c r="M455">
        <v>164.9</v>
      </c>
      <c r="N455">
        <v>27.4</v>
      </c>
      <c r="O455">
        <v>10.3</v>
      </c>
      <c r="P455">
        <v>128</v>
      </c>
      <c r="Q455" s="1" t="s">
        <v>397</v>
      </c>
    </row>
    <row r="456" spans="1:17" hidden="1" x14ac:dyDescent="0.45">
      <c r="A456">
        <v>1223011</v>
      </c>
      <c r="B456" t="s">
        <v>398</v>
      </c>
      <c r="C456" t="s">
        <v>1456</v>
      </c>
      <c r="D456" t="s">
        <v>906</v>
      </c>
      <c r="E456" t="s">
        <v>909</v>
      </c>
      <c r="F456" t="s">
        <v>116</v>
      </c>
      <c r="G456">
        <v>2025</v>
      </c>
      <c r="H456">
        <v>6</v>
      </c>
      <c r="I456">
        <v>18</v>
      </c>
      <c r="J456">
        <v>12606</v>
      </c>
      <c r="K456">
        <v>0</v>
      </c>
      <c r="L456">
        <v>0</v>
      </c>
      <c r="M456">
        <v>210.1</v>
      </c>
      <c r="N456">
        <v>0</v>
      </c>
      <c r="O456">
        <v>11.7</v>
      </c>
      <c r="P456">
        <v>144</v>
      </c>
      <c r="Q456">
        <v>66.099999999999994</v>
      </c>
    </row>
    <row r="457" spans="1:17" hidden="1" x14ac:dyDescent="0.45">
      <c r="A457">
        <v>1223011</v>
      </c>
      <c r="B457" t="s">
        <v>398</v>
      </c>
      <c r="C457" t="s">
        <v>1456</v>
      </c>
      <c r="D457" t="s">
        <v>906</v>
      </c>
      <c r="E457" t="s">
        <v>909</v>
      </c>
      <c r="F457" t="s">
        <v>116</v>
      </c>
      <c r="G457">
        <v>2025</v>
      </c>
      <c r="H457">
        <v>7</v>
      </c>
      <c r="I457">
        <v>18</v>
      </c>
      <c r="J457">
        <v>12294</v>
      </c>
      <c r="K457">
        <v>2026</v>
      </c>
      <c r="L457">
        <v>0</v>
      </c>
      <c r="M457">
        <v>204.9</v>
      </c>
      <c r="N457">
        <v>33.799999999999997</v>
      </c>
      <c r="O457">
        <v>11.4</v>
      </c>
      <c r="P457">
        <v>144</v>
      </c>
      <c r="Q457" s="1" t="s">
        <v>399</v>
      </c>
    </row>
    <row r="458" spans="1:17" hidden="1" x14ac:dyDescent="0.45">
      <c r="A458">
        <v>1223011</v>
      </c>
      <c r="B458" t="s">
        <v>398</v>
      </c>
      <c r="C458" t="s">
        <v>1456</v>
      </c>
      <c r="D458" t="s">
        <v>906</v>
      </c>
      <c r="E458" t="s">
        <v>909</v>
      </c>
      <c r="F458" t="s">
        <v>116</v>
      </c>
      <c r="G458">
        <v>2025</v>
      </c>
      <c r="H458">
        <v>8</v>
      </c>
      <c r="I458">
        <v>16</v>
      </c>
      <c r="J458">
        <v>9788</v>
      </c>
      <c r="K458">
        <v>1181</v>
      </c>
      <c r="L458">
        <v>0</v>
      </c>
      <c r="M458">
        <v>163.1</v>
      </c>
      <c r="N458">
        <v>19.7</v>
      </c>
      <c r="O458">
        <v>10.199999999999999</v>
      </c>
      <c r="P458">
        <v>128</v>
      </c>
      <c r="Q458" s="1" t="s">
        <v>134</v>
      </c>
    </row>
    <row r="459" spans="1:17" hidden="1" x14ac:dyDescent="0.45">
      <c r="A459">
        <v>1223012</v>
      </c>
      <c r="B459" t="s">
        <v>211</v>
      </c>
      <c r="C459" t="s">
        <v>1463</v>
      </c>
      <c r="D459" t="s">
        <v>954</v>
      </c>
      <c r="E459" t="s">
        <v>956</v>
      </c>
      <c r="F459" t="s">
        <v>116</v>
      </c>
      <c r="G459">
        <v>2025</v>
      </c>
      <c r="H459">
        <v>6</v>
      </c>
      <c r="I459">
        <v>18</v>
      </c>
      <c r="J459">
        <v>9589</v>
      </c>
      <c r="K459">
        <v>0</v>
      </c>
      <c r="L459">
        <v>0</v>
      </c>
      <c r="M459">
        <v>159.80000000000001</v>
      </c>
      <c r="N459">
        <v>0</v>
      </c>
      <c r="O459">
        <v>8.9</v>
      </c>
      <c r="P459">
        <v>144</v>
      </c>
      <c r="Q459" s="1" t="s">
        <v>379</v>
      </c>
    </row>
    <row r="460" spans="1:17" hidden="1" x14ac:dyDescent="0.45">
      <c r="A460">
        <v>1223012</v>
      </c>
      <c r="B460" t="s">
        <v>211</v>
      </c>
      <c r="C460" t="s">
        <v>1463</v>
      </c>
      <c r="D460" t="s">
        <v>954</v>
      </c>
      <c r="E460" t="s">
        <v>956</v>
      </c>
      <c r="F460" t="s">
        <v>116</v>
      </c>
      <c r="G460">
        <v>2025</v>
      </c>
      <c r="H460">
        <v>7</v>
      </c>
      <c r="I460">
        <v>17</v>
      </c>
      <c r="J460">
        <v>7952</v>
      </c>
      <c r="K460">
        <v>7</v>
      </c>
      <c r="L460">
        <v>0</v>
      </c>
      <c r="M460">
        <v>132.5</v>
      </c>
      <c r="N460">
        <v>0.1</v>
      </c>
      <c r="O460">
        <v>7.8</v>
      </c>
      <c r="P460">
        <v>136</v>
      </c>
      <c r="Q460">
        <v>-3.5</v>
      </c>
    </row>
    <row r="461" spans="1:17" hidden="1" x14ac:dyDescent="0.45">
      <c r="A461">
        <v>1223012</v>
      </c>
      <c r="B461" t="s">
        <v>211</v>
      </c>
      <c r="C461" t="s">
        <v>1463</v>
      </c>
      <c r="D461" t="s">
        <v>954</v>
      </c>
      <c r="E461" t="s">
        <v>956</v>
      </c>
      <c r="F461" t="s">
        <v>116</v>
      </c>
      <c r="G461">
        <v>2025</v>
      </c>
      <c r="H461">
        <v>8</v>
      </c>
      <c r="I461">
        <v>16</v>
      </c>
      <c r="J461">
        <v>7670</v>
      </c>
      <c r="K461">
        <v>0</v>
      </c>
      <c r="L461">
        <v>0</v>
      </c>
      <c r="M461">
        <v>127.8</v>
      </c>
      <c r="N461">
        <v>0</v>
      </c>
      <c r="O461">
        <v>8</v>
      </c>
      <c r="P461">
        <v>128</v>
      </c>
      <c r="Q461">
        <v>-0.2</v>
      </c>
    </row>
    <row r="462" spans="1:17" hidden="1" x14ac:dyDescent="0.45">
      <c r="A462">
        <v>1223013</v>
      </c>
      <c r="B462" t="s">
        <v>400</v>
      </c>
      <c r="C462" t="s">
        <v>1448</v>
      </c>
      <c r="D462" t="s">
        <v>884</v>
      </c>
      <c r="E462" t="s">
        <v>887</v>
      </c>
      <c r="F462" t="s">
        <v>116</v>
      </c>
      <c r="G462">
        <v>2025</v>
      </c>
      <c r="H462">
        <v>6</v>
      </c>
      <c r="I462">
        <v>18</v>
      </c>
      <c r="J462">
        <v>9957</v>
      </c>
      <c r="K462">
        <v>375</v>
      </c>
      <c r="L462">
        <v>0</v>
      </c>
      <c r="M462">
        <v>166</v>
      </c>
      <c r="N462">
        <v>6.2</v>
      </c>
      <c r="O462">
        <v>9.1999999999999993</v>
      </c>
      <c r="P462">
        <v>144</v>
      </c>
      <c r="Q462">
        <v>22</v>
      </c>
    </row>
    <row r="463" spans="1:17" hidden="1" x14ac:dyDescent="0.45">
      <c r="A463">
        <v>1223013</v>
      </c>
      <c r="B463" t="s">
        <v>400</v>
      </c>
      <c r="C463" t="s">
        <v>1448</v>
      </c>
      <c r="D463" t="s">
        <v>884</v>
      </c>
      <c r="E463" t="s">
        <v>887</v>
      </c>
      <c r="F463" t="s">
        <v>116</v>
      </c>
      <c r="G463">
        <v>2025</v>
      </c>
      <c r="H463">
        <v>7</v>
      </c>
      <c r="I463">
        <v>19</v>
      </c>
      <c r="J463">
        <v>9865</v>
      </c>
      <c r="K463">
        <v>501</v>
      </c>
      <c r="L463">
        <v>0</v>
      </c>
      <c r="M463">
        <v>164.4</v>
      </c>
      <c r="N463">
        <v>8.4</v>
      </c>
      <c r="O463">
        <v>8.6999999999999993</v>
      </c>
      <c r="P463">
        <v>152</v>
      </c>
      <c r="Q463" s="1" t="s">
        <v>245</v>
      </c>
    </row>
    <row r="464" spans="1:17" hidden="1" x14ac:dyDescent="0.45">
      <c r="A464">
        <v>1223013</v>
      </c>
      <c r="B464" t="s">
        <v>400</v>
      </c>
      <c r="C464" t="s">
        <v>1448</v>
      </c>
      <c r="D464" t="s">
        <v>884</v>
      </c>
      <c r="E464" t="s">
        <v>887</v>
      </c>
      <c r="F464" t="s">
        <v>116</v>
      </c>
      <c r="G464">
        <v>2025</v>
      </c>
      <c r="H464">
        <v>8</v>
      </c>
      <c r="I464">
        <v>17</v>
      </c>
      <c r="J464">
        <v>8871</v>
      </c>
      <c r="K464">
        <v>235</v>
      </c>
      <c r="L464">
        <v>0</v>
      </c>
      <c r="M464">
        <v>147.80000000000001</v>
      </c>
      <c r="N464">
        <v>3.9</v>
      </c>
      <c r="O464">
        <v>8.6999999999999993</v>
      </c>
      <c r="P464">
        <v>136</v>
      </c>
      <c r="Q464" s="1" t="s">
        <v>401</v>
      </c>
    </row>
    <row r="465" spans="1:17" hidden="1" x14ac:dyDescent="0.45">
      <c r="A465">
        <v>1223022</v>
      </c>
      <c r="B465" t="s">
        <v>402</v>
      </c>
      <c r="C465" t="s">
        <v>1452</v>
      </c>
      <c r="D465" t="s">
        <v>954</v>
      </c>
      <c r="E465" t="s">
        <v>958</v>
      </c>
      <c r="F465" t="s">
        <v>171</v>
      </c>
      <c r="G465">
        <v>2025</v>
      </c>
      <c r="H465">
        <v>6</v>
      </c>
      <c r="I465">
        <v>13</v>
      </c>
      <c r="J465">
        <v>7817</v>
      </c>
      <c r="K465">
        <v>451</v>
      </c>
      <c r="L465">
        <v>0</v>
      </c>
      <c r="M465">
        <v>130.30000000000001</v>
      </c>
      <c r="N465">
        <v>7.5</v>
      </c>
      <c r="O465">
        <v>10</v>
      </c>
      <c r="P465">
        <v>104</v>
      </c>
      <c r="Q465" s="1" t="s">
        <v>403</v>
      </c>
    </row>
    <row r="466" spans="1:17" hidden="1" x14ac:dyDescent="0.45">
      <c r="A466">
        <v>1223022</v>
      </c>
      <c r="B466" t="s">
        <v>402</v>
      </c>
      <c r="C466" t="s">
        <v>1452</v>
      </c>
      <c r="D466" t="s">
        <v>954</v>
      </c>
      <c r="E466" t="s">
        <v>958</v>
      </c>
      <c r="F466" t="s">
        <v>171</v>
      </c>
      <c r="G466">
        <v>2025</v>
      </c>
      <c r="H466">
        <v>7</v>
      </c>
      <c r="I466">
        <v>16</v>
      </c>
      <c r="J466">
        <v>9206</v>
      </c>
      <c r="K466">
        <v>190</v>
      </c>
      <c r="L466">
        <v>0</v>
      </c>
      <c r="M466">
        <v>153.4</v>
      </c>
      <c r="N466">
        <v>3.2</v>
      </c>
      <c r="O466">
        <v>9.6</v>
      </c>
      <c r="P466">
        <v>128</v>
      </c>
      <c r="Q466" s="1" t="s">
        <v>404</v>
      </c>
    </row>
    <row r="467" spans="1:17" hidden="1" x14ac:dyDescent="0.45">
      <c r="A467">
        <v>1223022</v>
      </c>
      <c r="B467" t="s">
        <v>402</v>
      </c>
      <c r="C467" t="s">
        <v>1452</v>
      </c>
      <c r="D467" t="s">
        <v>954</v>
      </c>
      <c r="E467" t="s">
        <v>958</v>
      </c>
      <c r="F467" t="s">
        <v>171</v>
      </c>
      <c r="G467">
        <v>2025</v>
      </c>
      <c r="H467">
        <v>8</v>
      </c>
      <c r="I467">
        <v>14</v>
      </c>
      <c r="J467">
        <v>6838</v>
      </c>
      <c r="K467">
        <v>160</v>
      </c>
      <c r="L467">
        <v>0</v>
      </c>
      <c r="M467">
        <v>114</v>
      </c>
      <c r="N467">
        <v>2.7</v>
      </c>
      <c r="O467">
        <v>8.1</v>
      </c>
      <c r="P467">
        <v>112</v>
      </c>
      <c r="Q467">
        <v>2</v>
      </c>
    </row>
    <row r="468" spans="1:17" hidden="1" x14ac:dyDescent="0.45">
      <c r="A468">
        <v>1223024</v>
      </c>
      <c r="B468" t="s">
        <v>405</v>
      </c>
      <c r="C468" t="s">
        <v>1444</v>
      </c>
      <c r="D468" t="s">
        <v>718</v>
      </c>
      <c r="E468" t="s">
        <v>731</v>
      </c>
      <c r="F468" t="s">
        <v>171</v>
      </c>
      <c r="G468">
        <v>2025</v>
      </c>
      <c r="H468">
        <v>6</v>
      </c>
      <c r="I468">
        <v>10</v>
      </c>
      <c r="J468">
        <v>3249</v>
      </c>
      <c r="K468">
        <v>0</v>
      </c>
      <c r="L468">
        <v>0</v>
      </c>
      <c r="M468">
        <v>54.2</v>
      </c>
      <c r="N468">
        <v>0</v>
      </c>
      <c r="O468">
        <v>5.4</v>
      </c>
      <c r="P468">
        <v>80</v>
      </c>
      <c r="Q468">
        <v>-25.8</v>
      </c>
    </row>
    <row r="469" spans="1:17" hidden="1" x14ac:dyDescent="0.45">
      <c r="A469">
        <v>1223024</v>
      </c>
      <c r="B469" t="s">
        <v>405</v>
      </c>
      <c r="C469" t="s">
        <v>1444</v>
      </c>
      <c r="D469" t="s">
        <v>718</v>
      </c>
      <c r="E469" t="s">
        <v>731</v>
      </c>
      <c r="F469" t="s">
        <v>171</v>
      </c>
      <c r="G469">
        <v>2025</v>
      </c>
      <c r="H469">
        <v>7</v>
      </c>
      <c r="I469">
        <v>9</v>
      </c>
      <c r="J469">
        <v>3138</v>
      </c>
      <c r="K469">
        <v>0</v>
      </c>
      <c r="L469">
        <v>1</v>
      </c>
      <c r="M469">
        <v>52.3</v>
      </c>
      <c r="N469">
        <v>0</v>
      </c>
      <c r="O469">
        <v>5.8</v>
      </c>
      <c r="P469">
        <v>64</v>
      </c>
      <c r="Q469">
        <v>-11.7</v>
      </c>
    </row>
    <row r="470" spans="1:17" hidden="1" x14ac:dyDescent="0.45">
      <c r="A470">
        <v>1223025</v>
      </c>
      <c r="B470" t="s">
        <v>406</v>
      </c>
      <c r="C470" t="s">
        <v>1466</v>
      </c>
      <c r="D470" t="s">
        <v>718</v>
      </c>
      <c r="E470" t="s">
        <v>743</v>
      </c>
      <c r="F470" t="s">
        <v>171</v>
      </c>
      <c r="G470">
        <v>2025</v>
      </c>
      <c r="H470">
        <v>6</v>
      </c>
      <c r="I470">
        <v>13</v>
      </c>
      <c r="J470">
        <v>6802</v>
      </c>
      <c r="K470">
        <v>0</v>
      </c>
      <c r="L470">
        <v>1</v>
      </c>
      <c r="M470">
        <v>113.4</v>
      </c>
      <c r="N470">
        <v>0</v>
      </c>
      <c r="O470">
        <v>8.6999999999999993</v>
      </c>
      <c r="P470">
        <v>96</v>
      </c>
      <c r="Q470" s="1" t="s">
        <v>87</v>
      </c>
    </row>
    <row r="471" spans="1:17" hidden="1" x14ac:dyDescent="0.45">
      <c r="A471">
        <v>1223025</v>
      </c>
      <c r="B471" t="s">
        <v>406</v>
      </c>
      <c r="C471" t="s">
        <v>1466</v>
      </c>
      <c r="D471" t="s">
        <v>718</v>
      </c>
      <c r="E471" t="s">
        <v>743</v>
      </c>
      <c r="F471" t="s">
        <v>171</v>
      </c>
      <c r="G471">
        <v>2025</v>
      </c>
      <c r="H471">
        <v>7</v>
      </c>
      <c r="I471">
        <v>10</v>
      </c>
      <c r="J471">
        <v>5006</v>
      </c>
      <c r="K471">
        <v>0</v>
      </c>
      <c r="L471">
        <v>0</v>
      </c>
      <c r="M471">
        <v>83.4</v>
      </c>
      <c r="N471">
        <v>0</v>
      </c>
      <c r="O471">
        <v>8.3000000000000007</v>
      </c>
      <c r="P471">
        <v>80</v>
      </c>
      <c r="Q471" s="1" t="s">
        <v>407</v>
      </c>
    </row>
    <row r="472" spans="1:17" hidden="1" x14ac:dyDescent="0.45">
      <c r="A472">
        <v>1223025</v>
      </c>
      <c r="B472" t="s">
        <v>406</v>
      </c>
      <c r="C472" t="s">
        <v>1466</v>
      </c>
      <c r="D472" t="s">
        <v>718</v>
      </c>
      <c r="E472" t="s">
        <v>743</v>
      </c>
      <c r="F472" t="s">
        <v>171</v>
      </c>
      <c r="G472">
        <v>2025</v>
      </c>
      <c r="H472">
        <v>8</v>
      </c>
      <c r="I472">
        <v>4</v>
      </c>
      <c r="J472">
        <v>1966</v>
      </c>
      <c r="K472">
        <v>0</v>
      </c>
      <c r="L472">
        <v>0</v>
      </c>
      <c r="M472">
        <v>32.799999999999997</v>
      </c>
      <c r="N472">
        <v>0</v>
      </c>
      <c r="O472">
        <v>8.1999999999999993</v>
      </c>
      <c r="P472">
        <v>32</v>
      </c>
      <c r="Q472" s="1" t="s">
        <v>408</v>
      </c>
    </row>
    <row r="473" spans="1:17" hidden="1" x14ac:dyDescent="0.45">
      <c r="A473">
        <v>1223029</v>
      </c>
      <c r="B473" t="s">
        <v>409</v>
      </c>
      <c r="C473" t="s">
        <v>1450</v>
      </c>
      <c r="D473" t="s">
        <v>718</v>
      </c>
      <c r="E473" t="s">
        <v>741</v>
      </c>
      <c r="F473" t="s">
        <v>171</v>
      </c>
      <c r="G473">
        <v>2025</v>
      </c>
      <c r="H473">
        <v>6</v>
      </c>
      <c r="I473">
        <v>19</v>
      </c>
      <c r="J473">
        <v>10352</v>
      </c>
      <c r="K473">
        <v>0</v>
      </c>
      <c r="L473">
        <v>0</v>
      </c>
      <c r="M473">
        <v>172.5</v>
      </c>
      <c r="N473">
        <v>0</v>
      </c>
      <c r="O473">
        <v>9.1</v>
      </c>
      <c r="P473">
        <v>152</v>
      </c>
      <c r="Q473">
        <v>20.5</v>
      </c>
    </row>
    <row r="474" spans="1:17" hidden="1" x14ac:dyDescent="0.45">
      <c r="A474">
        <v>1223029</v>
      </c>
      <c r="B474" t="s">
        <v>409</v>
      </c>
      <c r="C474" t="s">
        <v>1450</v>
      </c>
      <c r="D474" t="s">
        <v>718</v>
      </c>
      <c r="E474" t="s">
        <v>741</v>
      </c>
      <c r="F474" t="s">
        <v>171</v>
      </c>
      <c r="G474">
        <v>2025</v>
      </c>
      <c r="H474">
        <v>7</v>
      </c>
      <c r="I474">
        <v>18</v>
      </c>
      <c r="J474">
        <v>10272</v>
      </c>
      <c r="K474">
        <v>0</v>
      </c>
      <c r="L474">
        <v>0</v>
      </c>
      <c r="M474">
        <v>171.2</v>
      </c>
      <c r="N474">
        <v>0</v>
      </c>
      <c r="O474">
        <v>9.5</v>
      </c>
      <c r="P474">
        <v>144</v>
      </c>
      <c r="Q474" s="1" t="s">
        <v>410</v>
      </c>
    </row>
    <row r="475" spans="1:17" hidden="1" x14ac:dyDescent="0.45">
      <c r="A475">
        <v>1223029</v>
      </c>
      <c r="B475" t="s">
        <v>409</v>
      </c>
      <c r="C475" t="s">
        <v>1450</v>
      </c>
      <c r="D475" t="s">
        <v>718</v>
      </c>
      <c r="E475" t="s">
        <v>741</v>
      </c>
      <c r="F475" t="s">
        <v>171</v>
      </c>
      <c r="G475">
        <v>2025</v>
      </c>
      <c r="H475">
        <v>8</v>
      </c>
      <c r="I475">
        <v>15</v>
      </c>
      <c r="J475">
        <v>7869</v>
      </c>
      <c r="K475">
        <v>0</v>
      </c>
      <c r="L475">
        <v>0</v>
      </c>
      <c r="M475">
        <v>131.19999999999999</v>
      </c>
      <c r="N475">
        <v>0</v>
      </c>
      <c r="O475">
        <v>8.6999999999999993</v>
      </c>
      <c r="P475">
        <v>120</v>
      </c>
      <c r="Q475" s="1" t="s">
        <v>65</v>
      </c>
    </row>
    <row r="476" spans="1:17" hidden="1" x14ac:dyDescent="0.45">
      <c r="A476">
        <v>1223031</v>
      </c>
      <c r="B476" t="s">
        <v>411</v>
      </c>
      <c r="C476" t="s">
        <v>1469</v>
      </c>
      <c r="D476" t="s">
        <v>815</v>
      </c>
      <c r="E476" t="s">
        <v>823</v>
      </c>
      <c r="F476" t="s">
        <v>116</v>
      </c>
      <c r="G476">
        <v>2025</v>
      </c>
      <c r="H476">
        <v>6</v>
      </c>
      <c r="I476">
        <v>12</v>
      </c>
      <c r="J476">
        <v>6467</v>
      </c>
      <c r="K476">
        <v>0</v>
      </c>
      <c r="L476">
        <v>0</v>
      </c>
      <c r="M476">
        <v>107.8</v>
      </c>
      <c r="N476">
        <v>0</v>
      </c>
      <c r="O476">
        <v>9</v>
      </c>
      <c r="P476">
        <v>96</v>
      </c>
      <c r="Q476" s="1" t="s">
        <v>412</v>
      </c>
    </row>
    <row r="477" spans="1:17" hidden="1" x14ac:dyDescent="0.45">
      <c r="A477">
        <v>1223031</v>
      </c>
      <c r="B477" t="s">
        <v>411</v>
      </c>
      <c r="C477" t="s">
        <v>1469</v>
      </c>
      <c r="D477" t="s">
        <v>815</v>
      </c>
      <c r="E477" t="s">
        <v>823</v>
      </c>
      <c r="F477" t="s">
        <v>116</v>
      </c>
      <c r="G477">
        <v>2025</v>
      </c>
      <c r="H477">
        <v>7</v>
      </c>
      <c r="I477">
        <v>19</v>
      </c>
      <c r="J477">
        <v>10651</v>
      </c>
      <c r="K477">
        <v>0</v>
      </c>
      <c r="L477">
        <v>0</v>
      </c>
      <c r="M477">
        <v>177.5</v>
      </c>
      <c r="N477">
        <v>0</v>
      </c>
      <c r="O477">
        <v>9.3000000000000007</v>
      </c>
      <c r="P477">
        <v>152</v>
      </c>
      <c r="Q477">
        <v>25.5</v>
      </c>
    </row>
    <row r="478" spans="1:17" hidden="1" x14ac:dyDescent="0.45">
      <c r="A478">
        <v>1223031</v>
      </c>
      <c r="B478" t="s">
        <v>411</v>
      </c>
      <c r="C478" t="s">
        <v>1469</v>
      </c>
      <c r="D478" t="s">
        <v>815</v>
      </c>
      <c r="E478" t="s">
        <v>823</v>
      </c>
      <c r="F478" t="s">
        <v>116</v>
      </c>
      <c r="G478">
        <v>2025</v>
      </c>
      <c r="H478">
        <v>8</v>
      </c>
      <c r="I478">
        <v>15</v>
      </c>
      <c r="J478">
        <v>7855</v>
      </c>
      <c r="K478">
        <v>0</v>
      </c>
      <c r="L478">
        <v>0</v>
      </c>
      <c r="M478">
        <v>130.9</v>
      </c>
      <c r="N478">
        <v>0</v>
      </c>
      <c r="O478">
        <v>8.6999999999999993</v>
      </c>
      <c r="P478">
        <v>120</v>
      </c>
      <c r="Q478" s="1" t="s">
        <v>268</v>
      </c>
    </row>
    <row r="479" spans="1:17" hidden="1" x14ac:dyDescent="0.45">
      <c r="A479">
        <v>1223032</v>
      </c>
      <c r="B479" t="s">
        <v>413</v>
      </c>
      <c r="C479" t="s">
        <v>1449</v>
      </c>
      <c r="D479" t="s">
        <v>815</v>
      </c>
      <c r="E479" t="s">
        <v>819</v>
      </c>
      <c r="F479" t="s">
        <v>116</v>
      </c>
      <c r="G479">
        <v>2025</v>
      </c>
      <c r="H479">
        <v>6</v>
      </c>
      <c r="I479">
        <v>14</v>
      </c>
      <c r="J479">
        <v>6292</v>
      </c>
      <c r="K479">
        <v>0</v>
      </c>
      <c r="L479">
        <v>0</v>
      </c>
      <c r="M479">
        <v>104.9</v>
      </c>
      <c r="N479">
        <v>0</v>
      </c>
      <c r="O479">
        <v>7.5</v>
      </c>
      <c r="P479">
        <v>112</v>
      </c>
      <c r="Q479">
        <v>-7.1</v>
      </c>
    </row>
    <row r="480" spans="1:17" hidden="1" x14ac:dyDescent="0.45">
      <c r="A480">
        <v>1223032</v>
      </c>
      <c r="B480" t="s">
        <v>413</v>
      </c>
      <c r="C480" t="s">
        <v>1449</v>
      </c>
      <c r="D480" t="s">
        <v>815</v>
      </c>
      <c r="E480" t="s">
        <v>819</v>
      </c>
      <c r="F480" t="s">
        <v>116</v>
      </c>
      <c r="G480">
        <v>2025</v>
      </c>
      <c r="H480">
        <v>7</v>
      </c>
      <c r="I480">
        <v>15</v>
      </c>
      <c r="J480">
        <v>5312</v>
      </c>
      <c r="K480">
        <v>0</v>
      </c>
      <c r="L480">
        <v>2</v>
      </c>
      <c r="M480">
        <v>88.5</v>
      </c>
      <c r="N480">
        <v>0</v>
      </c>
      <c r="O480">
        <v>5.9</v>
      </c>
      <c r="P480">
        <v>104</v>
      </c>
      <c r="Q480">
        <v>-15.5</v>
      </c>
    </row>
    <row r="481" spans="1:17" hidden="1" x14ac:dyDescent="0.45">
      <c r="A481">
        <v>1223032</v>
      </c>
      <c r="B481" t="s">
        <v>413</v>
      </c>
      <c r="C481" t="s">
        <v>1449</v>
      </c>
      <c r="D481" t="s">
        <v>815</v>
      </c>
      <c r="E481" t="s">
        <v>819</v>
      </c>
      <c r="F481" t="s">
        <v>116</v>
      </c>
      <c r="G481">
        <v>2025</v>
      </c>
      <c r="H481">
        <v>8</v>
      </c>
      <c r="I481">
        <v>14</v>
      </c>
      <c r="J481">
        <v>5849</v>
      </c>
      <c r="K481">
        <v>0</v>
      </c>
      <c r="L481">
        <v>0</v>
      </c>
      <c r="M481">
        <v>97.5</v>
      </c>
      <c r="N481">
        <v>0</v>
      </c>
      <c r="O481">
        <v>7</v>
      </c>
      <c r="P481">
        <v>112</v>
      </c>
      <c r="Q481">
        <v>-14.5</v>
      </c>
    </row>
    <row r="482" spans="1:17" hidden="1" x14ac:dyDescent="0.45">
      <c r="A482">
        <v>1223033</v>
      </c>
      <c r="B482" t="s">
        <v>414</v>
      </c>
      <c r="C482" t="s">
        <v>1452</v>
      </c>
      <c r="D482" t="s">
        <v>954</v>
      </c>
      <c r="E482" t="s">
        <v>958</v>
      </c>
      <c r="F482" t="s">
        <v>116</v>
      </c>
      <c r="G482">
        <v>2025</v>
      </c>
      <c r="H482">
        <v>6</v>
      </c>
      <c r="I482">
        <v>19</v>
      </c>
      <c r="J482">
        <v>10259</v>
      </c>
      <c r="K482">
        <v>893</v>
      </c>
      <c r="L482">
        <v>1</v>
      </c>
      <c r="M482">
        <v>171</v>
      </c>
      <c r="N482">
        <v>14.9</v>
      </c>
      <c r="O482">
        <v>9</v>
      </c>
      <c r="P482">
        <v>144</v>
      </c>
      <c r="Q482">
        <v>27</v>
      </c>
    </row>
    <row r="483" spans="1:17" hidden="1" x14ac:dyDescent="0.45">
      <c r="A483">
        <v>1223033</v>
      </c>
      <c r="B483" t="s">
        <v>414</v>
      </c>
      <c r="C483" t="s">
        <v>1452</v>
      </c>
      <c r="D483" t="s">
        <v>954</v>
      </c>
      <c r="E483" t="s">
        <v>958</v>
      </c>
      <c r="F483" t="s">
        <v>116</v>
      </c>
      <c r="G483">
        <v>2025</v>
      </c>
      <c r="H483">
        <v>7</v>
      </c>
      <c r="I483">
        <v>14</v>
      </c>
      <c r="J483">
        <v>7942</v>
      </c>
      <c r="K483">
        <v>672</v>
      </c>
      <c r="L483">
        <v>0</v>
      </c>
      <c r="M483">
        <v>132.4</v>
      </c>
      <c r="N483">
        <v>11.2</v>
      </c>
      <c r="O483">
        <v>9.5</v>
      </c>
      <c r="P483">
        <v>112</v>
      </c>
      <c r="Q483" s="1" t="s">
        <v>415</v>
      </c>
    </row>
    <row r="484" spans="1:17" hidden="1" x14ac:dyDescent="0.45">
      <c r="A484">
        <v>1223033</v>
      </c>
      <c r="B484" t="s">
        <v>414</v>
      </c>
      <c r="C484" t="s">
        <v>1452</v>
      </c>
      <c r="D484" t="s">
        <v>954</v>
      </c>
      <c r="E484" t="s">
        <v>958</v>
      </c>
      <c r="F484" t="s">
        <v>116</v>
      </c>
      <c r="G484">
        <v>2025</v>
      </c>
      <c r="H484">
        <v>8</v>
      </c>
      <c r="I484">
        <v>16</v>
      </c>
      <c r="J484">
        <v>10018</v>
      </c>
      <c r="K484">
        <v>1209</v>
      </c>
      <c r="L484">
        <v>0</v>
      </c>
      <c r="M484">
        <v>167</v>
      </c>
      <c r="N484">
        <v>20.2</v>
      </c>
      <c r="O484">
        <v>10.4</v>
      </c>
      <c r="P484">
        <v>128</v>
      </c>
      <c r="Q484">
        <v>39</v>
      </c>
    </row>
    <row r="485" spans="1:17" hidden="1" x14ac:dyDescent="0.45">
      <c r="A485">
        <v>1223034</v>
      </c>
      <c r="B485" t="s">
        <v>416</v>
      </c>
      <c r="C485" t="s">
        <v>1448</v>
      </c>
      <c r="D485" t="s">
        <v>884</v>
      </c>
      <c r="E485" t="s">
        <v>887</v>
      </c>
      <c r="F485" t="s">
        <v>116</v>
      </c>
      <c r="G485">
        <v>2025</v>
      </c>
      <c r="H485">
        <v>6</v>
      </c>
      <c r="I485">
        <v>18</v>
      </c>
      <c r="J485">
        <v>11153</v>
      </c>
      <c r="K485">
        <v>1391</v>
      </c>
      <c r="L485">
        <v>0</v>
      </c>
      <c r="M485">
        <v>185.9</v>
      </c>
      <c r="N485">
        <v>23.2</v>
      </c>
      <c r="O485">
        <v>10.3</v>
      </c>
      <c r="P485">
        <v>144</v>
      </c>
      <c r="Q485" s="1" t="s">
        <v>276</v>
      </c>
    </row>
    <row r="486" spans="1:17" hidden="1" x14ac:dyDescent="0.45">
      <c r="A486">
        <v>1223034</v>
      </c>
      <c r="B486" t="s">
        <v>416</v>
      </c>
      <c r="C486" t="s">
        <v>1448</v>
      </c>
      <c r="D486" t="s">
        <v>884</v>
      </c>
      <c r="E486" t="s">
        <v>887</v>
      </c>
      <c r="F486" t="s">
        <v>116</v>
      </c>
      <c r="G486">
        <v>2025</v>
      </c>
      <c r="H486">
        <v>7</v>
      </c>
      <c r="I486">
        <v>21</v>
      </c>
      <c r="J486">
        <v>12219</v>
      </c>
      <c r="K486">
        <v>1958</v>
      </c>
      <c r="L486">
        <v>0</v>
      </c>
      <c r="M486">
        <v>203.6</v>
      </c>
      <c r="N486">
        <v>32.6</v>
      </c>
      <c r="O486">
        <v>9.6999999999999993</v>
      </c>
      <c r="P486">
        <v>168</v>
      </c>
      <c r="Q486" s="1" t="s">
        <v>417</v>
      </c>
    </row>
    <row r="487" spans="1:17" hidden="1" x14ac:dyDescent="0.45">
      <c r="A487">
        <v>1223034</v>
      </c>
      <c r="B487" t="s">
        <v>416</v>
      </c>
      <c r="C487" t="s">
        <v>1448</v>
      </c>
      <c r="D487" t="s">
        <v>884</v>
      </c>
      <c r="E487" t="s">
        <v>887</v>
      </c>
      <c r="F487" t="s">
        <v>116</v>
      </c>
      <c r="G487">
        <v>2025</v>
      </c>
      <c r="H487">
        <v>8</v>
      </c>
      <c r="I487">
        <v>15</v>
      </c>
      <c r="J487">
        <v>9525</v>
      </c>
      <c r="K487">
        <v>1529</v>
      </c>
      <c r="L487">
        <v>0</v>
      </c>
      <c r="M487">
        <v>158.80000000000001</v>
      </c>
      <c r="N487">
        <v>25.5</v>
      </c>
      <c r="O487">
        <v>10.6</v>
      </c>
      <c r="P487">
        <v>120</v>
      </c>
      <c r="Q487" s="1" t="s">
        <v>418</v>
      </c>
    </row>
    <row r="488" spans="1:17" hidden="1" x14ac:dyDescent="0.45">
      <c r="A488">
        <v>1223035</v>
      </c>
      <c r="B488" t="s">
        <v>419</v>
      </c>
      <c r="C488" t="s">
        <v>1451</v>
      </c>
      <c r="D488" t="s">
        <v>718</v>
      </c>
      <c r="E488" t="s">
        <v>729</v>
      </c>
      <c r="F488" t="s">
        <v>116</v>
      </c>
      <c r="G488">
        <v>2025</v>
      </c>
      <c r="H488">
        <v>6</v>
      </c>
      <c r="I488">
        <v>18</v>
      </c>
      <c r="J488">
        <v>9990</v>
      </c>
      <c r="K488">
        <v>239</v>
      </c>
      <c r="L488">
        <v>1</v>
      </c>
      <c r="M488">
        <v>166.5</v>
      </c>
      <c r="N488">
        <v>4</v>
      </c>
      <c r="O488">
        <v>9.1999999999999993</v>
      </c>
      <c r="P488">
        <v>136</v>
      </c>
      <c r="Q488">
        <v>30.5</v>
      </c>
    </row>
    <row r="489" spans="1:17" hidden="1" x14ac:dyDescent="0.45">
      <c r="A489">
        <v>1223035</v>
      </c>
      <c r="B489" t="s">
        <v>419</v>
      </c>
      <c r="C489" t="s">
        <v>1451</v>
      </c>
      <c r="D489" t="s">
        <v>718</v>
      </c>
      <c r="E489" t="s">
        <v>729</v>
      </c>
      <c r="F489" t="s">
        <v>116</v>
      </c>
      <c r="G489">
        <v>2025</v>
      </c>
      <c r="H489">
        <v>7</v>
      </c>
      <c r="I489">
        <v>19</v>
      </c>
      <c r="J489">
        <v>12766</v>
      </c>
      <c r="K489">
        <v>413</v>
      </c>
      <c r="L489">
        <v>0</v>
      </c>
      <c r="M489">
        <v>212.8</v>
      </c>
      <c r="N489">
        <v>6.9</v>
      </c>
      <c r="O489">
        <v>11.2</v>
      </c>
      <c r="P489">
        <v>152</v>
      </c>
      <c r="Q489" s="1" t="s">
        <v>420</v>
      </c>
    </row>
    <row r="490" spans="1:17" hidden="1" x14ac:dyDescent="0.45">
      <c r="A490">
        <v>1223035</v>
      </c>
      <c r="B490" t="s">
        <v>419</v>
      </c>
      <c r="C490" t="s">
        <v>1451</v>
      </c>
      <c r="D490" t="s">
        <v>718</v>
      </c>
      <c r="E490" t="s">
        <v>729</v>
      </c>
      <c r="F490" t="s">
        <v>116</v>
      </c>
      <c r="G490">
        <v>2025</v>
      </c>
      <c r="H490">
        <v>8</v>
      </c>
      <c r="I490">
        <v>15</v>
      </c>
      <c r="J490">
        <v>8250</v>
      </c>
      <c r="K490">
        <v>103</v>
      </c>
      <c r="L490">
        <v>0</v>
      </c>
      <c r="M490">
        <v>137.5</v>
      </c>
      <c r="N490">
        <v>1.7</v>
      </c>
      <c r="O490">
        <v>9.1999999999999993</v>
      </c>
      <c r="P490">
        <v>120</v>
      </c>
      <c r="Q490">
        <v>17.5</v>
      </c>
    </row>
    <row r="491" spans="1:17" hidden="1" x14ac:dyDescent="0.45">
      <c r="A491">
        <v>1223037</v>
      </c>
      <c r="B491" t="s">
        <v>421</v>
      </c>
      <c r="C491" t="s">
        <v>1468</v>
      </c>
      <c r="D491" t="s">
        <v>1008</v>
      </c>
      <c r="E491" t="s">
        <v>1010</v>
      </c>
      <c r="F491" t="s">
        <v>17</v>
      </c>
      <c r="G491">
        <v>2025</v>
      </c>
      <c r="H491">
        <v>6</v>
      </c>
      <c r="I491">
        <v>20</v>
      </c>
      <c r="J491">
        <v>10698</v>
      </c>
      <c r="K491">
        <v>0</v>
      </c>
      <c r="L491">
        <v>1</v>
      </c>
      <c r="M491">
        <v>178.3</v>
      </c>
      <c r="N491">
        <v>0</v>
      </c>
      <c r="O491">
        <v>8.9</v>
      </c>
      <c r="P491">
        <v>152</v>
      </c>
      <c r="Q491" s="1" t="s">
        <v>403</v>
      </c>
    </row>
    <row r="492" spans="1:17" hidden="1" x14ac:dyDescent="0.45">
      <c r="A492">
        <v>1223037</v>
      </c>
      <c r="B492" t="s">
        <v>421</v>
      </c>
      <c r="C492" t="s">
        <v>1468</v>
      </c>
      <c r="D492" t="s">
        <v>1008</v>
      </c>
      <c r="E492" t="s">
        <v>1010</v>
      </c>
      <c r="F492" t="s">
        <v>17</v>
      </c>
      <c r="G492">
        <v>2025</v>
      </c>
      <c r="H492">
        <v>7</v>
      </c>
      <c r="I492">
        <v>24</v>
      </c>
      <c r="J492">
        <v>10429</v>
      </c>
      <c r="K492">
        <v>0</v>
      </c>
      <c r="L492">
        <v>3</v>
      </c>
      <c r="M492">
        <v>173.8</v>
      </c>
      <c r="N492">
        <v>0</v>
      </c>
      <c r="O492">
        <v>7.2</v>
      </c>
      <c r="P492">
        <v>168</v>
      </c>
      <c r="Q492" s="1" t="s">
        <v>422</v>
      </c>
    </row>
    <row r="493" spans="1:17" hidden="1" x14ac:dyDescent="0.45">
      <c r="A493">
        <v>1223037</v>
      </c>
      <c r="B493" t="s">
        <v>421</v>
      </c>
      <c r="C493" t="s">
        <v>1468</v>
      </c>
      <c r="D493" t="s">
        <v>1008</v>
      </c>
      <c r="E493" t="s">
        <v>1010</v>
      </c>
      <c r="F493" t="s">
        <v>17</v>
      </c>
      <c r="G493">
        <v>2025</v>
      </c>
      <c r="H493">
        <v>8</v>
      </c>
      <c r="I493">
        <v>18</v>
      </c>
      <c r="J493">
        <v>9113</v>
      </c>
      <c r="K493">
        <v>0</v>
      </c>
      <c r="L493">
        <v>2</v>
      </c>
      <c r="M493">
        <v>151.9</v>
      </c>
      <c r="N493">
        <v>0</v>
      </c>
      <c r="O493">
        <v>8.4</v>
      </c>
      <c r="P493">
        <v>128</v>
      </c>
      <c r="Q493" s="1" t="s">
        <v>203</v>
      </c>
    </row>
    <row r="494" spans="1:17" hidden="1" x14ac:dyDescent="0.45">
      <c r="A494">
        <v>1223044</v>
      </c>
      <c r="B494" t="s">
        <v>423</v>
      </c>
      <c r="C494" t="s">
        <v>1468</v>
      </c>
      <c r="D494" t="s">
        <v>1008</v>
      </c>
      <c r="E494" t="s">
        <v>1010</v>
      </c>
      <c r="F494" t="s">
        <v>116</v>
      </c>
      <c r="G494">
        <v>2025</v>
      </c>
      <c r="H494">
        <v>6</v>
      </c>
      <c r="I494">
        <v>15</v>
      </c>
      <c r="J494">
        <v>9352</v>
      </c>
      <c r="K494">
        <v>0</v>
      </c>
      <c r="L494">
        <v>1</v>
      </c>
      <c r="M494">
        <v>155.9</v>
      </c>
      <c r="N494">
        <v>0</v>
      </c>
      <c r="O494">
        <v>10.4</v>
      </c>
      <c r="P494">
        <v>112</v>
      </c>
      <c r="Q494" s="1" t="s">
        <v>424</v>
      </c>
    </row>
    <row r="495" spans="1:17" hidden="1" x14ac:dyDescent="0.45">
      <c r="A495">
        <v>1223044</v>
      </c>
      <c r="B495" t="s">
        <v>423</v>
      </c>
      <c r="C495" t="s">
        <v>1468</v>
      </c>
      <c r="D495" t="s">
        <v>1008</v>
      </c>
      <c r="E495" t="s">
        <v>1010</v>
      </c>
      <c r="F495" t="s">
        <v>116</v>
      </c>
      <c r="G495">
        <v>2025</v>
      </c>
      <c r="H495">
        <v>7</v>
      </c>
      <c r="I495">
        <v>20</v>
      </c>
      <c r="J495">
        <v>11970</v>
      </c>
      <c r="K495">
        <v>0</v>
      </c>
      <c r="L495">
        <v>1</v>
      </c>
      <c r="M495">
        <v>199.5</v>
      </c>
      <c r="N495">
        <v>0</v>
      </c>
      <c r="O495">
        <v>10</v>
      </c>
      <c r="P495">
        <v>152</v>
      </c>
      <c r="Q495">
        <v>47.5</v>
      </c>
    </row>
    <row r="496" spans="1:17" hidden="1" x14ac:dyDescent="0.45">
      <c r="A496">
        <v>1223044</v>
      </c>
      <c r="B496" t="s">
        <v>423</v>
      </c>
      <c r="C496" t="s">
        <v>1468</v>
      </c>
      <c r="D496" t="s">
        <v>1008</v>
      </c>
      <c r="E496" t="s">
        <v>1010</v>
      </c>
      <c r="F496" t="s">
        <v>116</v>
      </c>
      <c r="G496">
        <v>2025</v>
      </c>
      <c r="H496">
        <v>8</v>
      </c>
      <c r="I496">
        <v>19</v>
      </c>
      <c r="J496">
        <v>8719</v>
      </c>
      <c r="K496">
        <v>0</v>
      </c>
      <c r="L496">
        <v>2</v>
      </c>
      <c r="M496">
        <v>145.30000000000001</v>
      </c>
      <c r="N496">
        <v>0</v>
      </c>
      <c r="O496">
        <v>7.6</v>
      </c>
      <c r="P496">
        <v>136</v>
      </c>
      <c r="Q496" s="1" t="s">
        <v>270</v>
      </c>
    </row>
    <row r="497" spans="1:17" hidden="1" x14ac:dyDescent="0.45">
      <c r="A497">
        <v>1223045</v>
      </c>
      <c r="B497" t="s">
        <v>425</v>
      </c>
      <c r="C497" t="s">
        <v>1463</v>
      </c>
      <c r="D497" t="s">
        <v>954</v>
      </c>
      <c r="E497" t="s">
        <v>956</v>
      </c>
      <c r="F497" t="s">
        <v>116</v>
      </c>
      <c r="G497">
        <v>2025</v>
      </c>
      <c r="H497">
        <v>6</v>
      </c>
      <c r="I497">
        <v>18</v>
      </c>
      <c r="J497">
        <v>8405</v>
      </c>
      <c r="K497">
        <v>0</v>
      </c>
      <c r="L497">
        <v>2</v>
      </c>
      <c r="M497">
        <v>140.1</v>
      </c>
      <c r="N497">
        <v>0</v>
      </c>
      <c r="O497">
        <v>7.8</v>
      </c>
      <c r="P497">
        <v>128</v>
      </c>
      <c r="Q497" s="1" t="s">
        <v>343</v>
      </c>
    </row>
    <row r="498" spans="1:17" hidden="1" x14ac:dyDescent="0.45">
      <c r="A498">
        <v>1223045</v>
      </c>
      <c r="B498" t="s">
        <v>425</v>
      </c>
      <c r="C498" t="s">
        <v>1463</v>
      </c>
      <c r="D498" t="s">
        <v>954</v>
      </c>
      <c r="E498" t="s">
        <v>956</v>
      </c>
      <c r="F498" t="s">
        <v>116</v>
      </c>
      <c r="G498">
        <v>2025</v>
      </c>
      <c r="H498">
        <v>7</v>
      </c>
      <c r="I498">
        <v>18</v>
      </c>
      <c r="J498">
        <v>9252</v>
      </c>
      <c r="K498">
        <v>0</v>
      </c>
      <c r="L498">
        <v>0</v>
      </c>
      <c r="M498">
        <v>154.19999999999999</v>
      </c>
      <c r="N498">
        <v>0</v>
      </c>
      <c r="O498">
        <v>8.6</v>
      </c>
      <c r="P498">
        <v>144</v>
      </c>
      <c r="Q498" s="1" t="s">
        <v>426</v>
      </c>
    </row>
    <row r="499" spans="1:17" hidden="1" x14ac:dyDescent="0.45">
      <c r="A499">
        <v>1223045</v>
      </c>
      <c r="B499" t="s">
        <v>425</v>
      </c>
      <c r="C499" t="s">
        <v>1463</v>
      </c>
      <c r="D499" t="s">
        <v>954</v>
      </c>
      <c r="E499" t="s">
        <v>956</v>
      </c>
      <c r="F499" t="s">
        <v>116</v>
      </c>
      <c r="G499">
        <v>2025</v>
      </c>
      <c r="H499">
        <v>8</v>
      </c>
      <c r="I499">
        <v>17</v>
      </c>
      <c r="J499">
        <v>8312</v>
      </c>
      <c r="K499">
        <v>0</v>
      </c>
      <c r="L499">
        <v>0</v>
      </c>
      <c r="M499">
        <v>138.5</v>
      </c>
      <c r="N499">
        <v>0</v>
      </c>
      <c r="O499">
        <v>8.1</v>
      </c>
      <c r="P499">
        <v>136</v>
      </c>
      <c r="Q499">
        <v>2.5</v>
      </c>
    </row>
    <row r="500" spans="1:17" hidden="1" x14ac:dyDescent="0.45">
      <c r="A500">
        <v>1223050</v>
      </c>
      <c r="B500" t="s">
        <v>427</v>
      </c>
      <c r="C500" t="s">
        <v>1448</v>
      </c>
      <c r="D500" t="s">
        <v>884</v>
      </c>
      <c r="E500" t="s">
        <v>887</v>
      </c>
      <c r="F500" t="s">
        <v>17</v>
      </c>
      <c r="G500">
        <v>2025</v>
      </c>
      <c r="H500">
        <v>6</v>
      </c>
      <c r="I500">
        <v>18</v>
      </c>
      <c r="J500">
        <v>11217</v>
      </c>
      <c r="K500">
        <v>617</v>
      </c>
      <c r="L500">
        <v>0</v>
      </c>
      <c r="M500">
        <v>187</v>
      </c>
      <c r="N500">
        <v>10.3</v>
      </c>
      <c r="O500">
        <v>10.4</v>
      </c>
      <c r="P500">
        <v>144</v>
      </c>
      <c r="Q500">
        <v>43</v>
      </c>
    </row>
    <row r="501" spans="1:17" hidden="1" x14ac:dyDescent="0.45">
      <c r="A501">
        <v>1223050</v>
      </c>
      <c r="B501" t="s">
        <v>427</v>
      </c>
      <c r="C501" t="s">
        <v>1448</v>
      </c>
      <c r="D501" t="s">
        <v>884</v>
      </c>
      <c r="E501" t="s">
        <v>887</v>
      </c>
      <c r="F501" t="s">
        <v>17</v>
      </c>
      <c r="G501">
        <v>2025</v>
      </c>
      <c r="H501">
        <v>7</v>
      </c>
      <c r="I501">
        <v>19</v>
      </c>
      <c r="J501">
        <v>12211</v>
      </c>
      <c r="K501">
        <v>1161</v>
      </c>
      <c r="L501">
        <v>0</v>
      </c>
      <c r="M501">
        <v>203.5</v>
      </c>
      <c r="N501">
        <v>19.399999999999999</v>
      </c>
      <c r="O501">
        <v>10.7</v>
      </c>
      <c r="P501">
        <v>152</v>
      </c>
      <c r="Q501">
        <v>51.5</v>
      </c>
    </row>
    <row r="502" spans="1:17" hidden="1" x14ac:dyDescent="0.45">
      <c r="A502">
        <v>1223050</v>
      </c>
      <c r="B502" t="s">
        <v>427</v>
      </c>
      <c r="C502" t="s">
        <v>1448</v>
      </c>
      <c r="D502" t="s">
        <v>884</v>
      </c>
      <c r="E502" t="s">
        <v>887</v>
      </c>
      <c r="F502" t="s">
        <v>17</v>
      </c>
      <c r="G502">
        <v>2025</v>
      </c>
      <c r="H502">
        <v>8</v>
      </c>
      <c r="I502">
        <v>16</v>
      </c>
      <c r="J502">
        <v>9687</v>
      </c>
      <c r="K502">
        <v>760</v>
      </c>
      <c r="L502">
        <v>0</v>
      </c>
      <c r="M502">
        <v>161.4</v>
      </c>
      <c r="N502">
        <v>12.7</v>
      </c>
      <c r="O502">
        <v>10.1</v>
      </c>
      <c r="P502">
        <v>128</v>
      </c>
      <c r="Q502" s="1" t="s">
        <v>428</v>
      </c>
    </row>
    <row r="503" spans="1:17" hidden="1" x14ac:dyDescent="0.45">
      <c r="A503">
        <v>1223053</v>
      </c>
      <c r="B503" t="s">
        <v>429</v>
      </c>
      <c r="C503" t="s">
        <v>1471</v>
      </c>
      <c r="D503" t="s">
        <v>1008</v>
      </c>
      <c r="E503" t="s">
        <v>1015</v>
      </c>
      <c r="F503" t="s">
        <v>171</v>
      </c>
      <c r="G503">
        <v>2025</v>
      </c>
      <c r="H503">
        <v>6</v>
      </c>
      <c r="I503">
        <v>20</v>
      </c>
      <c r="J503">
        <v>11832</v>
      </c>
      <c r="K503">
        <v>958</v>
      </c>
      <c r="L503">
        <v>1</v>
      </c>
      <c r="M503">
        <v>197.2</v>
      </c>
      <c r="N503">
        <v>16</v>
      </c>
      <c r="O503">
        <v>9.9</v>
      </c>
      <c r="P503">
        <v>152</v>
      </c>
      <c r="Q503" s="1" t="s">
        <v>430</v>
      </c>
    </row>
    <row r="504" spans="1:17" hidden="1" x14ac:dyDescent="0.45">
      <c r="A504">
        <v>1223053</v>
      </c>
      <c r="B504" t="s">
        <v>429</v>
      </c>
      <c r="C504" t="s">
        <v>1471</v>
      </c>
      <c r="D504" t="s">
        <v>1008</v>
      </c>
      <c r="E504" t="s">
        <v>1015</v>
      </c>
      <c r="F504" t="s">
        <v>171</v>
      </c>
      <c r="G504">
        <v>2025</v>
      </c>
      <c r="H504">
        <v>7</v>
      </c>
      <c r="I504">
        <v>17</v>
      </c>
      <c r="J504">
        <v>9071</v>
      </c>
      <c r="K504">
        <v>400</v>
      </c>
      <c r="L504">
        <v>0</v>
      </c>
      <c r="M504">
        <v>151.19999999999999</v>
      </c>
      <c r="N504">
        <v>6.7</v>
      </c>
      <c r="O504">
        <v>8.9</v>
      </c>
      <c r="P504">
        <v>136</v>
      </c>
      <c r="Q504" s="1" t="s">
        <v>431</v>
      </c>
    </row>
    <row r="505" spans="1:17" hidden="1" x14ac:dyDescent="0.45">
      <c r="A505">
        <v>1223053</v>
      </c>
      <c r="B505" t="s">
        <v>429</v>
      </c>
      <c r="C505" t="s">
        <v>1471</v>
      </c>
      <c r="D505" t="s">
        <v>1008</v>
      </c>
      <c r="E505" t="s">
        <v>1015</v>
      </c>
      <c r="F505" t="s">
        <v>171</v>
      </c>
      <c r="G505">
        <v>2025</v>
      </c>
      <c r="H505">
        <v>8</v>
      </c>
      <c r="I505">
        <v>16</v>
      </c>
      <c r="J505">
        <v>8694</v>
      </c>
      <c r="K505">
        <v>60</v>
      </c>
      <c r="L505">
        <v>0</v>
      </c>
      <c r="M505">
        <v>144.9</v>
      </c>
      <c r="N505">
        <v>1</v>
      </c>
      <c r="O505">
        <v>9.1</v>
      </c>
      <c r="P505">
        <v>128</v>
      </c>
      <c r="Q505" s="1" t="s">
        <v>173</v>
      </c>
    </row>
    <row r="506" spans="1:17" hidden="1" x14ac:dyDescent="0.45">
      <c r="A506">
        <v>1223061</v>
      </c>
      <c r="B506" t="s">
        <v>432</v>
      </c>
      <c r="C506" t="s">
        <v>1468</v>
      </c>
      <c r="D506" t="s">
        <v>1008</v>
      </c>
      <c r="E506" t="s">
        <v>1010</v>
      </c>
      <c r="F506" t="s">
        <v>171</v>
      </c>
      <c r="G506">
        <v>2025</v>
      </c>
      <c r="H506">
        <v>6</v>
      </c>
      <c r="I506">
        <v>22</v>
      </c>
      <c r="J506">
        <v>17514</v>
      </c>
      <c r="K506">
        <v>0</v>
      </c>
      <c r="L506">
        <v>4</v>
      </c>
      <c r="M506">
        <v>291.89999999999998</v>
      </c>
      <c r="N506">
        <v>0</v>
      </c>
      <c r="O506">
        <v>13.3</v>
      </c>
      <c r="P506">
        <v>144</v>
      </c>
      <c r="Q506" s="1" t="s">
        <v>433</v>
      </c>
    </row>
    <row r="507" spans="1:17" hidden="1" x14ac:dyDescent="0.45">
      <c r="A507">
        <v>1223061</v>
      </c>
      <c r="B507" t="s">
        <v>432</v>
      </c>
      <c r="C507" t="s">
        <v>1468</v>
      </c>
      <c r="D507" t="s">
        <v>1008</v>
      </c>
      <c r="E507" t="s">
        <v>1010</v>
      </c>
      <c r="F507" t="s">
        <v>171</v>
      </c>
      <c r="G507">
        <v>2025</v>
      </c>
      <c r="H507">
        <v>7</v>
      </c>
      <c r="I507">
        <v>23</v>
      </c>
      <c r="J507">
        <v>14412</v>
      </c>
      <c r="K507">
        <v>0</v>
      </c>
      <c r="L507">
        <v>2</v>
      </c>
      <c r="M507">
        <v>240.2</v>
      </c>
      <c r="N507">
        <v>0</v>
      </c>
      <c r="O507">
        <v>10.4</v>
      </c>
      <c r="P507">
        <v>168</v>
      </c>
      <c r="Q507" s="1" t="s">
        <v>434</v>
      </c>
    </row>
    <row r="508" spans="1:17" hidden="1" x14ac:dyDescent="0.45">
      <c r="A508">
        <v>1223061</v>
      </c>
      <c r="B508" t="s">
        <v>432</v>
      </c>
      <c r="C508" t="s">
        <v>1468</v>
      </c>
      <c r="D508" t="s">
        <v>1008</v>
      </c>
      <c r="E508" t="s">
        <v>1010</v>
      </c>
      <c r="F508" t="s">
        <v>171</v>
      </c>
      <c r="G508">
        <v>2025</v>
      </c>
      <c r="H508">
        <v>8</v>
      </c>
      <c r="I508">
        <v>13</v>
      </c>
      <c r="J508">
        <v>9146</v>
      </c>
      <c r="K508">
        <v>0</v>
      </c>
      <c r="L508">
        <v>1</v>
      </c>
      <c r="M508">
        <v>152.4</v>
      </c>
      <c r="N508">
        <v>0</v>
      </c>
      <c r="O508">
        <v>11.7</v>
      </c>
      <c r="P508">
        <v>96</v>
      </c>
      <c r="Q508" s="1" t="s">
        <v>119</v>
      </c>
    </row>
    <row r="509" spans="1:17" hidden="1" x14ac:dyDescent="0.45">
      <c r="A509">
        <v>1223065</v>
      </c>
      <c r="B509" t="s">
        <v>435</v>
      </c>
      <c r="C509" t="s">
        <v>1452</v>
      </c>
      <c r="D509" t="s">
        <v>954</v>
      </c>
      <c r="E509" t="s">
        <v>958</v>
      </c>
      <c r="F509" t="s">
        <v>116</v>
      </c>
      <c r="G509">
        <v>2025</v>
      </c>
      <c r="H509">
        <v>6</v>
      </c>
      <c r="I509">
        <v>15</v>
      </c>
      <c r="J509">
        <v>8899</v>
      </c>
      <c r="K509">
        <v>540</v>
      </c>
      <c r="L509">
        <v>0</v>
      </c>
      <c r="M509">
        <v>148.30000000000001</v>
      </c>
      <c r="N509">
        <v>9</v>
      </c>
      <c r="O509">
        <v>9.9</v>
      </c>
      <c r="P509">
        <v>120</v>
      </c>
      <c r="Q509" s="1" t="s">
        <v>161</v>
      </c>
    </row>
    <row r="510" spans="1:17" hidden="1" x14ac:dyDescent="0.45">
      <c r="A510">
        <v>1223065</v>
      </c>
      <c r="B510" t="s">
        <v>435</v>
      </c>
      <c r="C510" t="s">
        <v>1452</v>
      </c>
      <c r="D510" t="s">
        <v>954</v>
      </c>
      <c r="E510" t="s">
        <v>958</v>
      </c>
      <c r="F510" t="s">
        <v>116</v>
      </c>
      <c r="G510">
        <v>2025</v>
      </c>
      <c r="H510">
        <v>7</v>
      </c>
      <c r="I510">
        <v>16</v>
      </c>
      <c r="J510">
        <v>8680</v>
      </c>
      <c r="K510">
        <v>0</v>
      </c>
      <c r="L510">
        <v>0</v>
      </c>
      <c r="M510">
        <v>144.69999999999999</v>
      </c>
      <c r="N510">
        <v>0</v>
      </c>
      <c r="O510">
        <v>9</v>
      </c>
      <c r="P510">
        <v>128</v>
      </c>
      <c r="Q510" s="1" t="s">
        <v>436</v>
      </c>
    </row>
    <row r="511" spans="1:17" hidden="1" x14ac:dyDescent="0.45">
      <c r="A511">
        <v>1223065</v>
      </c>
      <c r="B511" t="s">
        <v>435</v>
      </c>
      <c r="C511" t="s">
        <v>1452</v>
      </c>
      <c r="D511" t="s">
        <v>954</v>
      </c>
      <c r="E511" t="s">
        <v>958</v>
      </c>
      <c r="F511" t="s">
        <v>116</v>
      </c>
      <c r="G511">
        <v>2025</v>
      </c>
      <c r="H511">
        <v>8</v>
      </c>
      <c r="I511">
        <v>15</v>
      </c>
      <c r="J511">
        <v>8562</v>
      </c>
      <c r="K511">
        <v>819</v>
      </c>
      <c r="L511">
        <v>0</v>
      </c>
      <c r="M511">
        <v>142.69999999999999</v>
      </c>
      <c r="N511">
        <v>13.6</v>
      </c>
      <c r="O511">
        <v>9.5</v>
      </c>
      <c r="P511">
        <v>120</v>
      </c>
      <c r="Q511" s="1" t="s">
        <v>437</v>
      </c>
    </row>
    <row r="512" spans="1:17" hidden="1" x14ac:dyDescent="0.45">
      <c r="A512">
        <v>1223066</v>
      </c>
      <c r="B512" t="s">
        <v>438</v>
      </c>
      <c r="C512" t="s">
        <v>1454</v>
      </c>
      <c r="D512" t="s">
        <v>884</v>
      </c>
      <c r="E512" t="s">
        <v>885</v>
      </c>
      <c r="F512" t="s">
        <v>116</v>
      </c>
      <c r="G512">
        <v>2025</v>
      </c>
      <c r="H512">
        <v>6</v>
      </c>
      <c r="I512">
        <v>19</v>
      </c>
      <c r="J512">
        <v>10285</v>
      </c>
      <c r="K512">
        <v>49</v>
      </c>
      <c r="L512">
        <v>0</v>
      </c>
      <c r="M512">
        <v>171.4</v>
      </c>
      <c r="N512">
        <v>0.8</v>
      </c>
      <c r="O512">
        <v>9</v>
      </c>
      <c r="P512">
        <v>152</v>
      </c>
      <c r="Q512" s="1" t="s">
        <v>53</v>
      </c>
    </row>
    <row r="513" spans="1:17" hidden="1" x14ac:dyDescent="0.45">
      <c r="A513">
        <v>1223066</v>
      </c>
      <c r="B513" t="s">
        <v>438</v>
      </c>
      <c r="C513" t="s">
        <v>1454</v>
      </c>
      <c r="D513" t="s">
        <v>884</v>
      </c>
      <c r="E513" t="s">
        <v>885</v>
      </c>
      <c r="F513" t="s">
        <v>116</v>
      </c>
      <c r="G513">
        <v>2025</v>
      </c>
      <c r="H513">
        <v>7</v>
      </c>
      <c r="I513">
        <v>18</v>
      </c>
      <c r="J513">
        <v>9500</v>
      </c>
      <c r="K513">
        <v>14</v>
      </c>
      <c r="L513">
        <v>0</v>
      </c>
      <c r="M513">
        <v>158.30000000000001</v>
      </c>
      <c r="N513">
        <v>0.2</v>
      </c>
      <c r="O513">
        <v>8.8000000000000007</v>
      </c>
      <c r="P513">
        <v>144</v>
      </c>
      <c r="Q513" s="1" t="s">
        <v>439</v>
      </c>
    </row>
    <row r="514" spans="1:17" hidden="1" x14ac:dyDescent="0.45">
      <c r="A514">
        <v>1223066</v>
      </c>
      <c r="B514" t="s">
        <v>438</v>
      </c>
      <c r="C514" t="s">
        <v>1454</v>
      </c>
      <c r="D514" t="s">
        <v>884</v>
      </c>
      <c r="E514" t="s">
        <v>885</v>
      </c>
      <c r="F514" t="s">
        <v>116</v>
      </c>
      <c r="G514">
        <v>2025</v>
      </c>
      <c r="H514">
        <v>8</v>
      </c>
      <c r="I514">
        <v>16</v>
      </c>
      <c r="J514">
        <v>7590</v>
      </c>
      <c r="K514">
        <v>98</v>
      </c>
      <c r="L514">
        <v>0</v>
      </c>
      <c r="M514">
        <v>126.5</v>
      </c>
      <c r="N514">
        <v>1.6</v>
      </c>
      <c r="O514">
        <v>7.9</v>
      </c>
      <c r="P514">
        <v>128</v>
      </c>
      <c r="Q514">
        <v>-1.5</v>
      </c>
    </row>
    <row r="515" spans="1:17" hidden="1" x14ac:dyDescent="0.45">
      <c r="A515">
        <v>1223067</v>
      </c>
      <c r="B515" t="s">
        <v>440</v>
      </c>
      <c r="C515" t="s">
        <v>1470</v>
      </c>
      <c r="D515" t="s">
        <v>815</v>
      </c>
      <c r="E515" t="s">
        <v>821</v>
      </c>
      <c r="F515" t="s">
        <v>116</v>
      </c>
      <c r="G515">
        <v>2025</v>
      </c>
      <c r="H515">
        <v>6</v>
      </c>
      <c r="I515">
        <v>25</v>
      </c>
      <c r="J515">
        <v>12481</v>
      </c>
      <c r="K515">
        <v>439</v>
      </c>
      <c r="L515">
        <v>5</v>
      </c>
      <c r="M515">
        <v>208</v>
      </c>
      <c r="N515">
        <v>7.3</v>
      </c>
      <c r="O515">
        <v>8.3000000000000007</v>
      </c>
      <c r="P515">
        <v>160</v>
      </c>
      <c r="Q515">
        <v>48</v>
      </c>
    </row>
    <row r="516" spans="1:17" hidden="1" x14ac:dyDescent="0.45">
      <c r="A516">
        <v>1223067</v>
      </c>
      <c r="B516" t="s">
        <v>440</v>
      </c>
      <c r="C516" t="s">
        <v>1470</v>
      </c>
      <c r="D516" t="s">
        <v>815</v>
      </c>
      <c r="E516" t="s">
        <v>821</v>
      </c>
      <c r="F516" t="s">
        <v>116</v>
      </c>
      <c r="G516">
        <v>2025</v>
      </c>
      <c r="H516">
        <v>7</v>
      </c>
      <c r="I516">
        <v>23</v>
      </c>
      <c r="J516">
        <v>14844</v>
      </c>
      <c r="K516">
        <v>2295</v>
      </c>
      <c r="L516">
        <v>4</v>
      </c>
      <c r="M516">
        <v>247.4</v>
      </c>
      <c r="N516">
        <v>38.200000000000003</v>
      </c>
      <c r="O516">
        <v>10.8</v>
      </c>
      <c r="P516">
        <v>152</v>
      </c>
      <c r="Q516">
        <v>95.4</v>
      </c>
    </row>
    <row r="517" spans="1:17" hidden="1" x14ac:dyDescent="0.45">
      <c r="A517">
        <v>1223067</v>
      </c>
      <c r="B517" t="s">
        <v>440</v>
      </c>
      <c r="C517" t="s">
        <v>1470</v>
      </c>
      <c r="D517" t="s">
        <v>815</v>
      </c>
      <c r="E517" t="s">
        <v>821</v>
      </c>
      <c r="F517" t="s">
        <v>116</v>
      </c>
      <c r="G517">
        <v>2025</v>
      </c>
      <c r="H517">
        <v>8</v>
      </c>
      <c r="I517">
        <v>17</v>
      </c>
      <c r="J517">
        <v>10424</v>
      </c>
      <c r="K517">
        <v>880</v>
      </c>
      <c r="L517">
        <v>1</v>
      </c>
      <c r="M517">
        <v>173.7</v>
      </c>
      <c r="N517">
        <v>14.7</v>
      </c>
      <c r="O517">
        <v>10.199999999999999</v>
      </c>
      <c r="P517">
        <v>128</v>
      </c>
      <c r="Q517" s="1" t="s">
        <v>441</v>
      </c>
    </row>
    <row r="518" spans="1:17" hidden="1" x14ac:dyDescent="0.45">
      <c r="A518">
        <v>1223069</v>
      </c>
      <c r="B518" t="s">
        <v>442</v>
      </c>
      <c r="C518" t="s">
        <v>1464</v>
      </c>
      <c r="D518" t="s">
        <v>815</v>
      </c>
      <c r="E518" t="s">
        <v>835</v>
      </c>
      <c r="F518" t="s">
        <v>116</v>
      </c>
      <c r="G518">
        <v>2025</v>
      </c>
      <c r="H518">
        <v>6</v>
      </c>
      <c r="I518">
        <v>18</v>
      </c>
      <c r="J518">
        <v>9797</v>
      </c>
      <c r="K518">
        <v>276</v>
      </c>
      <c r="L518">
        <v>0</v>
      </c>
      <c r="M518">
        <v>163.30000000000001</v>
      </c>
      <c r="N518">
        <v>4.5999999999999996</v>
      </c>
      <c r="O518">
        <v>9.1</v>
      </c>
      <c r="P518">
        <v>144</v>
      </c>
      <c r="Q518" s="1" t="s">
        <v>196</v>
      </c>
    </row>
    <row r="519" spans="1:17" hidden="1" x14ac:dyDescent="0.45">
      <c r="A519">
        <v>1223069</v>
      </c>
      <c r="B519" t="s">
        <v>442</v>
      </c>
      <c r="C519" t="s">
        <v>1464</v>
      </c>
      <c r="D519" t="s">
        <v>815</v>
      </c>
      <c r="E519" t="s">
        <v>835</v>
      </c>
      <c r="F519" t="s">
        <v>116</v>
      </c>
      <c r="G519">
        <v>2025</v>
      </c>
      <c r="H519">
        <v>7</v>
      </c>
      <c r="I519">
        <v>19</v>
      </c>
      <c r="J519">
        <v>10069</v>
      </c>
      <c r="K519">
        <v>120</v>
      </c>
      <c r="L519">
        <v>0</v>
      </c>
      <c r="M519">
        <v>167.8</v>
      </c>
      <c r="N519">
        <v>2</v>
      </c>
      <c r="O519">
        <v>8.8000000000000007</v>
      </c>
      <c r="P519">
        <v>152</v>
      </c>
      <c r="Q519" s="1" t="s">
        <v>379</v>
      </c>
    </row>
    <row r="520" spans="1:17" hidden="1" x14ac:dyDescent="0.45">
      <c r="A520">
        <v>1223069</v>
      </c>
      <c r="B520" t="s">
        <v>442</v>
      </c>
      <c r="C520" t="s">
        <v>1464</v>
      </c>
      <c r="D520" t="s">
        <v>815</v>
      </c>
      <c r="E520" t="s">
        <v>835</v>
      </c>
      <c r="F520" t="s">
        <v>116</v>
      </c>
      <c r="G520">
        <v>2025</v>
      </c>
      <c r="H520">
        <v>8</v>
      </c>
      <c r="I520">
        <v>16</v>
      </c>
      <c r="J520">
        <v>8633</v>
      </c>
      <c r="K520">
        <v>120</v>
      </c>
      <c r="L520">
        <v>0</v>
      </c>
      <c r="M520">
        <v>143.9</v>
      </c>
      <c r="N520">
        <v>2</v>
      </c>
      <c r="O520">
        <v>9</v>
      </c>
      <c r="P520">
        <v>128</v>
      </c>
      <c r="Q520" s="1" t="s">
        <v>302</v>
      </c>
    </row>
    <row r="521" spans="1:17" hidden="1" x14ac:dyDescent="0.45">
      <c r="A521">
        <v>1223076</v>
      </c>
      <c r="B521" t="s">
        <v>443</v>
      </c>
      <c r="C521" t="s">
        <v>1445</v>
      </c>
      <c r="D521" t="s">
        <v>815</v>
      </c>
      <c r="E521" t="s">
        <v>830</v>
      </c>
      <c r="F521" t="s">
        <v>116</v>
      </c>
      <c r="G521">
        <v>2025</v>
      </c>
      <c r="H521">
        <v>6</v>
      </c>
      <c r="I521">
        <v>19</v>
      </c>
      <c r="J521">
        <v>11196</v>
      </c>
      <c r="K521">
        <v>849</v>
      </c>
      <c r="L521">
        <v>1</v>
      </c>
      <c r="M521">
        <v>186.6</v>
      </c>
      <c r="N521">
        <v>14.2</v>
      </c>
      <c r="O521">
        <v>9.8000000000000007</v>
      </c>
      <c r="P521">
        <v>144</v>
      </c>
      <c r="Q521" s="1" t="s">
        <v>207</v>
      </c>
    </row>
    <row r="522" spans="1:17" hidden="1" x14ac:dyDescent="0.45">
      <c r="A522">
        <v>1223076</v>
      </c>
      <c r="B522" t="s">
        <v>443</v>
      </c>
      <c r="C522" t="s">
        <v>1445</v>
      </c>
      <c r="D522" t="s">
        <v>815</v>
      </c>
      <c r="E522" t="s">
        <v>830</v>
      </c>
      <c r="F522" t="s">
        <v>116</v>
      </c>
      <c r="G522">
        <v>2025</v>
      </c>
      <c r="H522">
        <v>7</v>
      </c>
      <c r="I522">
        <v>16</v>
      </c>
      <c r="J522">
        <v>9283</v>
      </c>
      <c r="K522">
        <v>548</v>
      </c>
      <c r="L522">
        <v>0</v>
      </c>
      <c r="M522">
        <v>154.69999999999999</v>
      </c>
      <c r="N522">
        <v>9.1</v>
      </c>
      <c r="O522">
        <v>9.6999999999999993</v>
      </c>
      <c r="P522">
        <v>128</v>
      </c>
      <c r="Q522" s="1" t="s">
        <v>216</v>
      </c>
    </row>
    <row r="523" spans="1:17" hidden="1" x14ac:dyDescent="0.45">
      <c r="A523">
        <v>1223076</v>
      </c>
      <c r="B523" t="s">
        <v>443</v>
      </c>
      <c r="C523" t="s">
        <v>1445</v>
      </c>
      <c r="D523" t="s">
        <v>815</v>
      </c>
      <c r="E523" t="s">
        <v>830</v>
      </c>
      <c r="F523" t="s">
        <v>116</v>
      </c>
      <c r="G523">
        <v>2025</v>
      </c>
      <c r="H523">
        <v>8</v>
      </c>
      <c r="I523">
        <v>16</v>
      </c>
      <c r="J523">
        <v>8997</v>
      </c>
      <c r="K523">
        <v>508</v>
      </c>
      <c r="L523">
        <v>0</v>
      </c>
      <c r="M523">
        <v>150</v>
      </c>
      <c r="N523">
        <v>8.5</v>
      </c>
      <c r="O523">
        <v>9.4</v>
      </c>
      <c r="P523">
        <v>128</v>
      </c>
      <c r="Q523">
        <v>22</v>
      </c>
    </row>
    <row r="524" spans="1:17" hidden="1" x14ac:dyDescent="0.45">
      <c r="A524">
        <v>1223077</v>
      </c>
      <c r="B524" t="s">
        <v>444</v>
      </c>
      <c r="C524" t="s">
        <v>1469</v>
      </c>
      <c r="D524" t="s">
        <v>815</v>
      </c>
      <c r="E524" t="s">
        <v>823</v>
      </c>
      <c r="F524" t="s">
        <v>116</v>
      </c>
      <c r="G524">
        <v>2025</v>
      </c>
      <c r="H524">
        <v>6</v>
      </c>
      <c r="I524">
        <v>12</v>
      </c>
      <c r="J524">
        <v>7336</v>
      </c>
      <c r="K524">
        <v>0</v>
      </c>
      <c r="L524">
        <v>0</v>
      </c>
      <c r="M524">
        <v>122.3</v>
      </c>
      <c r="N524">
        <v>0</v>
      </c>
      <c r="O524">
        <v>10.199999999999999</v>
      </c>
      <c r="P524">
        <v>96</v>
      </c>
      <c r="Q524" s="1" t="s">
        <v>445</v>
      </c>
    </row>
    <row r="525" spans="1:17" hidden="1" x14ac:dyDescent="0.45">
      <c r="A525">
        <v>1223077</v>
      </c>
      <c r="B525" t="s">
        <v>444</v>
      </c>
      <c r="C525" t="s">
        <v>1469</v>
      </c>
      <c r="D525" t="s">
        <v>815</v>
      </c>
      <c r="E525" t="s">
        <v>823</v>
      </c>
      <c r="F525" t="s">
        <v>116</v>
      </c>
      <c r="G525">
        <v>2025</v>
      </c>
      <c r="H525">
        <v>7</v>
      </c>
      <c r="I525">
        <v>13</v>
      </c>
      <c r="J525">
        <v>7419</v>
      </c>
      <c r="K525">
        <v>0</v>
      </c>
      <c r="L525">
        <v>0</v>
      </c>
      <c r="M525">
        <v>123.6</v>
      </c>
      <c r="N525">
        <v>0</v>
      </c>
      <c r="O525">
        <v>9.5</v>
      </c>
      <c r="P525">
        <v>104</v>
      </c>
      <c r="Q525" s="1" t="s">
        <v>21</v>
      </c>
    </row>
    <row r="526" spans="1:17" hidden="1" x14ac:dyDescent="0.45">
      <c r="A526">
        <v>1223077</v>
      </c>
      <c r="B526" t="s">
        <v>444</v>
      </c>
      <c r="C526" t="s">
        <v>1469</v>
      </c>
      <c r="D526" t="s">
        <v>815</v>
      </c>
      <c r="E526" t="s">
        <v>823</v>
      </c>
      <c r="F526" t="s">
        <v>116</v>
      </c>
      <c r="G526">
        <v>2025</v>
      </c>
      <c r="H526">
        <v>8</v>
      </c>
      <c r="I526">
        <v>13</v>
      </c>
      <c r="J526">
        <v>7343</v>
      </c>
      <c r="K526">
        <v>0</v>
      </c>
      <c r="L526">
        <v>0</v>
      </c>
      <c r="M526">
        <v>122.4</v>
      </c>
      <c r="N526">
        <v>0</v>
      </c>
      <c r="O526">
        <v>9.4</v>
      </c>
      <c r="P526">
        <v>104</v>
      </c>
      <c r="Q526" s="1" t="s">
        <v>446</v>
      </c>
    </row>
    <row r="527" spans="1:17" hidden="1" x14ac:dyDescent="0.45">
      <c r="A527">
        <v>1223079</v>
      </c>
      <c r="B527" t="s">
        <v>447</v>
      </c>
      <c r="C527" t="s">
        <v>1445</v>
      </c>
      <c r="D527" t="s">
        <v>815</v>
      </c>
      <c r="E527" t="s">
        <v>830</v>
      </c>
      <c r="F527" t="s">
        <v>171</v>
      </c>
      <c r="G527">
        <v>2025</v>
      </c>
      <c r="H527">
        <v>6</v>
      </c>
      <c r="I527">
        <v>18</v>
      </c>
      <c r="J527">
        <v>10337</v>
      </c>
      <c r="K527">
        <v>139</v>
      </c>
      <c r="L527">
        <v>0</v>
      </c>
      <c r="M527">
        <v>172.3</v>
      </c>
      <c r="N527">
        <v>2.2999999999999998</v>
      </c>
      <c r="O527">
        <v>9.6</v>
      </c>
      <c r="P527">
        <v>144</v>
      </c>
      <c r="Q527" s="1" t="s">
        <v>161</v>
      </c>
    </row>
    <row r="528" spans="1:17" hidden="1" x14ac:dyDescent="0.45">
      <c r="A528">
        <v>1223079</v>
      </c>
      <c r="B528" t="s">
        <v>447</v>
      </c>
      <c r="C528" t="s">
        <v>1445</v>
      </c>
      <c r="D528" t="s">
        <v>815</v>
      </c>
      <c r="E528" t="s">
        <v>830</v>
      </c>
      <c r="F528" t="s">
        <v>171</v>
      </c>
      <c r="G528">
        <v>2025</v>
      </c>
      <c r="H528">
        <v>7</v>
      </c>
      <c r="I528">
        <v>19</v>
      </c>
      <c r="J528">
        <v>10728</v>
      </c>
      <c r="K528">
        <v>214</v>
      </c>
      <c r="L528">
        <v>0</v>
      </c>
      <c r="M528">
        <v>178.8</v>
      </c>
      <c r="N528">
        <v>3.6</v>
      </c>
      <c r="O528">
        <v>9.4</v>
      </c>
      <c r="P528">
        <v>152</v>
      </c>
      <c r="Q528" s="1" t="s">
        <v>448</v>
      </c>
    </row>
    <row r="529" spans="1:17" hidden="1" x14ac:dyDescent="0.45">
      <c r="A529">
        <v>1223079</v>
      </c>
      <c r="B529" t="s">
        <v>447</v>
      </c>
      <c r="C529" t="s">
        <v>1445</v>
      </c>
      <c r="D529" t="s">
        <v>815</v>
      </c>
      <c r="E529" t="s">
        <v>830</v>
      </c>
      <c r="F529" t="s">
        <v>171</v>
      </c>
      <c r="G529">
        <v>2025</v>
      </c>
      <c r="H529">
        <v>8</v>
      </c>
      <c r="I529">
        <v>15</v>
      </c>
      <c r="J529">
        <v>8484</v>
      </c>
      <c r="K529">
        <v>0</v>
      </c>
      <c r="L529">
        <v>0</v>
      </c>
      <c r="M529">
        <v>141.4</v>
      </c>
      <c r="N529">
        <v>0</v>
      </c>
      <c r="O529">
        <v>9.4</v>
      </c>
      <c r="P529">
        <v>120</v>
      </c>
      <c r="Q529" s="1" t="s">
        <v>27</v>
      </c>
    </row>
    <row r="530" spans="1:17" hidden="1" x14ac:dyDescent="0.45">
      <c r="A530">
        <v>1223081</v>
      </c>
      <c r="B530" t="s">
        <v>449</v>
      </c>
      <c r="C530" t="s">
        <v>1449</v>
      </c>
      <c r="D530" t="s">
        <v>815</v>
      </c>
      <c r="E530" t="s">
        <v>819</v>
      </c>
      <c r="F530" t="s">
        <v>171</v>
      </c>
      <c r="G530">
        <v>2025</v>
      </c>
      <c r="H530">
        <v>6</v>
      </c>
      <c r="I530">
        <v>10</v>
      </c>
      <c r="J530">
        <v>4418</v>
      </c>
      <c r="K530">
        <v>0</v>
      </c>
      <c r="L530">
        <v>0</v>
      </c>
      <c r="M530">
        <v>73.599999999999994</v>
      </c>
      <c r="N530">
        <v>0</v>
      </c>
      <c r="O530">
        <v>7.4</v>
      </c>
      <c r="P530">
        <v>80</v>
      </c>
      <c r="Q530">
        <v>-6.4</v>
      </c>
    </row>
    <row r="531" spans="1:17" hidden="1" x14ac:dyDescent="0.45">
      <c r="A531">
        <v>1223081</v>
      </c>
      <c r="B531" t="s">
        <v>449</v>
      </c>
      <c r="C531" t="s">
        <v>1449</v>
      </c>
      <c r="D531" t="s">
        <v>815</v>
      </c>
      <c r="E531" t="s">
        <v>819</v>
      </c>
      <c r="F531" t="s">
        <v>171</v>
      </c>
      <c r="G531">
        <v>2025</v>
      </c>
      <c r="H531">
        <v>7</v>
      </c>
      <c r="I531">
        <v>10</v>
      </c>
      <c r="J531">
        <v>4544</v>
      </c>
      <c r="K531">
        <v>0</v>
      </c>
      <c r="L531">
        <v>0</v>
      </c>
      <c r="M531">
        <v>75.7</v>
      </c>
      <c r="N531">
        <v>0</v>
      </c>
      <c r="O531">
        <v>7.6</v>
      </c>
      <c r="P531">
        <v>80</v>
      </c>
      <c r="Q531">
        <v>-4.3</v>
      </c>
    </row>
    <row r="532" spans="1:17" hidden="1" x14ac:dyDescent="0.45">
      <c r="A532">
        <v>1223081</v>
      </c>
      <c r="B532" t="s">
        <v>449</v>
      </c>
      <c r="C532" t="s">
        <v>1449</v>
      </c>
      <c r="D532" t="s">
        <v>815</v>
      </c>
      <c r="E532" t="s">
        <v>819</v>
      </c>
      <c r="F532" t="s">
        <v>171</v>
      </c>
      <c r="G532">
        <v>2025</v>
      </c>
      <c r="H532">
        <v>8</v>
      </c>
      <c r="I532">
        <v>11</v>
      </c>
      <c r="J532">
        <v>4525</v>
      </c>
      <c r="K532">
        <v>0</v>
      </c>
      <c r="L532">
        <v>1</v>
      </c>
      <c r="M532">
        <v>75.400000000000006</v>
      </c>
      <c r="N532">
        <v>0</v>
      </c>
      <c r="O532">
        <v>6.9</v>
      </c>
      <c r="P532">
        <v>80</v>
      </c>
      <c r="Q532">
        <v>-4.5999999999999996</v>
      </c>
    </row>
    <row r="533" spans="1:17" hidden="1" x14ac:dyDescent="0.45">
      <c r="A533">
        <v>1223082</v>
      </c>
      <c r="B533" t="s">
        <v>450</v>
      </c>
      <c r="C533" t="s">
        <v>1463</v>
      </c>
      <c r="D533" t="s">
        <v>954</v>
      </c>
      <c r="E533" t="s">
        <v>956</v>
      </c>
      <c r="F533" t="s">
        <v>171</v>
      </c>
      <c r="G533">
        <v>2025</v>
      </c>
      <c r="H533">
        <v>6</v>
      </c>
      <c r="I533">
        <v>22</v>
      </c>
      <c r="J533">
        <v>11537</v>
      </c>
      <c r="K533">
        <v>0</v>
      </c>
      <c r="L533">
        <v>3</v>
      </c>
      <c r="M533">
        <v>192.3</v>
      </c>
      <c r="N533">
        <v>0</v>
      </c>
      <c r="O533">
        <v>8.6999999999999993</v>
      </c>
      <c r="P533">
        <v>152</v>
      </c>
      <c r="Q533" s="1" t="s">
        <v>391</v>
      </c>
    </row>
    <row r="534" spans="1:17" hidden="1" x14ac:dyDescent="0.45">
      <c r="A534">
        <v>1223082</v>
      </c>
      <c r="B534" t="s">
        <v>450</v>
      </c>
      <c r="C534" t="s">
        <v>1463</v>
      </c>
      <c r="D534" t="s">
        <v>954</v>
      </c>
      <c r="E534" t="s">
        <v>956</v>
      </c>
      <c r="F534" t="s">
        <v>171</v>
      </c>
      <c r="G534">
        <v>2025</v>
      </c>
      <c r="H534">
        <v>7</v>
      </c>
      <c r="I534">
        <v>19</v>
      </c>
      <c r="J534">
        <v>10068</v>
      </c>
      <c r="K534">
        <v>0</v>
      </c>
      <c r="L534">
        <v>1</v>
      </c>
      <c r="M534">
        <v>167.8</v>
      </c>
      <c r="N534">
        <v>0</v>
      </c>
      <c r="O534">
        <v>8.8000000000000007</v>
      </c>
      <c r="P534">
        <v>144</v>
      </c>
      <c r="Q534" s="1" t="s">
        <v>42</v>
      </c>
    </row>
    <row r="535" spans="1:17" hidden="1" x14ac:dyDescent="0.45">
      <c r="A535">
        <v>1223082</v>
      </c>
      <c r="B535" t="s">
        <v>450</v>
      </c>
      <c r="C535" t="s">
        <v>1463</v>
      </c>
      <c r="D535" t="s">
        <v>954</v>
      </c>
      <c r="E535" t="s">
        <v>956</v>
      </c>
      <c r="F535" t="s">
        <v>171</v>
      </c>
      <c r="G535">
        <v>2025</v>
      </c>
      <c r="H535">
        <v>8</v>
      </c>
      <c r="I535">
        <v>15</v>
      </c>
      <c r="J535">
        <v>8155</v>
      </c>
      <c r="K535">
        <v>60</v>
      </c>
      <c r="L535">
        <v>0</v>
      </c>
      <c r="M535">
        <v>135.9</v>
      </c>
      <c r="N535">
        <v>1</v>
      </c>
      <c r="O535">
        <v>9.1</v>
      </c>
      <c r="P535">
        <v>120</v>
      </c>
      <c r="Q535" s="1" t="s">
        <v>302</v>
      </c>
    </row>
    <row r="536" spans="1:17" hidden="1" x14ac:dyDescent="0.45">
      <c r="A536">
        <v>1223083</v>
      </c>
      <c r="B536" t="s">
        <v>451</v>
      </c>
      <c r="C536" t="s">
        <v>1463</v>
      </c>
      <c r="D536" t="s">
        <v>954</v>
      </c>
      <c r="E536" t="s">
        <v>956</v>
      </c>
      <c r="F536" t="s">
        <v>171</v>
      </c>
      <c r="G536">
        <v>2025</v>
      </c>
      <c r="H536">
        <v>6</v>
      </c>
      <c r="I536">
        <v>20</v>
      </c>
      <c r="J536">
        <v>11065</v>
      </c>
      <c r="K536">
        <v>0</v>
      </c>
      <c r="L536">
        <v>2</v>
      </c>
      <c r="M536">
        <v>184.4</v>
      </c>
      <c r="N536">
        <v>0</v>
      </c>
      <c r="O536">
        <v>9.1999999999999993</v>
      </c>
      <c r="P536">
        <v>144</v>
      </c>
      <c r="Q536" s="1" t="s">
        <v>452</v>
      </c>
    </row>
    <row r="537" spans="1:17" hidden="1" x14ac:dyDescent="0.45">
      <c r="A537">
        <v>1223083</v>
      </c>
      <c r="B537" t="s">
        <v>451</v>
      </c>
      <c r="C537" t="s">
        <v>1463</v>
      </c>
      <c r="D537" t="s">
        <v>954</v>
      </c>
      <c r="E537" t="s">
        <v>956</v>
      </c>
      <c r="F537" t="s">
        <v>171</v>
      </c>
      <c r="G537">
        <v>2025</v>
      </c>
      <c r="H537">
        <v>7</v>
      </c>
      <c r="I537">
        <v>20</v>
      </c>
      <c r="J537">
        <v>12493</v>
      </c>
      <c r="K537">
        <v>0</v>
      </c>
      <c r="L537">
        <v>1</v>
      </c>
      <c r="M537">
        <v>208.2</v>
      </c>
      <c r="N537">
        <v>0</v>
      </c>
      <c r="O537">
        <v>10.4</v>
      </c>
      <c r="P537">
        <v>152</v>
      </c>
      <c r="Q537" s="1" t="s">
        <v>453</v>
      </c>
    </row>
    <row r="538" spans="1:17" hidden="1" x14ac:dyDescent="0.45">
      <c r="A538">
        <v>1223083</v>
      </c>
      <c r="B538" t="s">
        <v>451</v>
      </c>
      <c r="C538" t="s">
        <v>1463</v>
      </c>
      <c r="D538" t="s">
        <v>954</v>
      </c>
      <c r="E538" t="s">
        <v>956</v>
      </c>
      <c r="F538" t="s">
        <v>171</v>
      </c>
      <c r="G538">
        <v>2025</v>
      </c>
      <c r="H538">
        <v>8</v>
      </c>
      <c r="I538">
        <v>17</v>
      </c>
      <c r="J538">
        <v>9259</v>
      </c>
      <c r="K538">
        <v>0</v>
      </c>
      <c r="L538">
        <v>1</v>
      </c>
      <c r="M538">
        <v>154.30000000000001</v>
      </c>
      <c r="N538">
        <v>0</v>
      </c>
      <c r="O538">
        <v>9.1</v>
      </c>
      <c r="P538">
        <v>128</v>
      </c>
      <c r="Q538" s="1" t="s">
        <v>403</v>
      </c>
    </row>
    <row r="539" spans="1:17" hidden="1" x14ac:dyDescent="0.45">
      <c r="A539">
        <v>1223084</v>
      </c>
      <c r="B539" t="s">
        <v>454</v>
      </c>
      <c r="C539" t="s">
        <v>1459</v>
      </c>
      <c r="D539" t="s">
        <v>954</v>
      </c>
      <c r="E539" t="s">
        <v>962</v>
      </c>
      <c r="F539" t="s">
        <v>171</v>
      </c>
      <c r="G539">
        <v>2025</v>
      </c>
      <c r="H539">
        <v>6</v>
      </c>
      <c r="I539">
        <v>18</v>
      </c>
      <c r="J539">
        <v>10512</v>
      </c>
      <c r="K539">
        <v>1252</v>
      </c>
      <c r="L539">
        <v>0</v>
      </c>
      <c r="M539">
        <v>175.2</v>
      </c>
      <c r="N539">
        <v>20.9</v>
      </c>
      <c r="O539">
        <v>9.6999999999999993</v>
      </c>
      <c r="P539">
        <v>144</v>
      </c>
      <c r="Q539" s="1" t="s">
        <v>51</v>
      </c>
    </row>
    <row r="540" spans="1:17" hidden="1" x14ac:dyDescent="0.45">
      <c r="A540">
        <v>1223084</v>
      </c>
      <c r="B540" t="s">
        <v>454</v>
      </c>
      <c r="C540" t="s">
        <v>1459</v>
      </c>
      <c r="D540" t="s">
        <v>954</v>
      </c>
      <c r="E540" t="s">
        <v>962</v>
      </c>
      <c r="F540" t="s">
        <v>171</v>
      </c>
      <c r="G540">
        <v>2025</v>
      </c>
      <c r="H540">
        <v>7</v>
      </c>
      <c r="I540">
        <v>11</v>
      </c>
      <c r="J540">
        <v>6404</v>
      </c>
      <c r="K540">
        <v>370</v>
      </c>
      <c r="L540">
        <v>0</v>
      </c>
      <c r="M540">
        <v>106.7</v>
      </c>
      <c r="N540">
        <v>6.2</v>
      </c>
      <c r="O540">
        <v>9.6999999999999993</v>
      </c>
      <c r="P540">
        <v>88</v>
      </c>
      <c r="Q540" s="1" t="s">
        <v>455</v>
      </c>
    </row>
    <row r="541" spans="1:17" hidden="1" x14ac:dyDescent="0.45">
      <c r="A541">
        <v>1223085</v>
      </c>
      <c r="B541" t="s">
        <v>456</v>
      </c>
      <c r="C541" t="s">
        <v>1452</v>
      </c>
      <c r="D541" t="s">
        <v>954</v>
      </c>
      <c r="E541" t="s">
        <v>958</v>
      </c>
      <c r="F541" t="s">
        <v>116</v>
      </c>
      <c r="G541">
        <v>2025</v>
      </c>
      <c r="H541">
        <v>6</v>
      </c>
      <c r="I541">
        <v>16</v>
      </c>
      <c r="J541">
        <v>8801</v>
      </c>
      <c r="K541">
        <v>923</v>
      </c>
      <c r="L541">
        <v>0</v>
      </c>
      <c r="M541">
        <v>146.69999999999999</v>
      </c>
      <c r="N541">
        <v>15.4</v>
      </c>
      <c r="O541">
        <v>9.1999999999999993</v>
      </c>
      <c r="P541">
        <v>128</v>
      </c>
      <c r="Q541" s="1" t="s">
        <v>457</v>
      </c>
    </row>
    <row r="542" spans="1:17" hidden="1" x14ac:dyDescent="0.45">
      <c r="A542">
        <v>1223085</v>
      </c>
      <c r="B542" t="s">
        <v>456</v>
      </c>
      <c r="C542" t="s">
        <v>1452</v>
      </c>
      <c r="D542" t="s">
        <v>954</v>
      </c>
      <c r="E542" t="s">
        <v>958</v>
      </c>
      <c r="F542" t="s">
        <v>116</v>
      </c>
      <c r="G542">
        <v>2025</v>
      </c>
      <c r="H542">
        <v>7</v>
      </c>
      <c r="I542">
        <v>19</v>
      </c>
      <c r="J542">
        <v>11207</v>
      </c>
      <c r="K542">
        <v>2494</v>
      </c>
      <c r="L542">
        <v>1</v>
      </c>
      <c r="M542">
        <v>186.8</v>
      </c>
      <c r="N542">
        <v>41.6</v>
      </c>
      <c r="O542">
        <v>9.8000000000000007</v>
      </c>
      <c r="P542">
        <v>144</v>
      </c>
      <c r="Q542" s="1" t="s">
        <v>458</v>
      </c>
    </row>
    <row r="543" spans="1:17" hidden="1" x14ac:dyDescent="0.45">
      <c r="A543">
        <v>1223085</v>
      </c>
      <c r="B543" t="s">
        <v>456</v>
      </c>
      <c r="C543" t="s">
        <v>1452</v>
      </c>
      <c r="D543" t="s">
        <v>954</v>
      </c>
      <c r="E543" t="s">
        <v>958</v>
      </c>
      <c r="F543" t="s">
        <v>116</v>
      </c>
      <c r="G543">
        <v>2025</v>
      </c>
      <c r="H543">
        <v>8</v>
      </c>
      <c r="I543">
        <v>7</v>
      </c>
      <c r="J543">
        <v>3781</v>
      </c>
      <c r="K543">
        <v>675</v>
      </c>
      <c r="L543">
        <v>0</v>
      </c>
      <c r="M543">
        <v>63</v>
      </c>
      <c r="N543">
        <v>11.2</v>
      </c>
      <c r="O543">
        <v>9</v>
      </c>
      <c r="P543">
        <v>56</v>
      </c>
      <c r="Q543">
        <v>7</v>
      </c>
    </row>
    <row r="544" spans="1:17" hidden="1" x14ac:dyDescent="0.45">
      <c r="A544">
        <v>1223086</v>
      </c>
      <c r="B544" t="s">
        <v>459</v>
      </c>
      <c r="C544" t="s">
        <v>1455</v>
      </c>
      <c r="D544" t="s">
        <v>921</v>
      </c>
      <c r="E544" t="s">
        <v>922</v>
      </c>
      <c r="F544" t="s">
        <v>116</v>
      </c>
      <c r="G544">
        <v>2025</v>
      </c>
      <c r="H544">
        <v>6</v>
      </c>
      <c r="I544">
        <v>19</v>
      </c>
      <c r="J544">
        <v>11525</v>
      </c>
      <c r="K544">
        <v>587</v>
      </c>
      <c r="L544">
        <v>0</v>
      </c>
      <c r="M544">
        <v>192.1</v>
      </c>
      <c r="N544">
        <v>9.8000000000000007</v>
      </c>
      <c r="O544">
        <v>10.1</v>
      </c>
      <c r="P544">
        <v>152</v>
      </c>
      <c r="Q544" s="1" t="s">
        <v>460</v>
      </c>
    </row>
    <row r="545" spans="1:17" hidden="1" x14ac:dyDescent="0.45">
      <c r="A545">
        <v>1223086</v>
      </c>
      <c r="B545" t="s">
        <v>459</v>
      </c>
      <c r="C545" t="s">
        <v>1455</v>
      </c>
      <c r="D545" t="s">
        <v>921</v>
      </c>
      <c r="E545" t="s">
        <v>922</v>
      </c>
      <c r="F545" t="s">
        <v>116</v>
      </c>
      <c r="G545">
        <v>2025</v>
      </c>
      <c r="H545">
        <v>7</v>
      </c>
      <c r="I545">
        <v>17</v>
      </c>
      <c r="J545">
        <v>10360</v>
      </c>
      <c r="K545">
        <v>685</v>
      </c>
      <c r="L545">
        <v>0</v>
      </c>
      <c r="M545">
        <v>172.7</v>
      </c>
      <c r="N545">
        <v>11.4</v>
      </c>
      <c r="O545">
        <v>10.199999999999999</v>
      </c>
      <c r="P545">
        <v>136</v>
      </c>
      <c r="Q545" s="1" t="s">
        <v>190</v>
      </c>
    </row>
    <row r="546" spans="1:17" hidden="1" x14ac:dyDescent="0.45">
      <c r="A546">
        <v>1223086</v>
      </c>
      <c r="B546" t="s">
        <v>459</v>
      </c>
      <c r="C546" t="s">
        <v>1455</v>
      </c>
      <c r="D546" t="s">
        <v>921</v>
      </c>
      <c r="E546" t="s">
        <v>922</v>
      </c>
      <c r="F546" t="s">
        <v>116</v>
      </c>
      <c r="G546">
        <v>2025</v>
      </c>
      <c r="H546">
        <v>8</v>
      </c>
      <c r="I546">
        <v>16</v>
      </c>
      <c r="J546">
        <v>9867</v>
      </c>
      <c r="K546">
        <v>919</v>
      </c>
      <c r="L546">
        <v>0</v>
      </c>
      <c r="M546">
        <v>164.4</v>
      </c>
      <c r="N546">
        <v>15.3</v>
      </c>
      <c r="O546">
        <v>10.3</v>
      </c>
      <c r="P546">
        <v>128</v>
      </c>
      <c r="Q546" s="1" t="s">
        <v>378</v>
      </c>
    </row>
    <row r="547" spans="1:17" hidden="1" x14ac:dyDescent="0.45">
      <c r="A547">
        <v>1223087</v>
      </c>
      <c r="B547" t="s">
        <v>461</v>
      </c>
      <c r="C547" t="s">
        <v>1463</v>
      </c>
      <c r="D547" t="s">
        <v>954</v>
      </c>
      <c r="E547" t="s">
        <v>956</v>
      </c>
      <c r="F547" t="s">
        <v>116</v>
      </c>
      <c r="G547">
        <v>2025</v>
      </c>
      <c r="H547">
        <v>6</v>
      </c>
      <c r="I547">
        <v>16</v>
      </c>
      <c r="J547">
        <v>8909</v>
      </c>
      <c r="K547">
        <v>0</v>
      </c>
      <c r="L547">
        <v>0</v>
      </c>
      <c r="M547">
        <v>148.5</v>
      </c>
      <c r="N547">
        <v>0</v>
      </c>
      <c r="O547">
        <v>9.3000000000000007</v>
      </c>
      <c r="P547">
        <v>128</v>
      </c>
      <c r="Q547">
        <v>20.5</v>
      </c>
    </row>
    <row r="548" spans="1:17" hidden="1" x14ac:dyDescent="0.45">
      <c r="A548">
        <v>1223087</v>
      </c>
      <c r="B548" t="s">
        <v>461</v>
      </c>
      <c r="C548" t="s">
        <v>1463</v>
      </c>
      <c r="D548" t="s">
        <v>954</v>
      </c>
      <c r="E548" t="s">
        <v>956</v>
      </c>
      <c r="F548" t="s">
        <v>116</v>
      </c>
      <c r="G548">
        <v>2025</v>
      </c>
      <c r="H548">
        <v>7</v>
      </c>
      <c r="I548">
        <v>17</v>
      </c>
      <c r="J548">
        <v>9627</v>
      </c>
      <c r="K548">
        <v>0</v>
      </c>
      <c r="L548">
        <v>0</v>
      </c>
      <c r="M548">
        <v>160.4</v>
      </c>
      <c r="N548">
        <v>0</v>
      </c>
      <c r="O548">
        <v>9.4</v>
      </c>
      <c r="P548">
        <v>136</v>
      </c>
      <c r="Q548" s="1" t="s">
        <v>462</v>
      </c>
    </row>
    <row r="549" spans="1:17" hidden="1" x14ac:dyDescent="0.45">
      <c r="A549">
        <v>1223087</v>
      </c>
      <c r="B549" t="s">
        <v>461</v>
      </c>
      <c r="C549" t="s">
        <v>1463</v>
      </c>
      <c r="D549" t="s">
        <v>954</v>
      </c>
      <c r="E549" t="s">
        <v>956</v>
      </c>
      <c r="F549" t="s">
        <v>116</v>
      </c>
      <c r="G549">
        <v>2025</v>
      </c>
      <c r="H549">
        <v>8</v>
      </c>
      <c r="I549">
        <v>13</v>
      </c>
      <c r="J549">
        <v>6172</v>
      </c>
      <c r="K549">
        <v>0</v>
      </c>
      <c r="L549">
        <v>0</v>
      </c>
      <c r="M549">
        <v>102.9</v>
      </c>
      <c r="N549">
        <v>0</v>
      </c>
      <c r="O549">
        <v>7.9</v>
      </c>
      <c r="P549">
        <v>104</v>
      </c>
      <c r="Q549">
        <v>-1.1000000000000001</v>
      </c>
    </row>
    <row r="550" spans="1:17" hidden="1" x14ac:dyDescent="0.45">
      <c r="A550">
        <v>1223094</v>
      </c>
      <c r="B550" t="s">
        <v>463</v>
      </c>
      <c r="C550" t="s">
        <v>1447</v>
      </c>
      <c r="D550" t="s">
        <v>938</v>
      </c>
      <c r="E550" t="s">
        <v>942</v>
      </c>
      <c r="F550" t="s">
        <v>171</v>
      </c>
      <c r="G550">
        <v>2025</v>
      </c>
      <c r="H550">
        <v>6</v>
      </c>
      <c r="I550">
        <v>18</v>
      </c>
      <c r="J550">
        <v>10318</v>
      </c>
      <c r="K550">
        <v>752</v>
      </c>
      <c r="L550">
        <v>1</v>
      </c>
      <c r="M550">
        <v>172</v>
      </c>
      <c r="N550">
        <v>12.5</v>
      </c>
      <c r="O550">
        <v>9.6</v>
      </c>
      <c r="P550">
        <v>136</v>
      </c>
      <c r="Q550">
        <v>36</v>
      </c>
    </row>
    <row r="551" spans="1:17" hidden="1" x14ac:dyDescent="0.45">
      <c r="A551">
        <v>1223094</v>
      </c>
      <c r="B551" t="s">
        <v>463</v>
      </c>
      <c r="C551" t="s">
        <v>1447</v>
      </c>
      <c r="D551" t="s">
        <v>938</v>
      </c>
      <c r="E551" t="s">
        <v>942</v>
      </c>
      <c r="F551" t="s">
        <v>171</v>
      </c>
      <c r="G551">
        <v>2025</v>
      </c>
      <c r="H551">
        <v>7</v>
      </c>
      <c r="I551">
        <v>18</v>
      </c>
      <c r="J551">
        <v>10743</v>
      </c>
      <c r="K551">
        <v>610</v>
      </c>
      <c r="L551">
        <v>0</v>
      </c>
      <c r="M551">
        <v>179</v>
      </c>
      <c r="N551">
        <v>10.199999999999999</v>
      </c>
      <c r="O551">
        <v>9.9</v>
      </c>
      <c r="P551">
        <v>144</v>
      </c>
      <c r="Q551">
        <v>35</v>
      </c>
    </row>
    <row r="552" spans="1:17" hidden="1" x14ac:dyDescent="0.45">
      <c r="A552">
        <v>1223094</v>
      </c>
      <c r="B552" t="s">
        <v>463</v>
      </c>
      <c r="C552" t="s">
        <v>1447</v>
      </c>
      <c r="D552" t="s">
        <v>938</v>
      </c>
      <c r="E552" t="s">
        <v>942</v>
      </c>
      <c r="F552" t="s">
        <v>171</v>
      </c>
      <c r="G552">
        <v>2025</v>
      </c>
      <c r="H552">
        <v>8</v>
      </c>
      <c r="I552">
        <v>15</v>
      </c>
      <c r="J552">
        <v>8447</v>
      </c>
      <c r="K552">
        <v>856</v>
      </c>
      <c r="L552">
        <v>0</v>
      </c>
      <c r="M552">
        <v>140.80000000000001</v>
      </c>
      <c r="N552">
        <v>14.3</v>
      </c>
      <c r="O552">
        <v>9.4</v>
      </c>
      <c r="P552">
        <v>120</v>
      </c>
      <c r="Q552" s="1" t="s">
        <v>264</v>
      </c>
    </row>
    <row r="553" spans="1:17" hidden="1" x14ac:dyDescent="0.45">
      <c r="A553">
        <v>1223095</v>
      </c>
      <c r="B553" t="s">
        <v>464</v>
      </c>
      <c r="C553" t="s">
        <v>1449</v>
      </c>
      <c r="D553" t="s">
        <v>815</v>
      </c>
      <c r="E553" t="s">
        <v>819</v>
      </c>
      <c r="F553" t="s">
        <v>116</v>
      </c>
      <c r="G553">
        <v>2025</v>
      </c>
      <c r="H553">
        <v>6</v>
      </c>
      <c r="I553">
        <v>11</v>
      </c>
      <c r="J553">
        <v>4626</v>
      </c>
      <c r="K553">
        <v>185</v>
      </c>
      <c r="L553">
        <v>0</v>
      </c>
      <c r="M553">
        <v>77.099999999999994</v>
      </c>
      <c r="N553">
        <v>3.1</v>
      </c>
      <c r="O553">
        <v>7</v>
      </c>
      <c r="P553">
        <v>88</v>
      </c>
      <c r="Q553">
        <v>-10.9</v>
      </c>
    </row>
    <row r="554" spans="1:17" hidden="1" x14ac:dyDescent="0.45">
      <c r="A554">
        <v>1223095</v>
      </c>
      <c r="B554" t="s">
        <v>464</v>
      </c>
      <c r="C554" t="s">
        <v>1449</v>
      </c>
      <c r="D554" t="s">
        <v>815</v>
      </c>
      <c r="E554" t="s">
        <v>819</v>
      </c>
      <c r="F554" t="s">
        <v>116</v>
      </c>
      <c r="G554">
        <v>2025</v>
      </c>
      <c r="H554">
        <v>7</v>
      </c>
      <c r="I554">
        <v>14</v>
      </c>
      <c r="J554">
        <v>7200</v>
      </c>
      <c r="K554">
        <v>483</v>
      </c>
      <c r="L554">
        <v>0</v>
      </c>
      <c r="M554">
        <v>120</v>
      </c>
      <c r="N554">
        <v>8</v>
      </c>
      <c r="O554">
        <v>8.6</v>
      </c>
      <c r="P554">
        <v>112</v>
      </c>
      <c r="Q554">
        <v>8</v>
      </c>
    </row>
    <row r="555" spans="1:17" hidden="1" x14ac:dyDescent="0.45">
      <c r="A555">
        <v>1223095</v>
      </c>
      <c r="B555" t="s">
        <v>464</v>
      </c>
      <c r="C555" t="s">
        <v>1449</v>
      </c>
      <c r="D555" t="s">
        <v>815</v>
      </c>
      <c r="E555" t="s">
        <v>819</v>
      </c>
      <c r="F555" t="s">
        <v>116</v>
      </c>
      <c r="G555">
        <v>2025</v>
      </c>
      <c r="H555">
        <v>8</v>
      </c>
      <c r="I555">
        <v>11</v>
      </c>
      <c r="J555">
        <v>4461</v>
      </c>
      <c r="K555">
        <v>216</v>
      </c>
      <c r="L555">
        <v>0</v>
      </c>
      <c r="M555">
        <v>74.400000000000006</v>
      </c>
      <c r="N555">
        <v>3.6</v>
      </c>
      <c r="O555">
        <v>6.8</v>
      </c>
      <c r="P555">
        <v>88</v>
      </c>
      <c r="Q555">
        <v>-13.6</v>
      </c>
    </row>
    <row r="556" spans="1:17" hidden="1" x14ac:dyDescent="0.45">
      <c r="A556">
        <v>1223096</v>
      </c>
      <c r="B556" t="s">
        <v>465</v>
      </c>
      <c r="C556" t="s">
        <v>1449</v>
      </c>
      <c r="D556" t="s">
        <v>815</v>
      </c>
      <c r="E556" t="s">
        <v>819</v>
      </c>
      <c r="F556" t="s">
        <v>116</v>
      </c>
      <c r="G556">
        <v>2025</v>
      </c>
      <c r="H556">
        <v>6</v>
      </c>
      <c r="I556">
        <v>4</v>
      </c>
      <c r="J556">
        <v>1068</v>
      </c>
      <c r="K556">
        <v>0</v>
      </c>
      <c r="L556">
        <v>0</v>
      </c>
      <c r="M556">
        <v>17.8</v>
      </c>
      <c r="N556">
        <v>0</v>
      </c>
      <c r="O556">
        <v>4.4000000000000004</v>
      </c>
      <c r="P556">
        <v>32</v>
      </c>
      <c r="Q556">
        <v>-14.2</v>
      </c>
    </row>
    <row r="557" spans="1:17" hidden="1" x14ac:dyDescent="0.45">
      <c r="A557">
        <v>1223096</v>
      </c>
      <c r="B557" t="s">
        <v>465</v>
      </c>
      <c r="C557" t="s">
        <v>1449</v>
      </c>
      <c r="D557" t="s">
        <v>815</v>
      </c>
      <c r="E557" t="s">
        <v>819</v>
      </c>
      <c r="F557" t="s">
        <v>116</v>
      </c>
      <c r="G557">
        <v>2025</v>
      </c>
      <c r="H557">
        <v>7</v>
      </c>
      <c r="I557">
        <v>2</v>
      </c>
      <c r="J557">
        <v>1056</v>
      </c>
      <c r="K557">
        <v>0</v>
      </c>
      <c r="L557">
        <v>0</v>
      </c>
      <c r="M557">
        <v>17.600000000000001</v>
      </c>
      <c r="N557">
        <v>0</v>
      </c>
      <c r="O557">
        <v>8.8000000000000007</v>
      </c>
      <c r="P557">
        <v>16</v>
      </c>
      <c r="Q557" s="1" t="s">
        <v>466</v>
      </c>
    </row>
    <row r="558" spans="1:17" hidden="1" x14ac:dyDescent="0.45">
      <c r="A558">
        <v>1223096</v>
      </c>
      <c r="B558" t="s">
        <v>465</v>
      </c>
      <c r="C558" t="s">
        <v>1449</v>
      </c>
      <c r="D558" t="s">
        <v>815</v>
      </c>
      <c r="E558" t="s">
        <v>819</v>
      </c>
      <c r="F558" t="s">
        <v>116</v>
      </c>
      <c r="G558">
        <v>2025</v>
      </c>
      <c r="H558">
        <v>8</v>
      </c>
      <c r="I558">
        <v>3</v>
      </c>
      <c r="J558">
        <v>800</v>
      </c>
      <c r="K558">
        <v>0</v>
      </c>
      <c r="L558">
        <v>0</v>
      </c>
      <c r="M558">
        <v>13.3</v>
      </c>
      <c r="N558">
        <v>0</v>
      </c>
      <c r="O558">
        <v>4.4000000000000004</v>
      </c>
      <c r="P558">
        <v>24</v>
      </c>
      <c r="Q558">
        <v>-10.7</v>
      </c>
    </row>
    <row r="559" spans="1:17" hidden="1" x14ac:dyDescent="0.45">
      <c r="A559">
        <v>1223097</v>
      </c>
      <c r="B559" t="s">
        <v>467</v>
      </c>
      <c r="C559" t="s">
        <v>1457</v>
      </c>
      <c r="D559" t="s">
        <v>929</v>
      </c>
      <c r="E559" t="s">
        <v>931</v>
      </c>
      <c r="F559" t="s">
        <v>116</v>
      </c>
      <c r="G559">
        <v>2025</v>
      </c>
      <c r="H559">
        <v>6</v>
      </c>
      <c r="I559">
        <v>18</v>
      </c>
      <c r="J559">
        <v>10485</v>
      </c>
      <c r="K559">
        <v>639</v>
      </c>
      <c r="L559">
        <v>0</v>
      </c>
      <c r="M559">
        <v>174.8</v>
      </c>
      <c r="N559">
        <v>10.6</v>
      </c>
      <c r="O559">
        <v>9.6999999999999993</v>
      </c>
      <c r="P559">
        <v>144</v>
      </c>
      <c r="Q559" s="1" t="s">
        <v>365</v>
      </c>
    </row>
    <row r="560" spans="1:17" hidden="1" x14ac:dyDescent="0.45">
      <c r="A560">
        <v>1223097</v>
      </c>
      <c r="B560" t="s">
        <v>467</v>
      </c>
      <c r="C560" t="s">
        <v>1457</v>
      </c>
      <c r="D560" t="s">
        <v>929</v>
      </c>
      <c r="E560" t="s">
        <v>931</v>
      </c>
      <c r="F560" t="s">
        <v>116</v>
      </c>
      <c r="G560">
        <v>2025</v>
      </c>
      <c r="H560">
        <v>7</v>
      </c>
      <c r="I560">
        <v>20</v>
      </c>
      <c r="J560">
        <v>11835</v>
      </c>
      <c r="K560">
        <v>983</v>
      </c>
      <c r="L560">
        <v>0</v>
      </c>
      <c r="M560">
        <v>197.2</v>
      </c>
      <c r="N560">
        <v>16.399999999999999</v>
      </c>
      <c r="O560">
        <v>9.9</v>
      </c>
      <c r="P560">
        <v>160</v>
      </c>
      <c r="Q560" s="1" t="s">
        <v>468</v>
      </c>
    </row>
    <row r="561" spans="1:17" hidden="1" x14ac:dyDescent="0.45">
      <c r="A561">
        <v>1223097</v>
      </c>
      <c r="B561" t="s">
        <v>467</v>
      </c>
      <c r="C561" t="s">
        <v>1457</v>
      </c>
      <c r="D561" t="s">
        <v>929</v>
      </c>
      <c r="E561" t="s">
        <v>931</v>
      </c>
      <c r="F561" t="s">
        <v>116</v>
      </c>
      <c r="G561">
        <v>2025</v>
      </c>
      <c r="H561">
        <v>8</v>
      </c>
      <c r="I561">
        <v>17</v>
      </c>
      <c r="J561">
        <v>10826</v>
      </c>
      <c r="K561">
        <v>932</v>
      </c>
      <c r="L561">
        <v>1</v>
      </c>
      <c r="M561">
        <v>180.4</v>
      </c>
      <c r="N561">
        <v>15.5</v>
      </c>
      <c r="O561">
        <v>10.6</v>
      </c>
      <c r="P561">
        <v>128</v>
      </c>
      <c r="Q561" s="1" t="s">
        <v>469</v>
      </c>
    </row>
    <row r="562" spans="1:17" hidden="1" x14ac:dyDescent="0.45">
      <c r="A562">
        <v>1223098</v>
      </c>
      <c r="B562" t="s">
        <v>470</v>
      </c>
      <c r="C562" t="s">
        <v>1456</v>
      </c>
      <c r="D562" t="s">
        <v>906</v>
      </c>
      <c r="E562" t="s">
        <v>909</v>
      </c>
      <c r="F562" t="s">
        <v>116</v>
      </c>
      <c r="G562">
        <v>2025</v>
      </c>
      <c r="H562">
        <v>6</v>
      </c>
      <c r="I562">
        <v>18</v>
      </c>
      <c r="J562">
        <v>10518</v>
      </c>
      <c r="K562">
        <v>681</v>
      </c>
      <c r="L562">
        <v>0</v>
      </c>
      <c r="M562">
        <v>175.3</v>
      </c>
      <c r="N562">
        <v>11.4</v>
      </c>
      <c r="O562">
        <v>9.6999999999999993</v>
      </c>
      <c r="P562">
        <v>144</v>
      </c>
      <c r="Q562" s="1" t="s">
        <v>471</v>
      </c>
    </row>
    <row r="563" spans="1:17" hidden="1" x14ac:dyDescent="0.45">
      <c r="A563">
        <v>1223098</v>
      </c>
      <c r="B563" t="s">
        <v>470</v>
      </c>
      <c r="C563" t="s">
        <v>1456</v>
      </c>
      <c r="D563" t="s">
        <v>906</v>
      </c>
      <c r="E563" t="s">
        <v>909</v>
      </c>
      <c r="F563" t="s">
        <v>116</v>
      </c>
      <c r="G563">
        <v>2025</v>
      </c>
      <c r="H563">
        <v>7</v>
      </c>
      <c r="I563">
        <v>18</v>
      </c>
      <c r="J563">
        <v>10277</v>
      </c>
      <c r="K563">
        <v>652</v>
      </c>
      <c r="L563">
        <v>0</v>
      </c>
      <c r="M563">
        <v>171.3</v>
      </c>
      <c r="N563">
        <v>10.9</v>
      </c>
      <c r="O563">
        <v>9.5</v>
      </c>
      <c r="P563">
        <v>144</v>
      </c>
      <c r="Q563" s="1" t="s">
        <v>472</v>
      </c>
    </row>
    <row r="564" spans="1:17" hidden="1" x14ac:dyDescent="0.45">
      <c r="A564">
        <v>1223098</v>
      </c>
      <c r="B564" t="s">
        <v>470</v>
      </c>
      <c r="C564" t="s">
        <v>1456</v>
      </c>
      <c r="D564" t="s">
        <v>906</v>
      </c>
      <c r="E564" t="s">
        <v>909</v>
      </c>
      <c r="F564" t="s">
        <v>116</v>
      </c>
      <c r="G564">
        <v>2025</v>
      </c>
      <c r="H564">
        <v>8</v>
      </c>
      <c r="I564">
        <v>16</v>
      </c>
      <c r="J564">
        <v>9237</v>
      </c>
      <c r="K564">
        <v>734</v>
      </c>
      <c r="L564">
        <v>0</v>
      </c>
      <c r="M564">
        <v>154</v>
      </c>
      <c r="N564">
        <v>12.2</v>
      </c>
      <c r="O564">
        <v>9.6</v>
      </c>
      <c r="P564">
        <v>128</v>
      </c>
      <c r="Q564">
        <v>26</v>
      </c>
    </row>
    <row r="565" spans="1:17" hidden="1" x14ac:dyDescent="0.45">
      <c r="A565">
        <v>1223099</v>
      </c>
      <c r="B565" t="s">
        <v>473</v>
      </c>
      <c r="C565" t="s">
        <v>1463</v>
      </c>
      <c r="D565" t="s">
        <v>954</v>
      </c>
      <c r="E565" t="s">
        <v>956</v>
      </c>
      <c r="F565" t="s">
        <v>116</v>
      </c>
      <c r="G565">
        <v>2025</v>
      </c>
      <c r="H565">
        <v>6</v>
      </c>
      <c r="I565">
        <v>21</v>
      </c>
      <c r="J565">
        <v>13302</v>
      </c>
      <c r="K565">
        <v>0</v>
      </c>
      <c r="L565">
        <v>2</v>
      </c>
      <c r="M565">
        <v>221.7</v>
      </c>
      <c r="N565">
        <v>0</v>
      </c>
      <c r="O565">
        <v>10.6</v>
      </c>
      <c r="P565">
        <v>152</v>
      </c>
      <c r="Q565" s="1" t="s">
        <v>474</v>
      </c>
    </row>
    <row r="566" spans="1:17" hidden="1" x14ac:dyDescent="0.45">
      <c r="A566">
        <v>1223099</v>
      </c>
      <c r="B566" t="s">
        <v>473</v>
      </c>
      <c r="C566" t="s">
        <v>1463</v>
      </c>
      <c r="D566" t="s">
        <v>954</v>
      </c>
      <c r="E566" t="s">
        <v>956</v>
      </c>
      <c r="F566" t="s">
        <v>116</v>
      </c>
      <c r="G566">
        <v>2025</v>
      </c>
      <c r="H566">
        <v>7</v>
      </c>
      <c r="I566">
        <v>21</v>
      </c>
      <c r="J566">
        <v>11673</v>
      </c>
      <c r="K566">
        <v>0</v>
      </c>
      <c r="L566">
        <v>0</v>
      </c>
      <c r="M566">
        <v>194.6</v>
      </c>
      <c r="N566">
        <v>0</v>
      </c>
      <c r="O566">
        <v>9.3000000000000007</v>
      </c>
      <c r="P566">
        <v>168</v>
      </c>
      <c r="Q566" s="1" t="s">
        <v>359</v>
      </c>
    </row>
    <row r="567" spans="1:17" hidden="1" x14ac:dyDescent="0.45">
      <c r="A567">
        <v>1223099</v>
      </c>
      <c r="B567" t="s">
        <v>473</v>
      </c>
      <c r="C567" t="s">
        <v>1463</v>
      </c>
      <c r="D567" t="s">
        <v>954</v>
      </c>
      <c r="E567" t="s">
        <v>956</v>
      </c>
      <c r="F567" t="s">
        <v>116</v>
      </c>
      <c r="G567">
        <v>2025</v>
      </c>
      <c r="H567">
        <v>8</v>
      </c>
      <c r="I567">
        <v>16</v>
      </c>
      <c r="J567">
        <v>9951</v>
      </c>
      <c r="K567">
        <v>0</v>
      </c>
      <c r="L567">
        <v>0</v>
      </c>
      <c r="M567">
        <v>165.8</v>
      </c>
      <c r="N567">
        <v>0</v>
      </c>
      <c r="O567">
        <v>10.4</v>
      </c>
      <c r="P567">
        <v>128</v>
      </c>
      <c r="Q567" s="1" t="s">
        <v>475</v>
      </c>
    </row>
    <row r="568" spans="1:17" hidden="1" x14ac:dyDescent="0.45">
      <c r="A568">
        <v>1223104</v>
      </c>
      <c r="B568" t="s">
        <v>476</v>
      </c>
      <c r="C568" t="s">
        <v>1462</v>
      </c>
      <c r="D568" t="s">
        <v>718</v>
      </c>
      <c r="E568" t="s">
        <v>741</v>
      </c>
      <c r="F568" t="s">
        <v>171</v>
      </c>
      <c r="G568">
        <v>2025</v>
      </c>
      <c r="H568">
        <v>6</v>
      </c>
      <c r="I568">
        <v>16</v>
      </c>
      <c r="J568">
        <v>8249</v>
      </c>
      <c r="K568">
        <v>0</v>
      </c>
      <c r="L568">
        <v>0</v>
      </c>
      <c r="M568">
        <v>137.5</v>
      </c>
      <c r="N568">
        <v>0</v>
      </c>
      <c r="O568">
        <v>8.6</v>
      </c>
      <c r="P568">
        <v>128</v>
      </c>
      <c r="Q568">
        <v>9.5</v>
      </c>
    </row>
    <row r="569" spans="1:17" hidden="1" x14ac:dyDescent="0.45">
      <c r="A569">
        <v>1223104</v>
      </c>
      <c r="B569" t="s">
        <v>476</v>
      </c>
      <c r="C569" t="s">
        <v>1462</v>
      </c>
      <c r="D569" t="s">
        <v>718</v>
      </c>
      <c r="E569" t="s">
        <v>741</v>
      </c>
      <c r="F569" t="s">
        <v>171</v>
      </c>
      <c r="G569">
        <v>2025</v>
      </c>
      <c r="H569">
        <v>7</v>
      </c>
      <c r="I569">
        <v>14</v>
      </c>
      <c r="J569">
        <v>7651</v>
      </c>
      <c r="K569">
        <v>0</v>
      </c>
      <c r="L569">
        <v>0</v>
      </c>
      <c r="M569">
        <v>127.5</v>
      </c>
      <c r="N569">
        <v>0</v>
      </c>
      <c r="O569">
        <v>9.1</v>
      </c>
      <c r="P569">
        <v>112</v>
      </c>
      <c r="Q569">
        <v>15.5</v>
      </c>
    </row>
    <row r="570" spans="1:17" hidden="1" x14ac:dyDescent="0.45">
      <c r="A570">
        <v>1223104</v>
      </c>
      <c r="B570" t="s">
        <v>476</v>
      </c>
      <c r="C570" t="s">
        <v>1462</v>
      </c>
      <c r="D570" t="s">
        <v>718</v>
      </c>
      <c r="E570" t="s">
        <v>741</v>
      </c>
      <c r="F570" t="s">
        <v>171</v>
      </c>
      <c r="G570">
        <v>2025</v>
      </c>
      <c r="H570">
        <v>8</v>
      </c>
      <c r="I570">
        <v>15</v>
      </c>
      <c r="J570">
        <v>7661</v>
      </c>
      <c r="K570">
        <v>0</v>
      </c>
      <c r="L570">
        <v>0</v>
      </c>
      <c r="M570">
        <v>127.7</v>
      </c>
      <c r="N570">
        <v>0</v>
      </c>
      <c r="O570">
        <v>8.5</v>
      </c>
      <c r="P570">
        <v>120</v>
      </c>
      <c r="Q570" s="1" t="s">
        <v>477</v>
      </c>
    </row>
    <row r="571" spans="1:17" x14ac:dyDescent="0.45">
      <c r="A571">
        <v>1223105</v>
      </c>
      <c r="B571" t="s">
        <v>478</v>
      </c>
      <c r="C571" t="s">
        <v>1451</v>
      </c>
      <c r="D571" t="s">
        <v>718</v>
      </c>
      <c r="E571" t="s">
        <v>733</v>
      </c>
      <c r="F571" t="s">
        <v>171</v>
      </c>
      <c r="G571">
        <v>2025</v>
      </c>
      <c r="H571">
        <v>6</v>
      </c>
      <c r="I571">
        <v>19</v>
      </c>
      <c r="J571">
        <v>11517</v>
      </c>
      <c r="K571">
        <v>1304</v>
      </c>
      <c r="L571">
        <v>1</v>
      </c>
      <c r="M571">
        <v>192</v>
      </c>
      <c r="N571">
        <v>21.7</v>
      </c>
      <c r="O571">
        <v>10.1</v>
      </c>
      <c r="P571">
        <v>144</v>
      </c>
      <c r="Q571">
        <v>48</v>
      </c>
    </row>
    <row r="572" spans="1:17" x14ac:dyDescent="0.45">
      <c r="A572">
        <v>1223105</v>
      </c>
      <c r="B572" t="s">
        <v>478</v>
      </c>
      <c r="C572" t="s">
        <v>1451</v>
      </c>
      <c r="D572" t="s">
        <v>718</v>
      </c>
      <c r="E572" t="s">
        <v>733</v>
      </c>
      <c r="F572" t="s">
        <v>171</v>
      </c>
      <c r="G572">
        <v>2025</v>
      </c>
      <c r="H572">
        <v>7</v>
      </c>
      <c r="I572">
        <v>18</v>
      </c>
      <c r="J572">
        <v>13030</v>
      </c>
      <c r="K572">
        <v>2662</v>
      </c>
      <c r="L572">
        <v>0</v>
      </c>
      <c r="M572">
        <v>217.2</v>
      </c>
      <c r="N572">
        <v>44.4</v>
      </c>
      <c r="O572">
        <v>12.1</v>
      </c>
      <c r="P572">
        <v>144</v>
      </c>
      <c r="Q572" s="1" t="s">
        <v>479</v>
      </c>
    </row>
    <row r="573" spans="1:17" x14ac:dyDescent="0.45">
      <c r="A573">
        <v>1223105</v>
      </c>
      <c r="B573" t="s">
        <v>478</v>
      </c>
      <c r="C573" t="s">
        <v>1451</v>
      </c>
      <c r="D573" t="s">
        <v>718</v>
      </c>
      <c r="E573" t="s">
        <v>733</v>
      </c>
      <c r="F573" t="s">
        <v>171</v>
      </c>
      <c r="G573">
        <v>2025</v>
      </c>
      <c r="H573">
        <v>8</v>
      </c>
      <c r="I573">
        <v>16</v>
      </c>
      <c r="J573">
        <v>10304</v>
      </c>
      <c r="K573">
        <v>1477</v>
      </c>
      <c r="L573">
        <v>0</v>
      </c>
      <c r="M573">
        <v>171.7</v>
      </c>
      <c r="N573">
        <v>24.6</v>
      </c>
      <c r="O573">
        <v>10.7</v>
      </c>
      <c r="P573">
        <v>128</v>
      </c>
      <c r="Q573" s="1" t="s">
        <v>105</v>
      </c>
    </row>
    <row r="574" spans="1:17" hidden="1" x14ac:dyDescent="0.45">
      <c r="A574">
        <v>1223106</v>
      </c>
      <c r="B574" t="s">
        <v>480</v>
      </c>
      <c r="C574" t="s">
        <v>1451</v>
      </c>
      <c r="D574" t="s">
        <v>718</v>
      </c>
      <c r="E574" t="s">
        <v>729</v>
      </c>
      <c r="F574" t="s">
        <v>171</v>
      </c>
      <c r="G574">
        <v>2025</v>
      </c>
      <c r="H574">
        <v>6</v>
      </c>
      <c r="I574">
        <v>16</v>
      </c>
      <c r="J574">
        <v>9027</v>
      </c>
      <c r="K574">
        <v>0</v>
      </c>
      <c r="L574">
        <v>0</v>
      </c>
      <c r="M574">
        <v>150.4</v>
      </c>
      <c r="N574">
        <v>0</v>
      </c>
      <c r="O574">
        <v>9.4</v>
      </c>
      <c r="P574">
        <v>128</v>
      </c>
      <c r="Q574" s="1" t="s">
        <v>341</v>
      </c>
    </row>
    <row r="575" spans="1:17" hidden="1" x14ac:dyDescent="0.45">
      <c r="A575">
        <v>1223106</v>
      </c>
      <c r="B575" t="s">
        <v>480</v>
      </c>
      <c r="C575" t="s">
        <v>1451</v>
      </c>
      <c r="D575" t="s">
        <v>718</v>
      </c>
      <c r="E575" t="s">
        <v>729</v>
      </c>
      <c r="F575" t="s">
        <v>171</v>
      </c>
      <c r="G575">
        <v>2025</v>
      </c>
      <c r="H575">
        <v>7</v>
      </c>
      <c r="I575">
        <v>18</v>
      </c>
      <c r="J575">
        <v>10416</v>
      </c>
      <c r="K575">
        <v>0</v>
      </c>
      <c r="L575">
        <v>0</v>
      </c>
      <c r="M575">
        <v>173.6</v>
      </c>
      <c r="N575">
        <v>0</v>
      </c>
      <c r="O575">
        <v>9.6</v>
      </c>
      <c r="P575">
        <v>144</v>
      </c>
      <c r="Q575" s="1" t="s">
        <v>126</v>
      </c>
    </row>
    <row r="576" spans="1:17" hidden="1" x14ac:dyDescent="0.45">
      <c r="A576">
        <v>1223106</v>
      </c>
      <c r="B576" t="s">
        <v>480</v>
      </c>
      <c r="C576" t="s">
        <v>1451</v>
      </c>
      <c r="D576" t="s">
        <v>718</v>
      </c>
      <c r="E576" t="s">
        <v>729</v>
      </c>
      <c r="F576" t="s">
        <v>171</v>
      </c>
      <c r="G576">
        <v>2025</v>
      </c>
      <c r="H576">
        <v>8</v>
      </c>
      <c r="I576">
        <v>14</v>
      </c>
      <c r="J576">
        <v>6310</v>
      </c>
      <c r="K576">
        <v>0</v>
      </c>
      <c r="L576">
        <v>0</v>
      </c>
      <c r="M576">
        <v>105.2</v>
      </c>
      <c r="N576">
        <v>0</v>
      </c>
      <c r="O576">
        <v>7.5</v>
      </c>
      <c r="P576">
        <v>112</v>
      </c>
      <c r="Q576">
        <v>-6.8</v>
      </c>
    </row>
    <row r="577" spans="1:17" hidden="1" x14ac:dyDescent="0.45">
      <c r="A577">
        <v>1223108</v>
      </c>
      <c r="B577" t="s">
        <v>481</v>
      </c>
      <c r="C577" t="s">
        <v>1450</v>
      </c>
      <c r="D577" t="s">
        <v>718</v>
      </c>
      <c r="E577" t="s">
        <v>737</v>
      </c>
      <c r="F577" t="s">
        <v>171</v>
      </c>
      <c r="G577">
        <v>2025</v>
      </c>
      <c r="H577">
        <v>6</v>
      </c>
      <c r="I577">
        <v>17</v>
      </c>
      <c r="J577">
        <v>8716</v>
      </c>
      <c r="K577">
        <v>97</v>
      </c>
      <c r="L577">
        <v>0</v>
      </c>
      <c r="M577">
        <v>145.30000000000001</v>
      </c>
      <c r="N577">
        <v>1.6</v>
      </c>
      <c r="O577">
        <v>8.5</v>
      </c>
      <c r="P577">
        <v>136</v>
      </c>
      <c r="Q577" s="1" t="s">
        <v>270</v>
      </c>
    </row>
    <row r="578" spans="1:17" hidden="1" x14ac:dyDescent="0.45">
      <c r="A578">
        <v>1223108</v>
      </c>
      <c r="B578" t="s">
        <v>481</v>
      </c>
      <c r="C578" t="s">
        <v>1450</v>
      </c>
      <c r="D578" t="s">
        <v>718</v>
      </c>
      <c r="E578" t="s">
        <v>737</v>
      </c>
      <c r="F578" t="s">
        <v>171</v>
      </c>
      <c r="G578">
        <v>2025</v>
      </c>
      <c r="H578">
        <v>7</v>
      </c>
      <c r="I578">
        <v>17</v>
      </c>
      <c r="J578">
        <v>8756</v>
      </c>
      <c r="K578">
        <v>0</v>
      </c>
      <c r="L578">
        <v>0</v>
      </c>
      <c r="M578">
        <v>145.9</v>
      </c>
      <c r="N578">
        <v>0</v>
      </c>
      <c r="O578">
        <v>8.6</v>
      </c>
      <c r="P578">
        <v>136</v>
      </c>
      <c r="Q578" s="1" t="s">
        <v>482</v>
      </c>
    </row>
    <row r="579" spans="1:17" hidden="1" x14ac:dyDescent="0.45">
      <c r="A579">
        <v>1223108</v>
      </c>
      <c r="B579" t="s">
        <v>481</v>
      </c>
      <c r="C579" t="s">
        <v>1450</v>
      </c>
      <c r="D579" t="s">
        <v>718</v>
      </c>
      <c r="E579" t="s">
        <v>737</v>
      </c>
      <c r="F579" t="s">
        <v>171</v>
      </c>
      <c r="G579">
        <v>2025</v>
      </c>
      <c r="H579">
        <v>8</v>
      </c>
      <c r="I579">
        <v>16</v>
      </c>
      <c r="J579">
        <v>8269</v>
      </c>
      <c r="K579">
        <v>0</v>
      </c>
      <c r="L579">
        <v>0</v>
      </c>
      <c r="M579">
        <v>137.80000000000001</v>
      </c>
      <c r="N579">
        <v>0</v>
      </c>
      <c r="O579">
        <v>8.6</v>
      </c>
      <c r="P579">
        <v>128</v>
      </c>
      <c r="Q579" s="1" t="s">
        <v>483</v>
      </c>
    </row>
    <row r="580" spans="1:17" hidden="1" x14ac:dyDescent="0.45">
      <c r="A580">
        <v>1224008</v>
      </c>
      <c r="B580" t="s">
        <v>484</v>
      </c>
      <c r="C580" t="s">
        <v>1458</v>
      </c>
      <c r="D580" t="e">
        <v>#N/A</v>
      </c>
      <c r="E580" t="e">
        <v>#N/A</v>
      </c>
      <c r="F580" t="s">
        <v>17</v>
      </c>
      <c r="G580">
        <v>2025</v>
      </c>
      <c r="H580">
        <v>6</v>
      </c>
      <c r="I580">
        <v>18</v>
      </c>
      <c r="J580">
        <v>9682</v>
      </c>
      <c r="K580">
        <v>131</v>
      </c>
      <c r="L580">
        <v>0</v>
      </c>
      <c r="M580">
        <v>161.4</v>
      </c>
      <c r="N580">
        <v>2.2000000000000002</v>
      </c>
      <c r="O580">
        <v>9</v>
      </c>
      <c r="P580">
        <v>144</v>
      </c>
      <c r="Q580" s="1" t="s">
        <v>87</v>
      </c>
    </row>
    <row r="581" spans="1:17" hidden="1" x14ac:dyDescent="0.45">
      <c r="A581">
        <v>1224008</v>
      </c>
      <c r="B581" t="s">
        <v>484</v>
      </c>
      <c r="C581" t="s">
        <v>1458</v>
      </c>
      <c r="D581" t="e">
        <v>#N/A</v>
      </c>
      <c r="E581" t="e">
        <v>#N/A</v>
      </c>
      <c r="F581" t="s">
        <v>17</v>
      </c>
      <c r="G581">
        <v>2025</v>
      </c>
      <c r="H581">
        <v>7</v>
      </c>
      <c r="I581">
        <v>18</v>
      </c>
      <c r="J581">
        <v>9951</v>
      </c>
      <c r="K581">
        <v>182</v>
      </c>
      <c r="L581">
        <v>0</v>
      </c>
      <c r="M581">
        <v>165.8</v>
      </c>
      <c r="N581">
        <v>3</v>
      </c>
      <c r="O581">
        <v>9.1999999999999993</v>
      </c>
      <c r="P581">
        <v>144</v>
      </c>
      <c r="Q581" s="1" t="s">
        <v>132</v>
      </c>
    </row>
    <row r="582" spans="1:17" hidden="1" x14ac:dyDescent="0.45">
      <c r="A582">
        <v>1224008</v>
      </c>
      <c r="B582" t="s">
        <v>484</v>
      </c>
      <c r="C582" t="s">
        <v>1458</v>
      </c>
      <c r="D582" t="e">
        <v>#N/A</v>
      </c>
      <c r="E582" t="e">
        <v>#N/A</v>
      </c>
      <c r="F582" t="s">
        <v>17</v>
      </c>
      <c r="G582">
        <v>2025</v>
      </c>
      <c r="H582">
        <v>8</v>
      </c>
      <c r="I582">
        <v>14</v>
      </c>
      <c r="J582">
        <v>7548</v>
      </c>
      <c r="K582">
        <v>0</v>
      </c>
      <c r="L582">
        <v>0</v>
      </c>
      <c r="M582">
        <v>125.8</v>
      </c>
      <c r="N582">
        <v>0</v>
      </c>
      <c r="O582">
        <v>9</v>
      </c>
      <c r="P582">
        <v>112</v>
      </c>
      <c r="Q582" s="1" t="s">
        <v>485</v>
      </c>
    </row>
    <row r="583" spans="1:17" hidden="1" x14ac:dyDescent="0.45">
      <c r="A583">
        <v>1224009</v>
      </c>
      <c r="B583" t="s">
        <v>486</v>
      </c>
      <c r="C583" t="s">
        <v>1464</v>
      </c>
      <c r="D583" t="s">
        <v>815</v>
      </c>
      <c r="E583" t="s">
        <v>835</v>
      </c>
      <c r="F583" t="s">
        <v>116</v>
      </c>
      <c r="G583">
        <v>2025</v>
      </c>
      <c r="H583">
        <v>6</v>
      </c>
      <c r="I583">
        <v>19</v>
      </c>
      <c r="J583">
        <v>9529</v>
      </c>
      <c r="K583">
        <v>0</v>
      </c>
      <c r="L583">
        <v>1</v>
      </c>
      <c r="M583">
        <v>158.80000000000001</v>
      </c>
      <c r="N583">
        <v>0</v>
      </c>
      <c r="O583">
        <v>8.4</v>
      </c>
      <c r="P583">
        <v>144</v>
      </c>
      <c r="Q583" s="1" t="s">
        <v>254</v>
      </c>
    </row>
    <row r="584" spans="1:17" hidden="1" x14ac:dyDescent="0.45">
      <c r="A584">
        <v>1224009</v>
      </c>
      <c r="B584" t="s">
        <v>486</v>
      </c>
      <c r="C584" t="s">
        <v>1464</v>
      </c>
      <c r="D584" t="s">
        <v>815</v>
      </c>
      <c r="E584" t="s">
        <v>835</v>
      </c>
      <c r="F584" t="s">
        <v>116</v>
      </c>
      <c r="G584">
        <v>2025</v>
      </c>
      <c r="H584">
        <v>7</v>
      </c>
      <c r="I584">
        <v>19</v>
      </c>
      <c r="J584">
        <v>8998</v>
      </c>
      <c r="K584">
        <v>0</v>
      </c>
      <c r="L584">
        <v>0</v>
      </c>
      <c r="M584">
        <v>150</v>
      </c>
      <c r="N584">
        <v>0</v>
      </c>
      <c r="O584">
        <v>7.9</v>
      </c>
      <c r="P584">
        <v>152</v>
      </c>
      <c r="Q584">
        <v>-2</v>
      </c>
    </row>
    <row r="585" spans="1:17" hidden="1" x14ac:dyDescent="0.45">
      <c r="A585">
        <v>1224009</v>
      </c>
      <c r="B585" t="s">
        <v>486</v>
      </c>
      <c r="C585" t="s">
        <v>1464</v>
      </c>
      <c r="D585" t="s">
        <v>815</v>
      </c>
      <c r="E585" t="s">
        <v>835</v>
      </c>
      <c r="F585" t="s">
        <v>116</v>
      </c>
      <c r="G585">
        <v>2025</v>
      </c>
      <c r="H585">
        <v>8</v>
      </c>
      <c r="I585">
        <v>16</v>
      </c>
      <c r="J585">
        <v>8453</v>
      </c>
      <c r="K585">
        <v>0</v>
      </c>
      <c r="L585">
        <v>0</v>
      </c>
      <c r="M585">
        <v>140.9</v>
      </c>
      <c r="N585">
        <v>0</v>
      </c>
      <c r="O585">
        <v>8.8000000000000007</v>
      </c>
      <c r="P585">
        <v>128</v>
      </c>
      <c r="Q585" s="1" t="s">
        <v>384</v>
      </c>
    </row>
    <row r="586" spans="1:17" hidden="1" x14ac:dyDescent="0.45">
      <c r="A586">
        <v>1224012</v>
      </c>
      <c r="B586" t="s">
        <v>487</v>
      </c>
      <c r="C586" t="s">
        <v>1456</v>
      </c>
      <c r="D586" t="s">
        <v>906</v>
      </c>
      <c r="E586" t="s">
        <v>909</v>
      </c>
      <c r="F586" t="s">
        <v>17</v>
      </c>
      <c r="G586">
        <v>2025</v>
      </c>
      <c r="H586">
        <v>6</v>
      </c>
      <c r="I586">
        <v>19</v>
      </c>
      <c r="J586">
        <v>12698</v>
      </c>
      <c r="K586">
        <v>0</v>
      </c>
      <c r="L586">
        <v>0</v>
      </c>
      <c r="M586">
        <v>211.6</v>
      </c>
      <c r="N586">
        <v>0</v>
      </c>
      <c r="O586">
        <v>11.1</v>
      </c>
      <c r="P586">
        <v>152</v>
      </c>
      <c r="Q586" s="1" t="s">
        <v>488</v>
      </c>
    </row>
    <row r="587" spans="1:17" hidden="1" x14ac:dyDescent="0.45">
      <c r="A587">
        <v>1224012</v>
      </c>
      <c r="B587" t="s">
        <v>487</v>
      </c>
      <c r="C587" t="s">
        <v>1456</v>
      </c>
      <c r="D587" t="s">
        <v>906</v>
      </c>
      <c r="E587" t="s">
        <v>909</v>
      </c>
      <c r="F587" t="s">
        <v>17</v>
      </c>
      <c r="G587">
        <v>2025</v>
      </c>
      <c r="H587">
        <v>7</v>
      </c>
      <c r="I587">
        <v>20</v>
      </c>
      <c r="J587">
        <v>12066</v>
      </c>
      <c r="K587">
        <v>0</v>
      </c>
      <c r="L587">
        <v>1</v>
      </c>
      <c r="M587">
        <v>201.1</v>
      </c>
      <c r="N587">
        <v>0</v>
      </c>
      <c r="O587">
        <v>10.1</v>
      </c>
      <c r="P587">
        <v>152</v>
      </c>
      <c r="Q587" s="1" t="s">
        <v>489</v>
      </c>
    </row>
    <row r="588" spans="1:17" hidden="1" x14ac:dyDescent="0.45">
      <c r="A588">
        <v>1224012</v>
      </c>
      <c r="B588" t="s">
        <v>487</v>
      </c>
      <c r="C588" t="s">
        <v>1456</v>
      </c>
      <c r="D588" t="s">
        <v>906</v>
      </c>
      <c r="E588" t="s">
        <v>909</v>
      </c>
      <c r="F588" t="s">
        <v>17</v>
      </c>
      <c r="G588">
        <v>2025</v>
      </c>
      <c r="H588">
        <v>8</v>
      </c>
      <c r="I588">
        <v>18</v>
      </c>
      <c r="J588">
        <v>11024</v>
      </c>
      <c r="K588">
        <v>0</v>
      </c>
      <c r="L588">
        <v>2</v>
      </c>
      <c r="M588">
        <v>183.7</v>
      </c>
      <c r="N588">
        <v>0</v>
      </c>
      <c r="O588">
        <v>10.199999999999999</v>
      </c>
      <c r="P588">
        <v>128</v>
      </c>
      <c r="Q588" s="1" t="s">
        <v>286</v>
      </c>
    </row>
    <row r="589" spans="1:17" hidden="1" x14ac:dyDescent="0.45">
      <c r="A589">
        <v>1224020</v>
      </c>
      <c r="B589" t="s">
        <v>490</v>
      </c>
      <c r="C589" t="s">
        <v>1470</v>
      </c>
      <c r="D589" t="s">
        <v>815</v>
      </c>
      <c r="E589" t="s">
        <v>821</v>
      </c>
      <c r="F589" t="s">
        <v>171</v>
      </c>
      <c r="G589">
        <v>2025</v>
      </c>
      <c r="H589">
        <v>6</v>
      </c>
      <c r="I589">
        <v>15</v>
      </c>
      <c r="J589">
        <v>7085</v>
      </c>
      <c r="K589">
        <v>0</v>
      </c>
      <c r="L589">
        <v>0</v>
      </c>
      <c r="M589">
        <v>118.1</v>
      </c>
      <c r="N589">
        <v>0</v>
      </c>
      <c r="O589">
        <v>7.9</v>
      </c>
      <c r="P589">
        <v>120</v>
      </c>
      <c r="Q589">
        <v>-1.9</v>
      </c>
    </row>
    <row r="590" spans="1:17" hidden="1" x14ac:dyDescent="0.45">
      <c r="A590">
        <v>1224020</v>
      </c>
      <c r="B590" t="s">
        <v>490</v>
      </c>
      <c r="C590" t="s">
        <v>1470</v>
      </c>
      <c r="D590" t="s">
        <v>815</v>
      </c>
      <c r="E590" t="s">
        <v>821</v>
      </c>
      <c r="F590" t="s">
        <v>171</v>
      </c>
      <c r="G590">
        <v>2025</v>
      </c>
      <c r="H590">
        <v>7</v>
      </c>
      <c r="I590">
        <v>17</v>
      </c>
      <c r="J590">
        <v>8915</v>
      </c>
      <c r="K590">
        <v>0</v>
      </c>
      <c r="L590">
        <v>0</v>
      </c>
      <c r="M590">
        <v>148.6</v>
      </c>
      <c r="N590">
        <v>0</v>
      </c>
      <c r="O590">
        <v>8.6999999999999993</v>
      </c>
      <c r="P590">
        <v>136</v>
      </c>
      <c r="Q590" s="1" t="s">
        <v>491</v>
      </c>
    </row>
    <row r="591" spans="1:17" hidden="1" x14ac:dyDescent="0.45">
      <c r="A591">
        <v>1224020</v>
      </c>
      <c r="B591" t="s">
        <v>490</v>
      </c>
      <c r="C591" t="s">
        <v>1470</v>
      </c>
      <c r="D591" t="s">
        <v>815</v>
      </c>
      <c r="E591" t="s">
        <v>821</v>
      </c>
      <c r="F591" t="s">
        <v>171</v>
      </c>
      <c r="G591">
        <v>2025</v>
      </c>
      <c r="H591">
        <v>8</v>
      </c>
      <c r="I591">
        <v>16</v>
      </c>
      <c r="J591">
        <v>8552</v>
      </c>
      <c r="K591">
        <v>0</v>
      </c>
      <c r="L591">
        <v>0</v>
      </c>
      <c r="M591">
        <v>142.5</v>
      </c>
      <c r="N591">
        <v>0</v>
      </c>
      <c r="O591">
        <v>8.9</v>
      </c>
      <c r="P591">
        <v>128</v>
      </c>
      <c r="Q591">
        <v>14.5</v>
      </c>
    </row>
    <row r="592" spans="1:17" hidden="1" x14ac:dyDescent="0.45">
      <c r="A592">
        <v>1224021</v>
      </c>
      <c r="B592" t="s">
        <v>492</v>
      </c>
      <c r="C592" t="s">
        <v>1459</v>
      </c>
      <c r="D592" t="s">
        <v>954</v>
      </c>
      <c r="E592" t="s">
        <v>962</v>
      </c>
      <c r="F592" t="s">
        <v>171</v>
      </c>
      <c r="G592">
        <v>2025</v>
      </c>
      <c r="H592">
        <v>6</v>
      </c>
      <c r="I592">
        <v>20</v>
      </c>
      <c r="J592">
        <v>14084</v>
      </c>
      <c r="K592">
        <v>2830</v>
      </c>
      <c r="L592">
        <v>1</v>
      </c>
      <c r="M592">
        <v>234.7</v>
      </c>
      <c r="N592">
        <v>47.2</v>
      </c>
      <c r="O592">
        <v>11.7</v>
      </c>
      <c r="P592">
        <v>152</v>
      </c>
      <c r="Q592" s="1" t="s">
        <v>493</v>
      </c>
    </row>
    <row r="593" spans="1:17" hidden="1" x14ac:dyDescent="0.45">
      <c r="A593">
        <v>1224021</v>
      </c>
      <c r="B593" t="s">
        <v>492</v>
      </c>
      <c r="C593" t="s">
        <v>1459</v>
      </c>
      <c r="D593" t="s">
        <v>954</v>
      </c>
      <c r="E593" t="s">
        <v>962</v>
      </c>
      <c r="F593" t="s">
        <v>171</v>
      </c>
      <c r="G593">
        <v>2025</v>
      </c>
      <c r="H593">
        <v>7</v>
      </c>
      <c r="I593">
        <v>18</v>
      </c>
      <c r="J593">
        <v>10701</v>
      </c>
      <c r="K593">
        <v>1830</v>
      </c>
      <c r="L593">
        <v>1</v>
      </c>
      <c r="M593">
        <v>178.4</v>
      </c>
      <c r="N593">
        <v>30.5</v>
      </c>
      <c r="O593">
        <v>9.9</v>
      </c>
      <c r="P593">
        <v>136</v>
      </c>
      <c r="Q593" s="1" t="s">
        <v>106</v>
      </c>
    </row>
    <row r="594" spans="1:17" hidden="1" x14ac:dyDescent="0.45">
      <c r="A594">
        <v>1224021</v>
      </c>
      <c r="B594" t="s">
        <v>492</v>
      </c>
      <c r="C594" t="s">
        <v>1459</v>
      </c>
      <c r="D594" t="s">
        <v>954</v>
      </c>
      <c r="E594" t="s">
        <v>962</v>
      </c>
      <c r="F594" t="s">
        <v>171</v>
      </c>
      <c r="G594">
        <v>2025</v>
      </c>
      <c r="H594">
        <v>8</v>
      </c>
      <c r="I594">
        <v>16</v>
      </c>
      <c r="J594">
        <v>10412</v>
      </c>
      <c r="K594">
        <v>1780</v>
      </c>
      <c r="L594">
        <v>0</v>
      </c>
      <c r="M594">
        <v>173.5</v>
      </c>
      <c r="N594">
        <v>29.7</v>
      </c>
      <c r="O594">
        <v>10.8</v>
      </c>
      <c r="P594">
        <v>128</v>
      </c>
      <c r="Q594">
        <v>45.5</v>
      </c>
    </row>
    <row r="595" spans="1:17" hidden="1" x14ac:dyDescent="0.45">
      <c r="A595">
        <v>1224024</v>
      </c>
      <c r="B595" t="s">
        <v>494</v>
      </c>
      <c r="C595" t="s">
        <v>1452</v>
      </c>
      <c r="D595" t="s">
        <v>954</v>
      </c>
      <c r="E595" t="s">
        <v>958</v>
      </c>
      <c r="F595" t="s">
        <v>171</v>
      </c>
      <c r="G595">
        <v>2025</v>
      </c>
      <c r="H595">
        <v>6</v>
      </c>
      <c r="I595">
        <v>18</v>
      </c>
      <c r="J595">
        <v>9420</v>
      </c>
      <c r="K595">
        <v>515</v>
      </c>
      <c r="L595">
        <v>0</v>
      </c>
      <c r="M595">
        <v>157</v>
      </c>
      <c r="N595">
        <v>8.6</v>
      </c>
      <c r="O595">
        <v>8.6999999999999993</v>
      </c>
      <c r="P595">
        <v>144</v>
      </c>
      <c r="Q595">
        <v>13</v>
      </c>
    </row>
    <row r="596" spans="1:17" hidden="1" x14ac:dyDescent="0.45">
      <c r="A596">
        <v>1224024</v>
      </c>
      <c r="B596" t="s">
        <v>494</v>
      </c>
      <c r="C596" t="s">
        <v>1452</v>
      </c>
      <c r="D596" t="s">
        <v>954</v>
      </c>
      <c r="E596" t="s">
        <v>958</v>
      </c>
      <c r="F596" t="s">
        <v>171</v>
      </c>
      <c r="G596">
        <v>2025</v>
      </c>
      <c r="H596">
        <v>7</v>
      </c>
      <c r="I596">
        <v>19</v>
      </c>
      <c r="J596">
        <v>10261</v>
      </c>
      <c r="K596">
        <v>606</v>
      </c>
      <c r="L596">
        <v>0</v>
      </c>
      <c r="M596">
        <v>171</v>
      </c>
      <c r="N596">
        <v>10.1</v>
      </c>
      <c r="O596">
        <v>9</v>
      </c>
      <c r="P596">
        <v>152</v>
      </c>
      <c r="Q596">
        <v>19</v>
      </c>
    </row>
    <row r="597" spans="1:17" hidden="1" x14ac:dyDescent="0.45">
      <c r="A597">
        <v>1224024</v>
      </c>
      <c r="B597" t="s">
        <v>494</v>
      </c>
      <c r="C597" t="s">
        <v>1452</v>
      </c>
      <c r="D597" t="s">
        <v>954</v>
      </c>
      <c r="E597" t="s">
        <v>958</v>
      </c>
      <c r="F597" t="s">
        <v>171</v>
      </c>
      <c r="G597">
        <v>2025</v>
      </c>
      <c r="H597">
        <v>8</v>
      </c>
      <c r="I597">
        <v>15</v>
      </c>
      <c r="J597">
        <v>7303</v>
      </c>
      <c r="K597">
        <v>79</v>
      </c>
      <c r="L597">
        <v>0</v>
      </c>
      <c r="M597">
        <v>121.7</v>
      </c>
      <c r="N597">
        <v>1.3</v>
      </c>
      <c r="O597">
        <v>8.1</v>
      </c>
      <c r="P597">
        <v>120</v>
      </c>
      <c r="Q597" s="1" t="s">
        <v>495</v>
      </c>
    </row>
    <row r="598" spans="1:17" hidden="1" x14ac:dyDescent="0.45">
      <c r="A598">
        <v>1224025</v>
      </c>
      <c r="B598" t="s">
        <v>496</v>
      </c>
      <c r="C598" t="s">
        <v>1469</v>
      </c>
      <c r="D598" t="s">
        <v>815</v>
      </c>
      <c r="E598" t="s">
        <v>823</v>
      </c>
      <c r="F598" t="s">
        <v>116</v>
      </c>
      <c r="G598">
        <v>2025</v>
      </c>
      <c r="H598">
        <v>6</v>
      </c>
      <c r="I598">
        <v>17</v>
      </c>
      <c r="J598">
        <v>8505</v>
      </c>
      <c r="K598">
        <v>0</v>
      </c>
      <c r="L598">
        <v>0</v>
      </c>
      <c r="M598">
        <v>141.80000000000001</v>
      </c>
      <c r="N598">
        <v>0</v>
      </c>
      <c r="O598">
        <v>8.3000000000000007</v>
      </c>
      <c r="P598">
        <v>136</v>
      </c>
      <c r="Q598" s="1" t="s">
        <v>422</v>
      </c>
    </row>
    <row r="599" spans="1:17" hidden="1" x14ac:dyDescent="0.45">
      <c r="A599">
        <v>1224025</v>
      </c>
      <c r="B599" t="s">
        <v>496</v>
      </c>
      <c r="C599" t="s">
        <v>1469</v>
      </c>
      <c r="D599" t="s">
        <v>815</v>
      </c>
      <c r="E599" t="s">
        <v>823</v>
      </c>
      <c r="F599" t="s">
        <v>116</v>
      </c>
      <c r="G599">
        <v>2025</v>
      </c>
      <c r="H599">
        <v>7</v>
      </c>
      <c r="I599">
        <v>19</v>
      </c>
      <c r="J599">
        <v>11077</v>
      </c>
      <c r="K599">
        <v>0</v>
      </c>
      <c r="L599">
        <v>2</v>
      </c>
      <c r="M599">
        <v>184.6</v>
      </c>
      <c r="N599">
        <v>0</v>
      </c>
      <c r="O599">
        <v>9.6999999999999993</v>
      </c>
      <c r="P599">
        <v>136</v>
      </c>
      <c r="Q599" s="1" t="s">
        <v>497</v>
      </c>
    </row>
    <row r="600" spans="1:17" hidden="1" x14ac:dyDescent="0.45">
      <c r="A600">
        <v>1224025</v>
      </c>
      <c r="B600" t="s">
        <v>496</v>
      </c>
      <c r="C600" t="s">
        <v>1469</v>
      </c>
      <c r="D600" t="s">
        <v>815</v>
      </c>
      <c r="E600" t="s">
        <v>823</v>
      </c>
      <c r="F600" t="s">
        <v>116</v>
      </c>
      <c r="G600">
        <v>2025</v>
      </c>
      <c r="H600">
        <v>8</v>
      </c>
      <c r="I600">
        <v>15</v>
      </c>
      <c r="J600">
        <v>8105</v>
      </c>
      <c r="K600">
        <v>0</v>
      </c>
      <c r="L600">
        <v>1</v>
      </c>
      <c r="M600">
        <v>135.1</v>
      </c>
      <c r="N600">
        <v>0</v>
      </c>
      <c r="O600">
        <v>9</v>
      </c>
      <c r="P600">
        <v>112</v>
      </c>
      <c r="Q600" s="1" t="s">
        <v>184</v>
      </c>
    </row>
    <row r="601" spans="1:17" hidden="1" x14ac:dyDescent="0.45">
      <c r="A601">
        <v>1224027</v>
      </c>
      <c r="B601" t="s">
        <v>498</v>
      </c>
      <c r="C601" t="s">
        <v>1465</v>
      </c>
      <c r="D601" t="s">
        <v>1008</v>
      </c>
      <c r="E601" t="s">
        <v>1013</v>
      </c>
      <c r="F601" t="s">
        <v>116</v>
      </c>
      <c r="G601">
        <v>2025</v>
      </c>
      <c r="H601">
        <v>6</v>
      </c>
      <c r="I601">
        <v>20</v>
      </c>
      <c r="J601">
        <v>9627</v>
      </c>
      <c r="K601">
        <v>96</v>
      </c>
      <c r="L601">
        <v>1</v>
      </c>
      <c r="M601">
        <v>160.4</v>
      </c>
      <c r="N601">
        <v>1.6</v>
      </c>
      <c r="O601">
        <v>8</v>
      </c>
      <c r="P601">
        <v>152</v>
      </c>
      <c r="Q601" s="1" t="s">
        <v>266</v>
      </c>
    </row>
    <row r="602" spans="1:17" hidden="1" x14ac:dyDescent="0.45">
      <c r="A602">
        <v>1224027</v>
      </c>
      <c r="B602" t="s">
        <v>498</v>
      </c>
      <c r="C602" t="s">
        <v>1465</v>
      </c>
      <c r="D602" t="s">
        <v>1008</v>
      </c>
      <c r="E602" t="s">
        <v>1013</v>
      </c>
      <c r="F602" t="s">
        <v>116</v>
      </c>
      <c r="G602">
        <v>2025</v>
      </c>
      <c r="H602">
        <v>7</v>
      </c>
      <c r="I602">
        <v>20</v>
      </c>
      <c r="J602">
        <v>13154</v>
      </c>
      <c r="K602">
        <v>455</v>
      </c>
      <c r="L602">
        <v>1</v>
      </c>
      <c r="M602">
        <v>219.2</v>
      </c>
      <c r="N602">
        <v>7.6</v>
      </c>
      <c r="O602">
        <v>11</v>
      </c>
      <c r="P602">
        <v>152</v>
      </c>
      <c r="Q602" s="1" t="s">
        <v>499</v>
      </c>
    </row>
    <row r="603" spans="1:17" hidden="1" x14ac:dyDescent="0.45">
      <c r="A603">
        <v>1224027</v>
      </c>
      <c r="B603" t="s">
        <v>498</v>
      </c>
      <c r="C603" t="s">
        <v>1465</v>
      </c>
      <c r="D603" t="s">
        <v>1008</v>
      </c>
      <c r="E603" t="s">
        <v>1013</v>
      </c>
      <c r="F603" t="s">
        <v>116</v>
      </c>
      <c r="G603">
        <v>2025</v>
      </c>
      <c r="H603">
        <v>8</v>
      </c>
      <c r="I603">
        <v>16</v>
      </c>
      <c r="J603">
        <v>8450</v>
      </c>
      <c r="K603">
        <v>146</v>
      </c>
      <c r="L603">
        <v>0</v>
      </c>
      <c r="M603">
        <v>140.80000000000001</v>
      </c>
      <c r="N603">
        <v>2.4</v>
      </c>
      <c r="O603">
        <v>8.8000000000000007</v>
      </c>
      <c r="P603">
        <v>128</v>
      </c>
      <c r="Q603" s="1" t="s">
        <v>330</v>
      </c>
    </row>
    <row r="604" spans="1:17" hidden="1" x14ac:dyDescent="0.45">
      <c r="A604">
        <v>1224028</v>
      </c>
      <c r="B604" t="s">
        <v>500</v>
      </c>
      <c r="C604" t="s">
        <v>1468</v>
      </c>
      <c r="D604" t="s">
        <v>1008</v>
      </c>
      <c r="E604" t="s">
        <v>1010</v>
      </c>
      <c r="F604" t="s">
        <v>116</v>
      </c>
      <c r="G604">
        <v>2025</v>
      </c>
      <c r="H604">
        <v>6</v>
      </c>
      <c r="I604">
        <v>19</v>
      </c>
      <c r="J604">
        <v>10518</v>
      </c>
      <c r="K604">
        <v>257</v>
      </c>
      <c r="L604">
        <v>0</v>
      </c>
      <c r="M604">
        <v>175.3</v>
      </c>
      <c r="N604">
        <v>4.3</v>
      </c>
      <c r="O604">
        <v>9.1999999999999993</v>
      </c>
      <c r="P604">
        <v>152</v>
      </c>
      <c r="Q604" s="1" t="s">
        <v>342</v>
      </c>
    </row>
    <row r="605" spans="1:17" hidden="1" x14ac:dyDescent="0.45">
      <c r="A605">
        <v>1224028</v>
      </c>
      <c r="B605" t="s">
        <v>500</v>
      </c>
      <c r="C605" t="s">
        <v>1468</v>
      </c>
      <c r="D605" t="s">
        <v>1008</v>
      </c>
      <c r="E605" t="s">
        <v>1010</v>
      </c>
      <c r="F605" t="s">
        <v>116</v>
      </c>
      <c r="G605">
        <v>2025</v>
      </c>
      <c r="H605">
        <v>7</v>
      </c>
      <c r="I605">
        <v>18</v>
      </c>
      <c r="J605">
        <v>10569</v>
      </c>
      <c r="K605">
        <v>383</v>
      </c>
      <c r="L605">
        <v>0</v>
      </c>
      <c r="M605">
        <v>176.2</v>
      </c>
      <c r="N605">
        <v>6.4</v>
      </c>
      <c r="O605">
        <v>9.8000000000000007</v>
      </c>
      <c r="P605">
        <v>144</v>
      </c>
      <c r="Q605" s="1" t="s">
        <v>501</v>
      </c>
    </row>
    <row r="606" spans="1:17" hidden="1" x14ac:dyDescent="0.45">
      <c r="A606">
        <v>1224028</v>
      </c>
      <c r="B606" t="s">
        <v>500</v>
      </c>
      <c r="C606" t="s">
        <v>1468</v>
      </c>
      <c r="D606" t="s">
        <v>1008</v>
      </c>
      <c r="E606" t="s">
        <v>1010</v>
      </c>
      <c r="F606" t="s">
        <v>116</v>
      </c>
      <c r="G606">
        <v>2025</v>
      </c>
      <c r="H606">
        <v>8</v>
      </c>
      <c r="I606">
        <v>13</v>
      </c>
      <c r="J606">
        <v>7061</v>
      </c>
      <c r="K606">
        <v>311</v>
      </c>
      <c r="L606">
        <v>0</v>
      </c>
      <c r="M606">
        <v>117.7</v>
      </c>
      <c r="N606">
        <v>5.2</v>
      </c>
      <c r="O606">
        <v>9.1</v>
      </c>
      <c r="P606">
        <v>104</v>
      </c>
      <c r="Q606" s="1" t="s">
        <v>350</v>
      </c>
    </row>
    <row r="607" spans="1:17" hidden="1" x14ac:dyDescent="0.45">
      <c r="A607">
        <v>1224032</v>
      </c>
      <c r="B607" t="s">
        <v>502</v>
      </c>
      <c r="C607" t="s">
        <v>1472</v>
      </c>
      <c r="D607" t="s">
        <v>1032</v>
      </c>
      <c r="E607" t="s">
        <v>1034</v>
      </c>
      <c r="F607" t="s">
        <v>171</v>
      </c>
      <c r="G607">
        <v>2025</v>
      </c>
      <c r="H607">
        <v>6</v>
      </c>
      <c r="I607">
        <v>15</v>
      </c>
      <c r="J607">
        <v>8641</v>
      </c>
      <c r="K607">
        <v>0</v>
      </c>
      <c r="L607">
        <v>0</v>
      </c>
      <c r="M607">
        <v>144</v>
      </c>
      <c r="N607">
        <v>0</v>
      </c>
      <c r="O607">
        <v>9.6</v>
      </c>
      <c r="P607">
        <v>120</v>
      </c>
      <c r="Q607">
        <v>24</v>
      </c>
    </row>
    <row r="608" spans="1:17" hidden="1" x14ac:dyDescent="0.45">
      <c r="A608">
        <v>1224032</v>
      </c>
      <c r="B608" t="s">
        <v>502</v>
      </c>
      <c r="C608" t="s">
        <v>1472</v>
      </c>
      <c r="D608" t="s">
        <v>1032</v>
      </c>
      <c r="E608" t="s">
        <v>1034</v>
      </c>
      <c r="F608" t="s">
        <v>171</v>
      </c>
      <c r="G608">
        <v>2025</v>
      </c>
      <c r="H608">
        <v>7</v>
      </c>
      <c r="I608">
        <v>18</v>
      </c>
      <c r="J608">
        <v>9868</v>
      </c>
      <c r="K608">
        <v>0</v>
      </c>
      <c r="L608">
        <v>0</v>
      </c>
      <c r="M608">
        <v>164.5</v>
      </c>
      <c r="N608">
        <v>0</v>
      </c>
      <c r="O608">
        <v>9.1</v>
      </c>
      <c r="P608">
        <v>144</v>
      </c>
      <c r="Q608">
        <v>20.5</v>
      </c>
    </row>
    <row r="609" spans="1:17" hidden="1" x14ac:dyDescent="0.45">
      <c r="A609">
        <v>1224032</v>
      </c>
      <c r="B609" t="s">
        <v>502</v>
      </c>
      <c r="C609" t="s">
        <v>1472</v>
      </c>
      <c r="D609" t="s">
        <v>1032</v>
      </c>
      <c r="E609" t="s">
        <v>1034</v>
      </c>
      <c r="F609" t="s">
        <v>171</v>
      </c>
      <c r="G609">
        <v>2025</v>
      </c>
      <c r="H609">
        <v>8</v>
      </c>
      <c r="I609">
        <v>13</v>
      </c>
      <c r="J609">
        <v>6342</v>
      </c>
      <c r="K609">
        <v>0</v>
      </c>
      <c r="L609">
        <v>0</v>
      </c>
      <c r="M609">
        <v>105.7</v>
      </c>
      <c r="N609">
        <v>0</v>
      </c>
      <c r="O609">
        <v>8.1</v>
      </c>
      <c r="P609">
        <v>104</v>
      </c>
      <c r="Q609" s="1" t="s">
        <v>495</v>
      </c>
    </row>
    <row r="610" spans="1:17" hidden="1" x14ac:dyDescent="0.45">
      <c r="A610">
        <v>1224045</v>
      </c>
      <c r="B610" t="s">
        <v>503</v>
      </c>
      <c r="C610" t="s">
        <v>1473</v>
      </c>
      <c r="D610" t="s">
        <v>718</v>
      </c>
      <c r="E610" t="s">
        <v>746</v>
      </c>
      <c r="F610" t="s">
        <v>116</v>
      </c>
      <c r="G610">
        <v>2025</v>
      </c>
      <c r="H610">
        <v>6</v>
      </c>
      <c r="I610">
        <v>19</v>
      </c>
      <c r="J610">
        <v>11111</v>
      </c>
      <c r="K610">
        <v>682</v>
      </c>
      <c r="L610">
        <v>1</v>
      </c>
      <c r="M610">
        <v>185.2</v>
      </c>
      <c r="N610">
        <v>11.4</v>
      </c>
      <c r="O610">
        <v>9.6999999999999993</v>
      </c>
      <c r="P610">
        <v>144</v>
      </c>
      <c r="Q610" s="1" t="s">
        <v>504</v>
      </c>
    </row>
    <row r="611" spans="1:17" hidden="1" x14ac:dyDescent="0.45">
      <c r="A611">
        <v>1224045</v>
      </c>
      <c r="B611" t="s">
        <v>503</v>
      </c>
      <c r="C611" t="s">
        <v>1473</v>
      </c>
      <c r="D611" t="s">
        <v>718</v>
      </c>
      <c r="E611" t="s">
        <v>746</v>
      </c>
      <c r="F611" t="s">
        <v>116</v>
      </c>
      <c r="G611">
        <v>2025</v>
      </c>
      <c r="H611">
        <v>7</v>
      </c>
      <c r="I611">
        <v>20</v>
      </c>
      <c r="J611">
        <v>12064</v>
      </c>
      <c r="K611">
        <v>1514</v>
      </c>
      <c r="L611">
        <v>2</v>
      </c>
      <c r="M611">
        <v>201.1</v>
      </c>
      <c r="N611">
        <v>25.2</v>
      </c>
      <c r="O611">
        <v>10.1</v>
      </c>
      <c r="P611">
        <v>144</v>
      </c>
      <c r="Q611" s="1" t="s">
        <v>505</v>
      </c>
    </row>
    <row r="612" spans="1:17" hidden="1" x14ac:dyDescent="0.45">
      <c r="A612">
        <v>1224045</v>
      </c>
      <c r="B612" t="s">
        <v>503</v>
      </c>
      <c r="C612" t="s">
        <v>1473</v>
      </c>
      <c r="D612" t="s">
        <v>718</v>
      </c>
      <c r="E612" t="s">
        <v>746</v>
      </c>
      <c r="F612" t="s">
        <v>116</v>
      </c>
      <c r="G612">
        <v>2025</v>
      </c>
      <c r="H612">
        <v>8</v>
      </c>
      <c r="I612">
        <v>15</v>
      </c>
      <c r="J612">
        <v>8596</v>
      </c>
      <c r="K612">
        <v>334</v>
      </c>
      <c r="L612">
        <v>0</v>
      </c>
      <c r="M612">
        <v>143.30000000000001</v>
      </c>
      <c r="N612">
        <v>5.6</v>
      </c>
      <c r="O612">
        <v>9.6</v>
      </c>
      <c r="P612">
        <v>120</v>
      </c>
      <c r="Q612" s="1" t="s">
        <v>342</v>
      </c>
    </row>
    <row r="613" spans="1:17" hidden="1" x14ac:dyDescent="0.45">
      <c r="A613">
        <v>1224047</v>
      </c>
      <c r="B613" t="s">
        <v>506</v>
      </c>
      <c r="C613" t="s">
        <v>1467</v>
      </c>
      <c r="D613" t="s">
        <v>999</v>
      </c>
      <c r="E613" t="s">
        <v>1001</v>
      </c>
      <c r="F613" t="s">
        <v>171</v>
      </c>
      <c r="G613">
        <v>2025</v>
      </c>
      <c r="H613">
        <v>6</v>
      </c>
      <c r="I613">
        <v>19</v>
      </c>
      <c r="J613">
        <v>11520</v>
      </c>
      <c r="K613">
        <v>0</v>
      </c>
      <c r="L613">
        <v>0</v>
      </c>
      <c r="M613">
        <v>192</v>
      </c>
      <c r="N613">
        <v>0</v>
      </c>
      <c r="O613">
        <v>10.1</v>
      </c>
      <c r="P613">
        <v>152</v>
      </c>
      <c r="Q613">
        <v>40</v>
      </c>
    </row>
    <row r="614" spans="1:17" hidden="1" x14ac:dyDescent="0.45">
      <c r="A614">
        <v>1224047</v>
      </c>
      <c r="B614" t="s">
        <v>506</v>
      </c>
      <c r="C614" t="s">
        <v>1467</v>
      </c>
      <c r="D614" t="s">
        <v>999</v>
      </c>
      <c r="E614" t="s">
        <v>1001</v>
      </c>
      <c r="F614" t="s">
        <v>171</v>
      </c>
      <c r="G614">
        <v>2025</v>
      </c>
      <c r="H614">
        <v>7</v>
      </c>
      <c r="I614">
        <v>21</v>
      </c>
      <c r="J614">
        <v>12393</v>
      </c>
      <c r="K614">
        <v>0</v>
      </c>
      <c r="L614">
        <v>2</v>
      </c>
      <c r="M614">
        <v>206.6</v>
      </c>
      <c r="N614">
        <v>0</v>
      </c>
      <c r="O614">
        <v>9.8000000000000007</v>
      </c>
      <c r="P614">
        <v>152</v>
      </c>
      <c r="Q614" s="1" t="s">
        <v>507</v>
      </c>
    </row>
    <row r="615" spans="1:17" hidden="1" x14ac:dyDescent="0.45">
      <c r="A615">
        <v>1224047</v>
      </c>
      <c r="B615" t="s">
        <v>506</v>
      </c>
      <c r="C615" t="s">
        <v>1467</v>
      </c>
      <c r="D615" t="s">
        <v>999</v>
      </c>
      <c r="E615" t="s">
        <v>1001</v>
      </c>
      <c r="F615" t="s">
        <v>171</v>
      </c>
      <c r="G615">
        <v>2025</v>
      </c>
      <c r="H615">
        <v>8</v>
      </c>
      <c r="I615">
        <v>17</v>
      </c>
      <c r="J615">
        <v>9264</v>
      </c>
      <c r="K615">
        <v>0</v>
      </c>
      <c r="L615">
        <v>0</v>
      </c>
      <c r="M615">
        <v>154.4</v>
      </c>
      <c r="N615">
        <v>0</v>
      </c>
      <c r="O615">
        <v>9.1</v>
      </c>
      <c r="P615">
        <v>136</v>
      </c>
      <c r="Q615" s="1" t="s">
        <v>446</v>
      </c>
    </row>
    <row r="616" spans="1:17" hidden="1" x14ac:dyDescent="0.45">
      <c r="A616">
        <v>1224048</v>
      </c>
      <c r="B616" t="s">
        <v>508</v>
      </c>
      <c r="C616" t="s">
        <v>1468</v>
      </c>
      <c r="D616" t="s">
        <v>1008</v>
      </c>
      <c r="E616" t="s">
        <v>1010</v>
      </c>
      <c r="F616" t="s">
        <v>116</v>
      </c>
      <c r="G616">
        <v>2025</v>
      </c>
      <c r="H616">
        <v>6</v>
      </c>
      <c r="I616">
        <v>19</v>
      </c>
      <c r="J616">
        <v>11091</v>
      </c>
      <c r="K616">
        <v>584</v>
      </c>
      <c r="L616">
        <v>0</v>
      </c>
      <c r="M616">
        <v>184.8</v>
      </c>
      <c r="N616">
        <v>9.6999999999999993</v>
      </c>
      <c r="O616">
        <v>9.6999999999999993</v>
      </c>
      <c r="P616">
        <v>152</v>
      </c>
      <c r="Q616" s="1" t="s">
        <v>509</v>
      </c>
    </row>
    <row r="617" spans="1:17" hidden="1" x14ac:dyDescent="0.45">
      <c r="A617">
        <v>1224048</v>
      </c>
      <c r="B617" t="s">
        <v>508</v>
      </c>
      <c r="C617" t="s">
        <v>1468</v>
      </c>
      <c r="D617" t="s">
        <v>1008</v>
      </c>
      <c r="E617" t="s">
        <v>1010</v>
      </c>
      <c r="F617" t="s">
        <v>116</v>
      </c>
      <c r="G617">
        <v>2025</v>
      </c>
      <c r="H617">
        <v>7</v>
      </c>
      <c r="I617">
        <v>19</v>
      </c>
      <c r="J617">
        <v>11053</v>
      </c>
      <c r="K617">
        <v>450</v>
      </c>
      <c r="L617">
        <v>0</v>
      </c>
      <c r="M617">
        <v>184.2</v>
      </c>
      <c r="N617">
        <v>7.5</v>
      </c>
      <c r="O617">
        <v>9.6999999999999993</v>
      </c>
      <c r="P617">
        <v>152</v>
      </c>
      <c r="Q617" s="1" t="s">
        <v>501</v>
      </c>
    </row>
    <row r="618" spans="1:17" hidden="1" x14ac:dyDescent="0.45">
      <c r="A618">
        <v>1224048</v>
      </c>
      <c r="B618" t="s">
        <v>508</v>
      </c>
      <c r="C618" t="s">
        <v>1468</v>
      </c>
      <c r="D618" t="s">
        <v>1008</v>
      </c>
      <c r="E618" t="s">
        <v>1010</v>
      </c>
      <c r="F618" t="s">
        <v>116</v>
      </c>
      <c r="G618">
        <v>2025</v>
      </c>
      <c r="H618">
        <v>8</v>
      </c>
      <c r="I618">
        <v>15</v>
      </c>
      <c r="J618">
        <v>8599</v>
      </c>
      <c r="K618">
        <v>493</v>
      </c>
      <c r="L618">
        <v>0</v>
      </c>
      <c r="M618">
        <v>143.30000000000001</v>
      </c>
      <c r="N618">
        <v>8.1999999999999993</v>
      </c>
      <c r="O618">
        <v>9.6</v>
      </c>
      <c r="P618">
        <v>120</v>
      </c>
      <c r="Q618" s="1" t="s">
        <v>342</v>
      </c>
    </row>
    <row r="619" spans="1:17" hidden="1" x14ac:dyDescent="0.45">
      <c r="A619">
        <v>1224049</v>
      </c>
      <c r="B619" t="s">
        <v>510</v>
      </c>
      <c r="C619" t="s">
        <v>1468</v>
      </c>
      <c r="D619" t="s">
        <v>1008</v>
      </c>
      <c r="E619" t="s">
        <v>1010</v>
      </c>
      <c r="F619" t="s">
        <v>171</v>
      </c>
      <c r="G619">
        <v>2025</v>
      </c>
      <c r="H619">
        <v>6</v>
      </c>
      <c r="I619">
        <v>19</v>
      </c>
      <c r="J619">
        <v>11665</v>
      </c>
      <c r="K619">
        <v>1019</v>
      </c>
      <c r="L619">
        <v>1</v>
      </c>
      <c r="M619">
        <v>194.4</v>
      </c>
      <c r="N619">
        <v>17</v>
      </c>
      <c r="O619">
        <v>10.199999999999999</v>
      </c>
      <c r="P619">
        <v>144</v>
      </c>
      <c r="Q619" s="1" t="s">
        <v>511</v>
      </c>
    </row>
    <row r="620" spans="1:17" hidden="1" x14ac:dyDescent="0.45">
      <c r="A620">
        <v>1224049</v>
      </c>
      <c r="B620" t="s">
        <v>510</v>
      </c>
      <c r="C620" t="s">
        <v>1468</v>
      </c>
      <c r="D620" t="s">
        <v>1008</v>
      </c>
      <c r="E620" t="s">
        <v>1010</v>
      </c>
      <c r="F620" t="s">
        <v>171</v>
      </c>
      <c r="G620">
        <v>2025</v>
      </c>
      <c r="H620">
        <v>7</v>
      </c>
      <c r="I620">
        <v>23</v>
      </c>
      <c r="J620">
        <v>14113</v>
      </c>
      <c r="K620">
        <v>947</v>
      </c>
      <c r="L620">
        <v>2</v>
      </c>
      <c r="M620">
        <v>235.2</v>
      </c>
      <c r="N620">
        <v>15.8</v>
      </c>
      <c r="O620">
        <v>10.199999999999999</v>
      </c>
      <c r="P620">
        <v>168</v>
      </c>
      <c r="Q620" s="1" t="s">
        <v>499</v>
      </c>
    </row>
    <row r="621" spans="1:17" hidden="1" x14ac:dyDescent="0.45">
      <c r="A621">
        <v>1224049</v>
      </c>
      <c r="B621" t="s">
        <v>510</v>
      </c>
      <c r="C621" t="s">
        <v>1468</v>
      </c>
      <c r="D621" t="s">
        <v>1008</v>
      </c>
      <c r="E621" t="s">
        <v>1010</v>
      </c>
      <c r="F621" t="s">
        <v>171</v>
      </c>
      <c r="G621">
        <v>2025</v>
      </c>
      <c r="H621">
        <v>8</v>
      </c>
      <c r="I621">
        <v>14</v>
      </c>
      <c r="J621">
        <v>7941</v>
      </c>
      <c r="K621">
        <v>670</v>
      </c>
      <c r="L621">
        <v>0</v>
      </c>
      <c r="M621">
        <v>132.4</v>
      </c>
      <c r="N621">
        <v>11.2</v>
      </c>
      <c r="O621">
        <v>9.5</v>
      </c>
      <c r="P621">
        <v>112</v>
      </c>
      <c r="Q621" s="1" t="s">
        <v>415</v>
      </c>
    </row>
    <row r="622" spans="1:17" hidden="1" x14ac:dyDescent="0.45">
      <c r="A622">
        <v>1224050</v>
      </c>
      <c r="B622" t="s">
        <v>512</v>
      </c>
      <c r="C622" t="s">
        <v>1453</v>
      </c>
      <c r="D622" t="s">
        <v>815</v>
      </c>
      <c r="E622" t="s">
        <v>827</v>
      </c>
      <c r="F622" t="s">
        <v>171</v>
      </c>
      <c r="G622">
        <v>2025</v>
      </c>
      <c r="H622">
        <v>6</v>
      </c>
      <c r="I622">
        <v>16</v>
      </c>
      <c r="J622">
        <v>9558</v>
      </c>
      <c r="K622">
        <v>0</v>
      </c>
      <c r="L622">
        <v>0</v>
      </c>
      <c r="M622">
        <v>159.30000000000001</v>
      </c>
      <c r="N622">
        <v>0</v>
      </c>
      <c r="O622">
        <v>10</v>
      </c>
      <c r="P622">
        <v>128</v>
      </c>
      <c r="Q622" s="1" t="s">
        <v>471</v>
      </c>
    </row>
    <row r="623" spans="1:17" hidden="1" x14ac:dyDescent="0.45">
      <c r="A623">
        <v>1224050</v>
      </c>
      <c r="B623" t="s">
        <v>512</v>
      </c>
      <c r="C623" t="s">
        <v>1453</v>
      </c>
      <c r="D623" t="s">
        <v>815</v>
      </c>
      <c r="E623" t="s">
        <v>827</v>
      </c>
      <c r="F623" t="s">
        <v>171</v>
      </c>
      <c r="G623">
        <v>2025</v>
      </c>
      <c r="H623">
        <v>7</v>
      </c>
      <c r="I623">
        <v>14</v>
      </c>
      <c r="J623">
        <v>8508</v>
      </c>
      <c r="K623">
        <v>0</v>
      </c>
      <c r="L623">
        <v>0</v>
      </c>
      <c r="M623">
        <v>141.80000000000001</v>
      </c>
      <c r="N623">
        <v>0</v>
      </c>
      <c r="O623">
        <v>10.1</v>
      </c>
      <c r="P623">
        <v>112</v>
      </c>
      <c r="Q623" s="1" t="s">
        <v>513</v>
      </c>
    </row>
    <row r="624" spans="1:17" hidden="1" x14ac:dyDescent="0.45">
      <c r="A624">
        <v>1224050</v>
      </c>
      <c r="B624" t="s">
        <v>512</v>
      </c>
      <c r="C624" t="s">
        <v>1453</v>
      </c>
      <c r="D624" t="s">
        <v>815</v>
      </c>
      <c r="E624" t="s">
        <v>827</v>
      </c>
      <c r="F624" t="s">
        <v>171</v>
      </c>
      <c r="G624">
        <v>2025</v>
      </c>
      <c r="H624">
        <v>8</v>
      </c>
      <c r="I624">
        <v>14</v>
      </c>
      <c r="J624">
        <v>7548</v>
      </c>
      <c r="K624">
        <v>0</v>
      </c>
      <c r="L624">
        <v>0</v>
      </c>
      <c r="M624">
        <v>125.8</v>
      </c>
      <c r="N624">
        <v>0</v>
      </c>
      <c r="O624">
        <v>9</v>
      </c>
      <c r="P624">
        <v>112</v>
      </c>
      <c r="Q624" s="1" t="s">
        <v>485</v>
      </c>
    </row>
    <row r="625" spans="1:17" hidden="1" x14ac:dyDescent="0.45">
      <c r="A625">
        <v>1224051</v>
      </c>
      <c r="B625" t="s">
        <v>514</v>
      </c>
      <c r="C625" t="s">
        <v>1452</v>
      </c>
      <c r="D625" t="s">
        <v>954</v>
      </c>
      <c r="E625" t="s">
        <v>958</v>
      </c>
      <c r="F625" t="s">
        <v>171</v>
      </c>
      <c r="G625">
        <v>2025</v>
      </c>
      <c r="H625">
        <v>6</v>
      </c>
      <c r="I625">
        <v>11</v>
      </c>
      <c r="J625">
        <v>5909</v>
      </c>
      <c r="K625">
        <v>240</v>
      </c>
      <c r="L625">
        <v>0</v>
      </c>
      <c r="M625">
        <v>98.5</v>
      </c>
      <c r="N625">
        <v>4</v>
      </c>
      <c r="O625">
        <v>9</v>
      </c>
      <c r="P625">
        <v>88</v>
      </c>
      <c r="Q625">
        <v>10.5</v>
      </c>
    </row>
    <row r="626" spans="1:17" hidden="1" x14ac:dyDescent="0.45">
      <c r="A626">
        <v>1224051</v>
      </c>
      <c r="B626" t="s">
        <v>514</v>
      </c>
      <c r="C626" t="s">
        <v>1452</v>
      </c>
      <c r="D626" t="s">
        <v>954</v>
      </c>
      <c r="E626" t="s">
        <v>958</v>
      </c>
      <c r="F626" t="s">
        <v>171</v>
      </c>
      <c r="G626">
        <v>2025</v>
      </c>
      <c r="H626">
        <v>7</v>
      </c>
      <c r="I626">
        <v>11</v>
      </c>
      <c r="J626">
        <v>4352</v>
      </c>
      <c r="K626">
        <v>0</v>
      </c>
      <c r="L626">
        <v>0</v>
      </c>
      <c r="M626">
        <v>72.5</v>
      </c>
      <c r="N626">
        <v>0</v>
      </c>
      <c r="O626">
        <v>6.6</v>
      </c>
      <c r="P626">
        <v>88</v>
      </c>
      <c r="Q626">
        <v>-15.5</v>
      </c>
    </row>
    <row r="627" spans="1:17" hidden="1" x14ac:dyDescent="0.45">
      <c r="A627">
        <v>1224051</v>
      </c>
      <c r="B627" t="s">
        <v>514</v>
      </c>
      <c r="C627" t="s">
        <v>1452</v>
      </c>
      <c r="D627" t="s">
        <v>954</v>
      </c>
      <c r="E627" t="s">
        <v>958</v>
      </c>
      <c r="F627" t="s">
        <v>171</v>
      </c>
      <c r="G627">
        <v>2025</v>
      </c>
      <c r="H627">
        <v>8</v>
      </c>
      <c r="I627">
        <v>11</v>
      </c>
      <c r="J627">
        <v>4653</v>
      </c>
      <c r="K627">
        <v>0</v>
      </c>
      <c r="L627">
        <v>0</v>
      </c>
      <c r="M627">
        <v>77.599999999999994</v>
      </c>
      <c r="N627">
        <v>0</v>
      </c>
      <c r="O627">
        <v>7.1</v>
      </c>
      <c r="P627">
        <v>88</v>
      </c>
      <c r="Q627">
        <v>-10.4</v>
      </c>
    </row>
    <row r="628" spans="1:17" hidden="1" x14ac:dyDescent="0.45">
      <c r="A628">
        <v>1224052</v>
      </c>
      <c r="B628" t="s">
        <v>515</v>
      </c>
      <c r="C628" t="s">
        <v>1458</v>
      </c>
      <c r="D628" t="e">
        <v>#N/A</v>
      </c>
      <c r="E628" t="s">
        <v>1158</v>
      </c>
      <c r="F628" t="s">
        <v>171</v>
      </c>
      <c r="G628">
        <v>2025</v>
      </c>
      <c r="H628">
        <v>6</v>
      </c>
      <c r="I628">
        <v>17</v>
      </c>
      <c r="J628">
        <v>9332</v>
      </c>
      <c r="K628">
        <v>3</v>
      </c>
      <c r="L628">
        <v>0</v>
      </c>
      <c r="M628">
        <v>155.5</v>
      </c>
      <c r="N628">
        <v>0</v>
      </c>
      <c r="O628">
        <v>9.1</v>
      </c>
      <c r="P628">
        <v>136</v>
      </c>
      <c r="Q628">
        <v>19.5</v>
      </c>
    </row>
    <row r="629" spans="1:17" hidden="1" x14ac:dyDescent="0.45">
      <c r="A629">
        <v>1224052</v>
      </c>
      <c r="B629" t="s">
        <v>515</v>
      </c>
      <c r="C629" t="s">
        <v>1458</v>
      </c>
      <c r="D629" t="e">
        <v>#N/A</v>
      </c>
      <c r="E629" t="s">
        <v>1158</v>
      </c>
      <c r="F629" t="s">
        <v>171</v>
      </c>
      <c r="G629">
        <v>2025</v>
      </c>
      <c r="H629">
        <v>7</v>
      </c>
      <c r="I629">
        <v>19</v>
      </c>
      <c r="J629">
        <v>10713</v>
      </c>
      <c r="K629">
        <v>0</v>
      </c>
      <c r="L629">
        <v>0</v>
      </c>
      <c r="M629">
        <v>178.6</v>
      </c>
      <c r="N629">
        <v>0</v>
      </c>
      <c r="O629">
        <v>9.4</v>
      </c>
      <c r="P629">
        <v>152</v>
      </c>
      <c r="Q629" s="1" t="s">
        <v>359</v>
      </c>
    </row>
    <row r="630" spans="1:17" hidden="1" x14ac:dyDescent="0.45">
      <c r="A630">
        <v>1224052</v>
      </c>
      <c r="B630" t="s">
        <v>515</v>
      </c>
      <c r="C630" t="s">
        <v>1458</v>
      </c>
      <c r="D630" t="e">
        <v>#N/A</v>
      </c>
      <c r="E630" t="s">
        <v>1158</v>
      </c>
      <c r="F630" t="s">
        <v>171</v>
      </c>
      <c r="G630">
        <v>2025</v>
      </c>
      <c r="H630">
        <v>8</v>
      </c>
      <c r="I630">
        <v>16</v>
      </c>
      <c r="J630">
        <v>8418</v>
      </c>
      <c r="K630">
        <v>120</v>
      </c>
      <c r="L630">
        <v>0</v>
      </c>
      <c r="M630">
        <v>140.30000000000001</v>
      </c>
      <c r="N630">
        <v>2</v>
      </c>
      <c r="O630">
        <v>8.8000000000000007</v>
      </c>
      <c r="P630">
        <v>128</v>
      </c>
      <c r="Q630" s="1" t="s">
        <v>28</v>
      </c>
    </row>
    <row r="631" spans="1:17" hidden="1" x14ac:dyDescent="0.45">
      <c r="A631">
        <v>1224055</v>
      </c>
      <c r="B631" t="s">
        <v>516</v>
      </c>
      <c r="C631" t="s">
        <v>1448</v>
      </c>
      <c r="D631" t="s">
        <v>884</v>
      </c>
      <c r="E631" t="s">
        <v>887</v>
      </c>
      <c r="F631" t="s">
        <v>171</v>
      </c>
      <c r="G631">
        <v>2025</v>
      </c>
      <c r="H631">
        <v>6</v>
      </c>
      <c r="I631">
        <v>18</v>
      </c>
      <c r="J631">
        <v>9478</v>
      </c>
      <c r="K631">
        <v>11</v>
      </c>
      <c r="L631">
        <v>0</v>
      </c>
      <c r="M631">
        <v>158</v>
      </c>
      <c r="N631">
        <v>0.2</v>
      </c>
      <c r="O631">
        <v>8.8000000000000007</v>
      </c>
      <c r="P631">
        <v>144</v>
      </c>
      <c r="Q631">
        <v>14</v>
      </c>
    </row>
    <row r="632" spans="1:17" hidden="1" x14ac:dyDescent="0.45">
      <c r="A632">
        <v>1224055</v>
      </c>
      <c r="B632" t="s">
        <v>516</v>
      </c>
      <c r="C632" t="s">
        <v>1448</v>
      </c>
      <c r="D632" t="s">
        <v>884</v>
      </c>
      <c r="E632" t="s">
        <v>887</v>
      </c>
      <c r="F632" t="s">
        <v>171</v>
      </c>
      <c r="G632">
        <v>2025</v>
      </c>
      <c r="H632">
        <v>7</v>
      </c>
      <c r="I632">
        <v>20</v>
      </c>
      <c r="J632">
        <v>10656</v>
      </c>
      <c r="K632">
        <v>140</v>
      </c>
      <c r="L632">
        <v>1</v>
      </c>
      <c r="M632">
        <v>177.6</v>
      </c>
      <c r="N632">
        <v>2.2999999999999998</v>
      </c>
      <c r="O632">
        <v>8.9</v>
      </c>
      <c r="P632">
        <v>152</v>
      </c>
      <c r="Q632" s="1" t="s">
        <v>517</v>
      </c>
    </row>
    <row r="633" spans="1:17" hidden="1" x14ac:dyDescent="0.45">
      <c r="A633">
        <v>1224055</v>
      </c>
      <c r="B633" t="s">
        <v>516</v>
      </c>
      <c r="C633" t="s">
        <v>1448</v>
      </c>
      <c r="D633" t="s">
        <v>884</v>
      </c>
      <c r="E633" t="s">
        <v>887</v>
      </c>
      <c r="F633" t="s">
        <v>171</v>
      </c>
      <c r="G633">
        <v>2025</v>
      </c>
      <c r="H633">
        <v>8</v>
      </c>
      <c r="I633">
        <v>17</v>
      </c>
      <c r="J633">
        <v>8684</v>
      </c>
      <c r="K633">
        <v>36</v>
      </c>
      <c r="L633">
        <v>0</v>
      </c>
      <c r="M633">
        <v>144.69999999999999</v>
      </c>
      <c r="N633">
        <v>0.6</v>
      </c>
      <c r="O633">
        <v>8.5</v>
      </c>
      <c r="P633">
        <v>136</v>
      </c>
      <c r="Q633" s="1" t="s">
        <v>518</v>
      </c>
    </row>
    <row r="634" spans="1:17" hidden="1" x14ac:dyDescent="0.45">
      <c r="A634">
        <v>1224056</v>
      </c>
      <c r="B634" t="s">
        <v>519</v>
      </c>
      <c r="C634" t="s">
        <v>1455</v>
      </c>
      <c r="D634" t="e">
        <v>#N/A</v>
      </c>
      <c r="E634" t="s">
        <v>922</v>
      </c>
      <c r="F634" t="s">
        <v>171</v>
      </c>
      <c r="G634">
        <v>2025</v>
      </c>
      <c r="H634">
        <v>6</v>
      </c>
      <c r="I634">
        <v>19</v>
      </c>
      <c r="J634">
        <v>11035</v>
      </c>
      <c r="K634">
        <v>662</v>
      </c>
      <c r="L634">
        <v>0</v>
      </c>
      <c r="M634">
        <v>183.9</v>
      </c>
      <c r="N634">
        <v>11</v>
      </c>
      <c r="O634">
        <v>9.6999999999999993</v>
      </c>
      <c r="P634">
        <v>152</v>
      </c>
      <c r="Q634" s="1" t="s">
        <v>520</v>
      </c>
    </row>
    <row r="635" spans="1:17" hidden="1" x14ac:dyDescent="0.45">
      <c r="A635">
        <v>1224056</v>
      </c>
      <c r="B635" t="s">
        <v>519</v>
      </c>
      <c r="C635" t="s">
        <v>1455</v>
      </c>
      <c r="D635" t="e">
        <v>#N/A</v>
      </c>
      <c r="E635" t="s">
        <v>922</v>
      </c>
      <c r="F635" t="s">
        <v>171</v>
      </c>
      <c r="G635">
        <v>2025</v>
      </c>
      <c r="H635">
        <v>7</v>
      </c>
      <c r="I635">
        <v>19</v>
      </c>
      <c r="J635">
        <v>10638</v>
      </c>
      <c r="K635">
        <v>349</v>
      </c>
      <c r="L635">
        <v>0</v>
      </c>
      <c r="M635">
        <v>177.3</v>
      </c>
      <c r="N635">
        <v>5.8</v>
      </c>
      <c r="O635">
        <v>9.3000000000000007</v>
      </c>
      <c r="P635">
        <v>152</v>
      </c>
      <c r="Q635" s="1" t="s">
        <v>521</v>
      </c>
    </row>
    <row r="636" spans="1:17" hidden="1" x14ac:dyDescent="0.45">
      <c r="A636">
        <v>1224056</v>
      </c>
      <c r="B636" t="s">
        <v>519</v>
      </c>
      <c r="C636" t="s">
        <v>1455</v>
      </c>
      <c r="D636" t="e">
        <v>#N/A</v>
      </c>
      <c r="E636" t="s">
        <v>922</v>
      </c>
      <c r="F636" t="s">
        <v>171</v>
      </c>
      <c r="G636">
        <v>2025</v>
      </c>
      <c r="H636">
        <v>8</v>
      </c>
      <c r="I636">
        <v>16</v>
      </c>
      <c r="J636">
        <v>8800</v>
      </c>
      <c r="K636">
        <v>365</v>
      </c>
      <c r="L636">
        <v>0</v>
      </c>
      <c r="M636">
        <v>146.69999999999999</v>
      </c>
      <c r="N636">
        <v>6.1</v>
      </c>
      <c r="O636">
        <v>9.1999999999999993</v>
      </c>
      <c r="P636">
        <v>128</v>
      </c>
      <c r="Q636" s="1" t="s">
        <v>457</v>
      </c>
    </row>
    <row r="637" spans="1:17" hidden="1" x14ac:dyDescent="0.45">
      <c r="A637">
        <v>1224057</v>
      </c>
      <c r="B637" t="s">
        <v>522</v>
      </c>
      <c r="C637" t="s">
        <v>1469</v>
      </c>
      <c r="D637" t="e">
        <v>#N/A</v>
      </c>
      <c r="E637" t="s">
        <v>823</v>
      </c>
      <c r="F637" t="s">
        <v>171</v>
      </c>
      <c r="G637">
        <v>2025</v>
      </c>
      <c r="H637">
        <v>6</v>
      </c>
      <c r="I637">
        <v>17</v>
      </c>
      <c r="J637">
        <v>9745</v>
      </c>
      <c r="K637">
        <v>0</v>
      </c>
      <c r="L637">
        <v>0</v>
      </c>
      <c r="M637">
        <v>162.4</v>
      </c>
      <c r="N637">
        <v>0</v>
      </c>
      <c r="O637">
        <v>9.6</v>
      </c>
      <c r="P637">
        <v>136</v>
      </c>
      <c r="Q637" s="1" t="s">
        <v>523</v>
      </c>
    </row>
    <row r="638" spans="1:17" hidden="1" x14ac:dyDescent="0.45">
      <c r="A638">
        <v>1224057</v>
      </c>
      <c r="B638" t="s">
        <v>522</v>
      </c>
      <c r="C638" t="s">
        <v>1469</v>
      </c>
      <c r="D638" t="e">
        <v>#N/A</v>
      </c>
      <c r="E638" t="s">
        <v>823</v>
      </c>
      <c r="F638" t="s">
        <v>171</v>
      </c>
      <c r="G638">
        <v>2025</v>
      </c>
      <c r="H638">
        <v>7</v>
      </c>
      <c r="I638">
        <v>15</v>
      </c>
      <c r="J638">
        <v>8349</v>
      </c>
      <c r="K638">
        <v>0</v>
      </c>
      <c r="L638">
        <v>0</v>
      </c>
      <c r="M638">
        <v>139.19999999999999</v>
      </c>
      <c r="N638">
        <v>0</v>
      </c>
      <c r="O638">
        <v>9.3000000000000007</v>
      </c>
      <c r="P638">
        <v>120</v>
      </c>
      <c r="Q638" s="1" t="s">
        <v>524</v>
      </c>
    </row>
    <row r="639" spans="1:17" hidden="1" x14ac:dyDescent="0.45">
      <c r="A639">
        <v>1224057</v>
      </c>
      <c r="B639" t="s">
        <v>522</v>
      </c>
      <c r="C639" t="s">
        <v>1469</v>
      </c>
      <c r="D639" t="e">
        <v>#N/A</v>
      </c>
      <c r="E639" t="s">
        <v>823</v>
      </c>
      <c r="F639" t="s">
        <v>171</v>
      </c>
      <c r="G639">
        <v>2025</v>
      </c>
      <c r="H639">
        <v>8</v>
      </c>
      <c r="I639">
        <v>14</v>
      </c>
      <c r="J639">
        <v>7470</v>
      </c>
      <c r="K639">
        <v>0</v>
      </c>
      <c r="L639">
        <v>0</v>
      </c>
      <c r="M639">
        <v>124.5</v>
      </c>
      <c r="N639">
        <v>0</v>
      </c>
      <c r="O639">
        <v>8.9</v>
      </c>
      <c r="P639">
        <v>112</v>
      </c>
      <c r="Q639">
        <v>12.5</v>
      </c>
    </row>
    <row r="640" spans="1:17" hidden="1" x14ac:dyDescent="0.45">
      <c r="A640">
        <v>1225001</v>
      </c>
      <c r="B640" t="s">
        <v>525</v>
      </c>
      <c r="C640" t="s">
        <v>1458</v>
      </c>
      <c r="D640" t="s">
        <v>815</v>
      </c>
      <c r="E640" t="s">
        <v>827</v>
      </c>
      <c r="F640" t="s">
        <v>171</v>
      </c>
      <c r="G640">
        <v>2025</v>
      </c>
      <c r="H640">
        <v>6</v>
      </c>
      <c r="I640">
        <v>18</v>
      </c>
      <c r="J640">
        <v>10841</v>
      </c>
      <c r="K640">
        <v>420</v>
      </c>
      <c r="L640">
        <v>0</v>
      </c>
      <c r="M640">
        <v>180.7</v>
      </c>
      <c r="N640">
        <v>7</v>
      </c>
      <c r="O640">
        <v>10</v>
      </c>
      <c r="P640">
        <v>144</v>
      </c>
      <c r="Q640" s="1" t="s">
        <v>190</v>
      </c>
    </row>
    <row r="641" spans="1:17" hidden="1" x14ac:dyDescent="0.45">
      <c r="A641">
        <v>1225001</v>
      </c>
      <c r="B641" t="s">
        <v>525</v>
      </c>
      <c r="C641" t="s">
        <v>1458</v>
      </c>
      <c r="D641" t="s">
        <v>815</v>
      </c>
      <c r="E641" t="s">
        <v>827</v>
      </c>
      <c r="F641" t="s">
        <v>171</v>
      </c>
      <c r="G641">
        <v>2025</v>
      </c>
      <c r="H641">
        <v>7</v>
      </c>
      <c r="I641">
        <v>18</v>
      </c>
      <c r="J641">
        <v>9996</v>
      </c>
      <c r="K641">
        <v>60</v>
      </c>
      <c r="L641">
        <v>0</v>
      </c>
      <c r="M641">
        <v>166.6</v>
      </c>
      <c r="N641">
        <v>1</v>
      </c>
      <c r="O641">
        <v>9.3000000000000007</v>
      </c>
      <c r="P641">
        <v>144</v>
      </c>
      <c r="Q641" s="1" t="s">
        <v>67</v>
      </c>
    </row>
    <row r="642" spans="1:17" hidden="1" x14ac:dyDescent="0.45">
      <c r="A642">
        <v>1225001</v>
      </c>
      <c r="B642" t="s">
        <v>525</v>
      </c>
      <c r="C642" t="s">
        <v>1458</v>
      </c>
      <c r="D642" t="s">
        <v>815</v>
      </c>
      <c r="E642" t="s">
        <v>827</v>
      </c>
      <c r="F642" t="s">
        <v>171</v>
      </c>
      <c r="G642">
        <v>2025</v>
      </c>
      <c r="H642">
        <v>8</v>
      </c>
      <c r="I642">
        <v>16</v>
      </c>
      <c r="J642">
        <v>8594</v>
      </c>
      <c r="K642">
        <v>0</v>
      </c>
      <c r="L642">
        <v>0</v>
      </c>
      <c r="M642">
        <v>143.19999999999999</v>
      </c>
      <c r="N642">
        <v>0</v>
      </c>
      <c r="O642">
        <v>9</v>
      </c>
      <c r="P642">
        <v>128</v>
      </c>
      <c r="Q642" s="1" t="s">
        <v>431</v>
      </c>
    </row>
    <row r="643" spans="1:17" hidden="1" x14ac:dyDescent="0.45">
      <c r="A643">
        <v>1225002</v>
      </c>
      <c r="B643" t="s">
        <v>526</v>
      </c>
      <c r="C643" t="s">
        <v>1445</v>
      </c>
      <c r="D643" t="s">
        <v>815</v>
      </c>
      <c r="E643" t="s">
        <v>830</v>
      </c>
      <c r="F643" t="s">
        <v>171</v>
      </c>
      <c r="G643">
        <v>2025</v>
      </c>
      <c r="H643">
        <v>6</v>
      </c>
      <c r="I643">
        <v>11</v>
      </c>
      <c r="J643">
        <v>6364</v>
      </c>
      <c r="K643">
        <v>299</v>
      </c>
      <c r="L643">
        <v>1</v>
      </c>
      <c r="M643">
        <v>106.1</v>
      </c>
      <c r="N643">
        <v>5</v>
      </c>
      <c r="O643">
        <v>9.6</v>
      </c>
      <c r="P643">
        <v>80</v>
      </c>
      <c r="Q643" s="1" t="s">
        <v>527</v>
      </c>
    </row>
    <row r="644" spans="1:17" hidden="1" x14ac:dyDescent="0.45">
      <c r="A644">
        <v>1225002</v>
      </c>
      <c r="B644" t="s">
        <v>526</v>
      </c>
      <c r="C644" t="s">
        <v>1445</v>
      </c>
      <c r="D644" t="s">
        <v>815</v>
      </c>
      <c r="E644" t="s">
        <v>830</v>
      </c>
      <c r="F644" t="s">
        <v>171</v>
      </c>
      <c r="G644">
        <v>2025</v>
      </c>
      <c r="H644">
        <v>7</v>
      </c>
      <c r="I644">
        <v>18</v>
      </c>
      <c r="J644">
        <v>10533</v>
      </c>
      <c r="K644">
        <v>467</v>
      </c>
      <c r="L644">
        <v>0</v>
      </c>
      <c r="M644">
        <v>175.6</v>
      </c>
      <c r="N644">
        <v>7.8</v>
      </c>
      <c r="O644">
        <v>9.8000000000000007</v>
      </c>
      <c r="P644">
        <v>144</v>
      </c>
      <c r="Q644" s="1" t="s">
        <v>370</v>
      </c>
    </row>
    <row r="645" spans="1:17" hidden="1" x14ac:dyDescent="0.45">
      <c r="A645">
        <v>1225002</v>
      </c>
      <c r="B645" t="s">
        <v>526</v>
      </c>
      <c r="C645" t="s">
        <v>1445</v>
      </c>
      <c r="D645" t="s">
        <v>815</v>
      </c>
      <c r="E645" t="s">
        <v>830</v>
      </c>
      <c r="F645" t="s">
        <v>171</v>
      </c>
      <c r="G645">
        <v>2025</v>
      </c>
      <c r="H645">
        <v>8</v>
      </c>
      <c r="I645">
        <v>16</v>
      </c>
      <c r="J645">
        <v>8312</v>
      </c>
      <c r="K645">
        <v>202</v>
      </c>
      <c r="L645">
        <v>0</v>
      </c>
      <c r="M645">
        <v>138.5</v>
      </c>
      <c r="N645">
        <v>3.4</v>
      </c>
      <c r="O645">
        <v>8.6999999999999993</v>
      </c>
      <c r="P645">
        <v>128</v>
      </c>
      <c r="Q645">
        <v>10.5</v>
      </c>
    </row>
    <row r="646" spans="1:17" hidden="1" x14ac:dyDescent="0.45">
      <c r="A646">
        <v>1225003</v>
      </c>
      <c r="B646" t="s">
        <v>528</v>
      </c>
      <c r="C646" t="s">
        <v>1459</v>
      </c>
      <c r="D646" t="s">
        <v>954</v>
      </c>
      <c r="E646" t="s">
        <v>962</v>
      </c>
      <c r="F646" t="s">
        <v>171</v>
      </c>
      <c r="G646">
        <v>2025</v>
      </c>
      <c r="H646">
        <v>6</v>
      </c>
      <c r="I646">
        <v>17</v>
      </c>
      <c r="J646">
        <v>10792</v>
      </c>
      <c r="K646">
        <v>1508</v>
      </c>
      <c r="L646">
        <v>0</v>
      </c>
      <c r="M646">
        <v>179.9</v>
      </c>
      <c r="N646">
        <v>25.1</v>
      </c>
      <c r="O646">
        <v>10.6</v>
      </c>
      <c r="P646">
        <v>136</v>
      </c>
      <c r="Q646" s="1" t="s">
        <v>424</v>
      </c>
    </row>
    <row r="647" spans="1:17" hidden="1" x14ac:dyDescent="0.45">
      <c r="A647">
        <v>1225003</v>
      </c>
      <c r="B647" t="s">
        <v>528</v>
      </c>
      <c r="C647" t="s">
        <v>1459</v>
      </c>
      <c r="D647" t="s">
        <v>954</v>
      </c>
      <c r="E647" t="s">
        <v>962</v>
      </c>
      <c r="F647" t="s">
        <v>171</v>
      </c>
      <c r="G647">
        <v>2025</v>
      </c>
      <c r="H647">
        <v>7</v>
      </c>
      <c r="I647">
        <v>19</v>
      </c>
      <c r="J647">
        <v>12722</v>
      </c>
      <c r="K647">
        <v>1699</v>
      </c>
      <c r="L647">
        <v>0</v>
      </c>
      <c r="M647">
        <v>212</v>
      </c>
      <c r="N647">
        <v>28.3</v>
      </c>
      <c r="O647">
        <v>11.2</v>
      </c>
      <c r="P647">
        <v>152</v>
      </c>
      <c r="Q647">
        <v>60</v>
      </c>
    </row>
    <row r="648" spans="1:17" hidden="1" x14ac:dyDescent="0.45">
      <c r="A648">
        <v>1225003</v>
      </c>
      <c r="B648" t="s">
        <v>528</v>
      </c>
      <c r="C648" t="s">
        <v>1459</v>
      </c>
      <c r="D648" t="s">
        <v>954</v>
      </c>
      <c r="E648" t="s">
        <v>962</v>
      </c>
      <c r="F648" t="s">
        <v>171</v>
      </c>
      <c r="G648">
        <v>2025</v>
      </c>
      <c r="H648">
        <v>8</v>
      </c>
      <c r="I648">
        <v>16</v>
      </c>
      <c r="J648">
        <v>11156</v>
      </c>
      <c r="K648">
        <v>2552</v>
      </c>
      <c r="L648">
        <v>0</v>
      </c>
      <c r="M648">
        <v>185.9</v>
      </c>
      <c r="N648">
        <v>42.5</v>
      </c>
      <c r="O648">
        <v>11.6</v>
      </c>
      <c r="P648">
        <v>128</v>
      </c>
      <c r="Q648" s="1" t="s">
        <v>529</v>
      </c>
    </row>
    <row r="649" spans="1:17" hidden="1" x14ac:dyDescent="0.45">
      <c r="A649">
        <v>1225004</v>
      </c>
      <c r="B649" t="s">
        <v>530</v>
      </c>
      <c r="C649" t="s">
        <v>1448</v>
      </c>
      <c r="D649" t="s">
        <v>884</v>
      </c>
      <c r="E649" t="s">
        <v>887</v>
      </c>
      <c r="F649" t="s">
        <v>171</v>
      </c>
      <c r="G649">
        <v>2025</v>
      </c>
      <c r="H649">
        <v>6</v>
      </c>
      <c r="I649">
        <v>19</v>
      </c>
      <c r="J649">
        <v>12615</v>
      </c>
      <c r="K649">
        <v>1656</v>
      </c>
      <c r="L649">
        <v>0</v>
      </c>
      <c r="M649">
        <v>210.2</v>
      </c>
      <c r="N649">
        <v>27.6</v>
      </c>
      <c r="O649">
        <v>11.1</v>
      </c>
      <c r="P649">
        <v>152</v>
      </c>
      <c r="Q649" s="1" t="s">
        <v>531</v>
      </c>
    </row>
    <row r="650" spans="1:17" hidden="1" x14ac:dyDescent="0.45">
      <c r="A650">
        <v>1225004</v>
      </c>
      <c r="B650" t="s">
        <v>530</v>
      </c>
      <c r="C650" t="s">
        <v>1448</v>
      </c>
      <c r="D650" t="s">
        <v>884</v>
      </c>
      <c r="E650" t="s">
        <v>887</v>
      </c>
      <c r="F650" t="s">
        <v>171</v>
      </c>
      <c r="G650">
        <v>2025</v>
      </c>
      <c r="H650">
        <v>7</v>
      </c>
      <c r="I650">
        <v>24</v>
      </c>
      <c r="J650">
        <v>15072</v>
      </c>
      <c r="K650">
        <v>1595</v>
      </c>
      <c r="L650">
        <v>2</v>
      </c>
      <c r="M650">
        <v>251.2</v>
      </c>
      <c r="N650">
        <v>26.6</v>
      </c>
      <c r="O650">
        <v>10.5</v>
      </c>
      <c r="P650">
        <v>176</v>
      </c>
      <c r="Q650" s="1" t="s">
        <v>395</v>
      </c>
    </row>
    <row r="651" spans="1:17" hidden="1" x14ac:dyDescent="0.45">
      <c r="A651">
        <v>1225004</v>
      </c>
      <c r="B651" t="s">
        <v>530</v>
      </c>
      <c r="C651" t="s">
        <v>1448</v>
      </c>
      <c r="D651" t="s">
        <v>884</v>
      </c>
      <c r="E651" t="s">
        <v>887</v>
      </c>
      <c r="F651" t="s">
        <v>171</v>
      </c>
      <c r="G651">
        <v>2025</v>
      </c>
      <c r="H651">
        <v>8</v>
      </c>
      <c r="I651">
        <v>18</v>
      </c>
      <c r="J651">
        <v>10938</v>
      </c>
      <c r="K651">
        <v>1040</v>
      </c>
      <c r="L651">
        <v>1</v>
      </c>
      <c r="M651">
        <v>182.3</v>
      </c>
      <c r="N651">
        <v>17.3</v>
      </c>
      <c r="O651">
        <v>10.1</v>
      </c>
      <c r="P651">
        <v>136</v>
      </c>
      <c r="Q651" s="1" t="s">
        <v>532</v>
      </c>
    </row>
    <row r="652" spans="1:17" hidden="1" x14ac:dyDescent="0.45">
      <c r="A652">
        <v>1225005</v>
      </c>
      <c r="B652" t="s">
        <v>533</v>
      </c>
      <c r="C652" t="s">
        <v>1466</v>
      </c>
      <c r="D652" t="s">
        <v>718</v>
      </c>
      <c r="E652" t="s">
        <v>739</v>
      </c>
      <c r="F652" t="s">
        <v>171</v>
      </c>
      <c r="G652">
        <v>2025</v>
      </c>
      <c r="H652">
        <v>6</v>
      </c>
      <c r="I652">
        <v>18</v>
      </c>
      <c r="J652">
        <v>10219</v>
      </c>
      <c r="K652">
        <v>0</v>
      </c>
      <c r="L652">
        <v>0</v>
      </c>
      <c r="M652">
        <v>170.3</v>
      </c>
      <c r="N652">
        <v>0</v>
      </c>
      <c r="O652">
        <v>9.5</v>
      </c>
      <c r="P652">
        <v>144</v>
      </c>
      <c r="Q652" s="1" t="s">
        <v>403</v>
      </c>
    </row>
    <row r="653" spans="1:17" hidden="1" x14ac:dyDescent="0.45">
      <c r="A653">
        <v>1225005</v>
      </c>
      <c r="B653" t="s">
        <v>533</v>
      </c>
      <c r="C653" t="s">
        <v>1466</v>
      </c>
      <c r="D653" t="s">
        <v>718</v>
      </c>
      <c r="E653" t="s">
        <v>739</v>
      </c>
      <c r="F653" t="s">
        <v>171</v>
      </c>
      <c r="G653">
        <v>2025</v>
      </c>
      <c r="H653">
        <v>7</v>
      </c>
      <c r="I653">
        <v>19</v>
      </c>
      <c r="J653">
        <v>9958</v>
      </c>
      <c r="K653">
        <v>0</v>
      </c>
      <c r="L653">
        <v>1</v>
      </c>
      <c r="M653">
        <v>166</v>
      </c>
      <c r="N653">
        <v>0</v>
      </c>
      <c r="O653">
        <v>8.6999999999999993</v>
      </c>
      <c r="P653">
        <v>144</v>
      </c>
      <c r="Q653">
        <v>22</v>
      </c>
    </row>
    <row r="654" spans="1:17" hidden="1" x14ac:dyDescent="0.45">
      <c r="A654">
        <v>1225005</v>
      </c>
      <c r="B654" t="s">
        <v>533</v>
      </c>
      <c r="C654" t="s">
        <v>1466</v>
      </c>
      <c r="D654" t="s">
        <v>718</v>
      </c>
      <c r="E654" t="s">
        <v>739</v>
      </c>
      <c r="F654" t="s">
        <v>171</v>
      </c>
      <c r="G654">
        <v>2025</v>
      </c>
      <c r="H654">
        <v>8</v>
      </c>
      <c r="I654">
        <v>16</v>
      </c>
      <c r="J654">
        <v>8251</v>
      </c>
      <c r="K654">
        <v>0</v>
      </c>
      <c r="L654">
        <v>0</v>
      </c>
      <c r="M654">
        <v>137.5</v>
      </c>
      <c r="N654">
        <v>0</v>
      </c>
      <c r="O654">
        <v>8.6</v>
      </c>
      <c r="P654">
        <v>128</v>
      </c>
      <c r="Q654">
        <v>9.5</v>
      </c>
    </row>
    <row r="655" spans="1:17" hidden="1" x14ac:dyDescent="0.45">
      <c r="A655">
        <v>1225007</v>
      </c>
      <c r="B655" t="s">
        <v>534</v>
      </c>
      <c r="C655" t="s">
        <v>1462</v>
      </c>
      <c r="D655" t="s">
        <v>718</v>
      </c>
      <c r="E655" t="s">
        <v>741</v>
      </c>
      <c r="F655" t="s">
        <v>171</v>
      </c>
      <c r="G655">
        <v>2025</v>
      </c>
      <c r="H655">
        <v>6</v>
      </c>
      <c r="I655">
        <v>18</v>
      </c>
      <c r="J655">
        <v>10107</v>
      </c>
      <c r="K655">
        <v>12</v>
      </c>
      <c r="L655">
        <v>0</v>
      </c>
      <c r="M655">
        <v>168.4</v>
      </c>
      <c r="N655">
        <v>0.2</v>
      </c>
      <c r="O655">
        <v>9.4</v>
      </c>
      <c r="P655">
        <v>144</v>
      </c>
      <c r="Q655" s="1" t="s">
        <v>462</v>
      </c>
    </row>
    <row r="656" spans="1:17" hidden="1" x14ac:dyDescent="0.45">
      <c r="A656">
        <v>1225007</v>
      </c>
      <c r="B656" t="s">
        <v>534</v>
      </c>
      <c r="C656" t="s">
        <v>1462</v>
      </c>
      <c r="D656" t="s">
        <v>718</v>
      </c>
      <c r="E656" t="s">
        <v>741</v>
      </c>
      <c r="F656" t="s">
        <v>171</v>
      </c>
      <c r="G656">
        <v>2025</v>
      </c>
      <c r="H656">
        <v>7</v>
      </c>
      <c r="I656">
        <v>19</v>
      </c>
      <c r="J656">
        <v>10561</v>
      </c>
      <c r="K656">
        <v>131</v>
      </c>
      <c r="L656">
        <v>0</v>
      </c>
      <c r="M656">
        <v>176</v>
      </c>
      <c r="N656">
        <v>2.2000000000000002</v>
      </c>
      <c r="O656">
        <v>9.3000000000000007</v>
      </c>
      <c r="P656">
        <v>152</v>
      </c>
      <c r="Q656">
        <v>24</v>
      </c>
    </row>
    <row r="657" spans="1:17" hidden="1" x14ac:dyDescent="0.45">
      <c r="A657">
        <v>1225007</v>
      </c>
      <c r="B657" t="s">
        <v>534</v>
      </c>
      <c r="C657" t="s">
        <v>1462</v>
      </c>
      <c r="D657" t="s">
        <v>718</v>
      </c>
      <c r="E657" t="s">
        <v>741</v>
      </c>
      <c r="F657" t="s">
        <v>171</v>
      </c>
      <c r="G657">
        <v>2025</v>
      </c>
      <c r="H657">
        <v>8</v>
      </c>
      <c r="I657">
        <v>13</v>
      </c>
      <c r="J657">
        <v>6887</v>
      </c>
      <c r="K657">
        <v>0</v>
      </c>
      <c r="L657">
        <v>0</v>
      </c>
      <c r="M657">
        <v>114.8</v>
      </c>
      <c r="N657">
        <v>0</v>
      </c>
      <c r="O657">
        <v>8.8000000000000007</v>
      </c>
      <c r="P657">
        <v>104</v>
      </c>
      <c r="Q657" s="1" t="s">
        <v>535</v>
      </c>
    </row>
    <row r="658" spans="1:17" hidden="1" x14ac:dyDescent="0.45">
      <c r="A658">
        <v>1225008</v>
      </c>
      <c r="B658" t="s">
        <v>536</v>
      </c>
      <c r="C658" t="s">
        <v>1462</v>
      </c>
      <c r="D658" t="s">
        <v>718</v>
      </c>
      <c r="E658" t="s">
        <v>741</v>
      </c>
      <c r="F658" t="s">
        <v>171</v>
      </c>
      <c r="G658">
        <v>2025</v>
      </c>
      <c r="H658">
        <v>6</v>
      </c>
      <c r="I658">
        <v>20</v>
      </c>
      <c r="J658">
        <v>12012</v>
      </c>
      <c r="K658">
        <v>1103</v>
      </c>
      <c r="L658">
        <v>1</v>
      </c>
      <c r="M658">
        <v>200.2</v>
      </c>
      <c r="N658">
        <v>18.399999999999999</v>
      </c>
      <c r="O658">
        <v>10</v>
      </c>
      <c r="P658">
        <v>152</v>
      </c>
      <c r="Q658" s="1" t="s">
        <v>537</v>
      </c>
    </row>
    <row r="659" spans="1:17" hidden="1" x14ac:dyDescent="0.45">
      <c r="A659">
        <v>1225008</v>
      </c>
      <c r="B659" t="s">
        <v>536</v>
      </c>
      <c r="C659" t="s">
        <v>1462</v>
      </c>
      <c r="D659" t="s">
        <v>718</v>
      </c>
      <c r="E659" t="s">
        <v>741</v>
      </c>
      <c r="F659" t="s">
        <v>171</v>
      </c>
      <c r="G659">
        <v>2025</v>
      </c>
      <c r="H659">
        <v>7</v>
      </c>
      <c r="I659">
        <v>18</v>
      </c>
      <c r="J659">
        <v>11059</v>
      </c>
      <c r="K659">
        <v>1124</v>
      </c>
      <c r="L659">
        <v>0</v>
      </c>
      <c r="M659">
        <v>184.3</v>
      </c>
      <c r="N659">
        <v>18.7</v>
      </c>
      <c r="O659">
        <v>10.199999999999999</v>
      </c>
      <c r="P659">
        <v>144</v>
      </c>
      <c r="Q659" s="1" t="s">
        <v>391</v>
      </c>
    </row>
    <row r="660" spans="1:17" hidden="1" x14ac:dyDescent="0.45">
      <c r="A660">
        <v>1225008</v>
      </c>
      <c r="B660" t="s">
        <v>536</v>
      </c>
      <c r="C660" t="s">
        <v>1462</v>
      </c>
      <c r="D660" t="s">
        <v>718</v>
      </c>
      <c r="E660" t="s">
        <v>741</v>
      </c>
      <c r="F660" t="s">
        <v>171</v>
      </c>
      <c r="G660">
        <v>2025</v>
      </c>
      <c r="H660">
        <v>8</v>
      </c>
      <c r="I660">
        <v>16</v>
      </c>
      <c r="J660">
        <v>9418</v>
      </c>
      <c r="K660">
        <v>996</v>
      </c>
      <c r="L660">
        <v>0</v>
      </c>
      <c r="M660">
        <v>157</v>
      </c>
      <c r="N660">
        <v>16.600000000000001</v>
      </c>
      <c r="O660">
        <v>9.8000000000000007</v>
      </c>
      <c r="P660">
        <v>128</v>
      </c>
      <c r="Q660">
        <v>29</v>
      </c>
    </row>
    <row r="661" spans="1:17" hidden="1" x14ac:dyDescent="0.45">
      <c r="A661">
        <v>1225009</v>
      </c>
      <c r="B661" t="s">
        <v>538</v>
      </c>
      <c r="C661" t="s">
        <v>1446</v>
      </c>
      <c r="D661" t="s">
        <v>1032</v>
      </c>
      <c r="E661" t="s">
        <v>1036</v>
      </c>
      <c r="F661" t="s">
        <v>116</v>
      </c>
      <c r="G661">
        <v>2025</v>
      </c>
      <c r="H661">
        <v>6</v>
      </c>
      <c r="I661">
        <v>18</v>
      </c>
      <c r="J661">
        <v>10139</v>
      </c>
      <c r="K661">
        <v>0</v>
      </c>
      <c r="L661">
        <v>0</v>
      </c>
      <c r="M661">
        <v>169</v>
      </c>
      <c r="N661">
        <v>0</v>
      </c>
      <c r="O661">
        <v>9.4</v>
      </c>
      <c r="P661">
        <v>144</v>
      </c>
      <c r="Q661">
        <v>25</v>
      </c>
    </row>
    <row r="662" spans="1:17" hidden="1" x14ac:dyDescent="0.45">
      <c r="A662">
        <v>1225009</v>
      </c>
      <c r="B662" t="s">
        <v>538</v>
      </c>
      <c r="C662" t="s">
        <v>1446</v>
      </c>
      <c r="D662" t="s">
        <v>1032</v>
      </c>
      <c r="E662" t="s">
        <v>1036</v>
      </c>
      <c r="F662" t="s">
        <v>116</v>
      </c>
      <c r="G662">
        <v>2025</v>
      </c>
      <c r="H662">
        <v>7</v>
      </c>
      <c r="I662">
        <v>18</v>
      </c>
      <c r="J662">
        <v>10254</v>
      </c>
      <c r="K662">
        <v>0</v>
      </c>
      <c r="L662">
        <v>0</v>
      </c>
      <c r="M662">
        <v>170.9</v>
      </c>
      <c r="N662">
        <v>0</v>
      </c>
      <c r="O662">
        <v>9.5</v>
      </c>
      <c r="P662">
        <v>144</v>
      </c>
      <c r="Q662" s="1" t="s">
        <v>539</v>
      </c>
    </row>
    <row r="663" spans="1:17" hidden="1" x14ac:dyDescent="0.45">
      <c r="A663">
        <v>1225009</v>
      </c>
      <c r="B663" t="s">
        <v>538</v>
      </c>
      <c r="C663" t="s">
        <v>1446</v>
      </c>
      <c r="D663" t="s">
        <v>1032</v>
      </c>
      <c r="E663" t="s">
        <v>1036</v>
      </c>
      <c r="F663" t="s">
        <v>116</v>
      </c>
      <c r="G663">
        <v>2025</v>
      </c>
      <c r="H663">
        <v>8</v>
      </c>
      <c r="I663">
        <v>16</v>
      </c>
      <c r="J663">
        <v>7904</v>
      </c>
      <c r="K663">
        <v>0</v>
      </c>
      <c r="L663">
        <v>0</v>
      </c>
      <c r="M663">
        <v>131.69999999999999</v>
      </c>
      <c r="N663">
        <v>0</v>
      </c>
      <c r="O663">
        <v>8.1999999999999993</v>
      </c>
      <c r="P663">
        <v>128</v>
      </c>
      <c r="Q663" s="1" t="s">
        <v>540</v>
      </c>
    </row>
    <row r="664" spans="1:17" hidden="1" x14ac:dyDescent="0.45">
      <c r="A664">
        <v>1225010</v>
      </c>
      <c r="B664" t="s">
        <v>541</v>
      </c>
      <c r="C664" t="s">
        <v>1449</v>
      </c>
      <c r="D664" t="s">
        <v>815</v>
      </c>
      <c r="E664" t="s">
        <v>819</v>
      </c>
      <c r="F664" t="s">
        <v>171</v>
      </c>
      <c r="G664">
        <v>2025</v>
      </c>
      <c r="H664">
        <v>6</v>
      </c>
      <c r="I664">
        <v>18</v>
      </c>
      <c r="J664">
        <v>10089</v>
      </c>
      <c r="K664">
        <v>0</v>
      </c>
      <c r="L664">
        <v>0</v>
      </c>
      <c r="M664">
        <v>168.2</v>
      </c>
      <c r="N664">
        <v>0</v>
      </c>
      <c r="O664">
        <v>9.3000000000000007</v>
      </c>
      <c r="P664">
        <v>144</v>
      </c>
      <c r="Q664" s="1" t="s">
        <v>542</v>
      </c>
    </row>
    <row r="665" spans="1:17" hidden="1" x14ac:dyDescent="0.45">
      <c r="A665">
        <v>1225010</v>
      </c>
      <c r="B665" t="s">
        <v>541</v>
      </c>
      <c r="C665" t="s">
        <v>1449</v>
      </c>
      <c r="D665" t="s">
        <v>815</v>
      </c>
      <c r="E665" t="s">
        <v>819</v>
      </c>
      <c r="F665" t="s">
        <v>171</v>
      </c>
      <c r="G665">
        <v>2025</v>
      </c>
      <c r="H665">
        <v>7</v>
      </c>
      <c r="I665">
        <v>19</v>
      </c>
      <c r="J665">
        <v>11030</v>
      </c>
      <c r="K665">
        <v>51</v>
      </c>
      <c r="L665">
        <v>0</v>
      </c>
      <c r="M665">
        <v>183.8</v>
      </c>
      <c r="N665">
        <v>0.8</v>
      </c>
      <c r="O665">
        <v>9.6999999999999993</v>
      </c>
      <c r="P665">
        <v>152</v>
      </c>
      <c r="Q665" s="1" t="s">
        <v>160</v>
      </c>
    </row>
    <row r="666" spans="1:17" hidden="1" x14ac:dyDescent="0.45">
      <c r="A666">
        <v>1225010</v>
      </c>
      <c r="B666" t="s">
        <v>541</v>
      </c>
      <c r="C666" t="s">
        <v>1449</v>
      </c>
      <c r="D666" t="s">
        <v>815</v>
      </c>
      <c r="E666" t="s">
        <v>819</v>
      </c>
      <c r="F666" t="s">
        <v>171</v>
      </c>
      <c r="G666">
        <v>2025</v>
      </c>
      <c r="H666">
        <v>8</v>
      </c>
      <c r="I666">
        <v>16</v>
      </c>
      <c r="J666">
        <v>8784</v>
      </c>
      <c r="K666">
        <v>0</v>
      </c>
      <c r="L666">
        <v>0</v>
      </c>
      <c r="M666">
        <v>146.4</v>
      </c>
      <c r="N666">
        <v>0</v>
      </c>
      <c r="O666">
        <v>9.1999999999999993</v>
      </c>
      <c r="P666">
        <v>128</v>
      </c>
      <c r="Q666" s="1" t="s">
        <v>446</v>
      </c>
    </row>
    <row r="667" spans="1:17" hidden="1" x14ac:dyDescent="0.45">
      <c r="A667">
        <v>1225011</v>
      </c>
      <c r="B667" t="s">
        <v>543</v>
      </c>
      <c r="C667" t="s">
        <v>1449</v>
      </c>
      <c r="D667" t="s">
        <v>815</v>
      </c>
      <c r="E667" t="s">
        <v>819</v>
      </c>
      <c r="F667" t="s">
        <v>116</v>
      </c>
      <c r="G667">
        <v>2025</v>
      </c>
      <c r="H667">
        <v>6</v>
      </c>
      <c r="I667">
        <v>17</v>
      </c>
      <c r="J667">
        <v>4008</v>
      </c>
      <c r="K667">
        <v>0</v>
      </c>
      <c r="L667">
        <v>0</v>
      </c>
      <c r="M667">
        <v>66.8</v>
      </c>
      <c r="N667">
        <v>0</v>
      </c>
      <c r="O667">
        <v>3.9</v>
      </c>
      <c r="P667">
        <v>136</v>
      </c>
      <c r="Q667">
        <v>-69.2</v>
      </c>
    </row>
    <row r="668" spans="1:17" hidden="1" x14ac:dyDescent="0.45">
      <c r="A668">
        <v>1225011</v>
      </c>
      <c r="B668" t="s">
        <v>543</v>
      </c>
      <c r="C668" t="s">
        <v>1449</v>
      </c>
      <c r="D668" t="s">
        <v>815</v>
      </c>
      <c r="E668" t="s">
        <v>819</v>
      </c>
      <c r="F668" t="s">
        <v>116</v>
      </c>
      <c r="G668">
        <v>2025</v>
      </c>
      <c r="H668">
        <v>7</v>
      </c>
      <c r="I668">
        <v>16</v>
      </c>
      <c r="J668">
        <v>4264</v>
      </c>
      <c r="K668">
        <v>0</v>
      </c>
      <c r="L668">
        <v>0</v>
      </c>
      <c r="M668">
        <v>71.099999999999994</v>
      </c>
      <c r="N668">
        <v>0</v>
      </c>
      <c r="O668">
        <v>4.4000000000000004</v>
      </c>
      <c r="P668">
        <v>128</v>
      </c>
      <c r="Q668">
        <v>-56.9</v>
      </c>
    </row>
    <row r="669" spans="1:17" hidden="1" x14ac:dyDescent="0.45">
      <c r="A669">
        <v>1225011</v>
      </c>
      <c r="B669" t="s">
        <v>543</v>
      </c>
      <c r="C669" t="s">
        <v>1449</v>
      </c>
      <c r="D669" t="s">
        <v>815</v>
      </c>
      <c r="E669" t="s">
        <v>819</v>
      </c>
      <c r="F669" t="s">
        <v>116</v>
      </c>
      <c r="G669">
        <v>2025</v>
      </c>
      <c r="H669">
        <v>8</v>
      </c>
      <c r="I669">
        <v>12</v>
      </c>
      <c r="J669">
        <v>2605</v>
      </c>
      <c r="K669">
        <v>0</v>
      </c>
      <c r="L669">
        <v>1</v>
      </c>
      <c r="M669">
        <v>43.4</v>
      </c>
      <c r="N669">
        <v>0</v>
      </c>
      <c r="O669">
        <v>3.6</v>
      </c>
      <c r="P669">
        <v>88</v>
      </c>
      <c r="Q669">
        <v>-44.6</v>
      </c>
    </row>
    <row r="670" spans="1:17" hidden="1" x14ac:dyDescent="0.45">
      <c r="A670">
        <v>1225012</v>
      </c>
      <c r="B670" t="s">
        <v>544</v>
      </c>
      <c r="C670" t="s">
        <v>1455</v>
      </c>
      <c r="D670" t="s">
        <v>921</v>
      </c>
      <c r="E670" t="s">
        <v>922</v>
      </c>
      <c r="F670" t="s">
        <v>116</v>
      </c>
      <c r="G670">
        <v>2025</v>
      </c>
      <c r="H670">
        <v>6</v>
      </c>
      <c r="I670">
        <v>17</v>
      </c>
      <c r="J670">
        <v>8555</v>
      </c>
      <c r="K670">
        <v>388</v>
      </c>
      <c r="L670">
        <v>0</v>
      </c>
      <c r="M670">
        <v>142.6</v>
      </c>
      <c r="N670">
        <v>6.5</v>
      </c>
      <c r="O670">
        <v>8.4</v>
      </c>
      <c r="P670">
        <v>136</v>
      </c>
      <c r="Q670" s="1" t="s">
        <v>545</v>
      </c>
    </row>
    <row r="671" spans="1:17" hidden="1" x14ac:dyDescent="0.45">
      <c r="A671">
        <v>1225012</v>
      </c>
      <c r="B671" t="s">
        <v>544</v>
      </c>
      <c r="C671" t="s">
        <v>1455</v>
      </c>
      <c r="D671" t="s">
        <v>921</v>
      </c>
      <c r="E671" t="s">
        <v>922</v>
      </c>
      <c r="F671" t="s">
        <v>116</v>
      </c>
      <c r="G671">
        <v>2025</v>
      </c>
      <c r="H671">
        <v>7</v>
      </c>
      <c r="I671">
        <v>18</v>
      </c>
      <c r="J671">
        <v>10547</v>
      </c>
      <c r="K671">
        <v>559</v>
      </c>
      <c r="L671">
        <v>0</v>
      </c>
      <c r="M671">
        <v>175.8</v>
      </c>
      <c r="N671">
        <v>9.3000000000000007</v>
      </c>
      <c r="O671">
        <v>9.8000000000000007</v>
      </c>
      <c r="P671">
        <v>144</v>
      </c>
      <c r="Q671" s="1" t="s">
        <v>160</v>
      </c>
    </row>
    <row r="672" spans="1:17" hidden="1" x14ac:dyDescent="0.45">
      <c r="A672">
        <v>1225012</v>
      </c>
      <c r="B672" t="s">
        <v>544</v>
      </c>
      <c r="C672" t="s">
        <v>1455</v>
      </c>
      <c r="D672" t="s">
        <v>921</v>
      </c>
      <c r="E672" t="s">
        <v>922</v>
      </c>
      <c r="F672" t="s">
        <v>116</v>
      </c>
      <c r="G672">
        <v>2025</v>
      </c>
      <c r="H672">
        <v>8</v>
      </c>
      <c r="I672">
        <v>16</v>
      </c>
      <c r="J672">
        <v>9424</v>
      </c>
      <c r="K672">
        <v>822</v>
      </c>
      <c r="L672">
        <v>0</v>
      </c>
      <c r="M672">
        <v>157.1</v>
      </c>
      <c r="N672">
        <v>13.7</v>
      </c>
      <c r="O672">
        <v>9.8000000000000007</v>
      </c>
      <c r="P672">
        <v>128</v>
      </c>
      <c r="Q672" s="1" t="s">
        <v>546</v>
      </c>
    </row>
    <row r="673" spans="1:17" hidden="1" x14ac:dyDescent="0.45">
      <c r="A673">
        <v>1225013</v>
      </c>
      <c r="B673" t="s">
        <v>547</v>
      </c>
      <c r="C673" t="s">
        <v>1448</v>
      </c>
      <c r="D673" t="s">
        <v>884</v>
      </c>
      <c r="E673" t="s">
        <v>887</v>
      </c>
      <c r="F673" t="s">
        <v>116</v>
      </c>
      <c r="G673">
        <v>2025</v>
      </c>
      <c r="H673">
        <v>6</v>
      </c>
      <c r="I673">
        <v>21</v>
      </c>
      <c r="J673">
        <v>12844</v>
      </c>
      <c r="K673">
        <v>124</v>
      </c>
      <c r="L673">
        <v>1</v>
      </c>
      <c r="M673">
        <v>214.1</v>
      </c>
      <c r="N673">
        <v>2.1</v>
      </c>
      <c r="O673">
        <v>10.199999999999999</v>
      </c>
      <c r="P673">
        <v>160</v>
      </c>
      <c r="Q673" s="1" t="s">
        <v>291</v>
      </c>
    </row>
    <row r="674" spans="1:17" hidden="1" x14ac:dyDescent="0.45">
      <c r="A674">
        <v>1225013</v>
      </c>
      <c r="B674" t="s">
        <v>547</v>
      </c>
      <c r="C674" t="s">
        <v>1448</v>
      </c>
      <c r="D674" t="s">
        <v>884</v>
      </c>
      <c r="E674" t="s">
        <v>887</v>
      </c>
      <c r="F674" t="s">
        <v>116</v>
      </c>
      <c r="G674">
        <v>2025</v>
      </c>
      <c r="H674">
        <v>7</v>
      </c>
      <c r="I674">
        <v>19</v>
      </c>
      <c r="J674">
        <v>9879</v>
      </c>
      <c r="K674">
        <v>0</v>
      </c>
      <c r="L674">
        <v>0</v>
      </c>
      <c r="M674">
        <v>164.6</v>
      </c>
      <c r="N674">
        <v>0</v>
      </c>
      <c r="O674">
        <v>8.6999999999999993</v>
      </c>
      <c r="P674">
        <v>152</v>
      </c>
      <c r="Q674" s="1" t="s">
        <v>491</v>
      </c>
    </row>
    <row r="675" spans="1:17" hidden="1" x14ac:dyDescent="0.45">
      <c r="A675">
        <v>1225013</v>
      </c>
      <c r="B675" t="s">
        <v>547</v>
      </c>
      <c r="C675" t="s">
        <v>1448</v>
      </c>
      <c r="D675" t="s">
        <v>884</v>
      </c>
      <c r="E675" t="s">
        <v>887</v>
      </c>
      <c r="F675" t="s">
        <v>116</v>
      </c>
      <c r="G675">
        <v>2025</v>
      </c>
      <c r="H675">
        <v>8</v>
      </c>
      <c r="I675">
        <v>16</v>
      </c>
      <c r="J675">
        <v>8317</v>
      </c>
      <c r="K675">
        <v>0</v>
      </c>
      <c r="L675">
        <v>0</v>
      </c>
      <c r="M675">
        <v>138.6</v>
      </c>
      <c r="N675">
        <v>0</v>
      </c>
      <c r="O675">
        <v>8.6999999999999993</v>
      </c>
      <c r="P675">
        <v>128</v>
      </c>
      <c r="Q675" s="1" t="s">
        <v>548</v>
      </c>
    </row>
    <row r="676" spans="1:17" hidden="1" x14ac:dyDescent="0.45">
      <c r="A676">
        <v>1225014</v>
      </c>
      <c r="B676" t="s">
        <v>549</v>
      </c>
      <c r="C676" t="s">
        <v>1454</v>
      </c>
      <c r="D676" t="s">
        <v>884</v>
      </c>
      <c r="E676" t="s">
        <v>885</v>
      </c>
      <c r="F676" t="s">
        <v>116</v>
      </c>
      <c r="G676">
        <v>2025</v>
      </c>
      <c r="H676">
        <v>6</v>
      </c>
      <c r="I676">
        <v>19</v>
      </c>
      <c r="J676">
        <v>10258</v>
      </c>
      <c r="K676">
        <v>67</v>
      </c>
      <c r="L676">
        <v>0</v>
      </c>
      <c r="M676">
        <v>171</v>
      </c>
      <c r="N676">
        <v>1.1000000000000001</v>
      </c>
      <c r="O676">
        <v>9</v>
      </c>
      <c r="P676">
        <v>152</v>
      </c>
      <c r="Q676">
        <v>19</v>
      </c>
    </row>
    <row r="677" spans="1:17" hidden="1" x14ac:dyDescent="0.45">
      <c r="A677">
        <v>1225014</v>
      </c>
      <c r="B677" t="s">
        <v>549</v>
      </c>
      <c r="C677" t="s">
        <v>1454</v>
      </c>
      <c r="D677" t="s">
        <v>884</v>
      </c>
      <c r="E677" t="s">
        <v>885</v>
      </c>
      <c r="F677" t="s">
        <v>116</v>
      </c>
      <c r="G677">
        <v>2025</v>
      </c>
      <c r="H677">
        <v>7</v>
      </c>
      <c r="I677">
        <v>18</v>
      </c>
      <c r="J677">
        <v>10274</v>
      </c>
      <c r="K677">
        <v>82</v>
      </c>
      <c r="L677">
        <v>1</v>
      </c>
      <c r="M677">
        <v>171.2</v>
      </c>
      <c r="N677">
        <v>1.4</v>
      </c>
      <c r="O677">
        <v>9.5</v>
      </c>
      <c r="P677">
        <v>136</v>
      </c>
      <c r="Q677" s="1" t="s">
        <v>550</v>
      </c>
    </row>
    <row r="678" spans="1:17" hidden="1" x14ac:dyDescent="0.45">
      <c r="A678">
        <v>1225014</v>
      </c>
      <c r="B678" t="s">
        <v>549</v>
      </c>
      <c r="C678" t="s">
        <v>1454</v>
      </c>
      <c r="D678" t="s">
        <v>884</v>
      </c>
      <c r="E678" t="s">
        <v>885</v>
      </c>
      <c r="F678" t="s">
        <v>116</v>
      </c>
      <c r="G678">
        <v>2025</v>
      </c>
      <c r="H678">
        <v>8</v>
      </c>
      <c r="I678">
        <v>17</v>
      </c>
      <c r="J678">
        <v>9544</v>
      </c>
      <c r="K678">
        <v>575</v>
      </c>
      <c r="L678">
        <v>1</v>
      </c>
      <c r="M678">
        <v>159.1</v>
      </c>
      <c r="N678">
        <v>9.6</v>
      </c>
      <c r="O678">
        <v>9.4</v>
      </c>
      <c r="P678">
        <v>128</v>
      </c>
      <c r="Q678" s="1" t="s">
        <v>314</v>
      </c>
    </row>
    <row r="679" spans="1:17" hidden="1" x14ac:dyDescent="0.45">
      <c r="A679">
        <v>1225015</v>
      </c>
      <c r="B679" t="s">
        <v>551</v>
      </c>
      <c r="C679" t="s">
        <v>1446</v>
      </c>
      <c r="D679" t="s">
        <v>1032</v>
      </c>
      <c r="E679" t="s">
        <v>1036</v>
      </c>
      <c r="F679" t="s">
        <v>171</v>
      </c>
      <c r="G679">
        <v>2025</v>
      </c>
      <c r="H679">
        <v>6</v>
      </c>
      <c r="I679">
        <v>18</v>
      </c>
      <c r="J679">
        <v>9474</v>
      </c>
      <c r="K679">
        <v>0</v>
      </c>
      <c r="L679">
        <v>0</v>
      </c>
      <c r="M679">
        <v>157.9</v>
      </c>
      <c r="N679">
        <v>0</v>
      </c>
      <c r="O679">
        <v>8.8000000000000007</v>
      </c>
      <c r="P679">
        <v>144</v>
      </c>
      <c r="Q679" s="1" t="s">
        <v>552</v>
      </c>
    </row>
    <row r="680" spans="1:17" hidden="1" x14ac:dyDescent="0.45">
      <c r="A680">
        <v>1225015</v>
      </c>
      <c r="B680" t="s">
        <v>551</v>
      </c>
      <c r="C680" t="s">
        <v>1446</v>
      </c>
      <c r="D680" t="s">
        <v>1032</v>
      </c>
      <c r="E680" t="s">
        <v>1036</v>
      </c>
      <c r="F680" t="s">
        <v>171</v>
      </c>
      <c r="G680">
        <v>2025</v>
      </c>
      <c r="H680">
        <v>7</v>
      </c>
      <c r="I680">
        <v>18</v>
      </c>
      <c r="J680">
        <v>10029</v>
      </c>
      <c r="K680">
        <v>0</v>
      </c>
      <c r="L680">
        <v>0</v>
      </c>
      <c r="M680">
        <v>167.2</v>
      </c>
      <c r="N680">
        <v>0</v>
      </c>
      <c r="O680">
        <v>9.3000000000000007</v>
      </c>
      <c r="P680">
        <v>144</v>
      </c>
      <c r="Q680" s="1" t="s">
        <v>113</v>
      </c>
    </row>
    <row r="681" spans="1:17" hidden="1" x14ac:dyDescent="0.45">
      <c r="A681">
        <v>1225015</v>
      </c>
      <c r="B681" t="s">
        <v>551</v>
      </c>
      <c r="C681" t="s">
        <v>1446</v>
      </c>
      <c r="D681" t="s">
        <v>1032</v>
      </c>
      <c r="E681" t="s">
        <v>1036</v>
      </c>
      <c r="F681" t="s">
        <v>171</v>
      </c>
      <c r="G681">
        <v>2025</v>
      </c>
      <c r="H681">
        <v>8</v>
      </c>
      <c r="I681">
        <v>16</v>
      </c>
      <c r="J681">
        <v>13926</v>
      </c>
      <c r="K681">
        <v>0</v>
      </c>
      <c r="L681">
        <v>1</v>
      </c>
      <c r="M681">
        <v>232.1</v>
      </c>
      <c r="N681">
        <v>0</v>
      </c>
      <c r="O681">
        <v>14.5</v>
      </c>
      <c r="P681">
        <v>120</v>
      </c>
      <c r="Q681">
        <v>112.1</v>
      </c>
    </row>
    <row r="682" spans="1:17" hidden="1" x14ac:dyDescent="0.45">
      <c r="A682">
        <v>1225035</v>
      </c>
      <c r="B682" t="s">
        <v>553</v>
      </c>
      <c r="C682" t="s">
        <v>1473</v>
      </c>
      <c r="D682" t="s">
        <v>718</v>
      </c>
      <c r="E682" t="s">
        <v>746</v>
      </c>
      <c r="F682" t="s">
        <v>116</v>
      </c>
      <c r="G682">
        <v>2025</v>
      </c>
      <c r="H682">
        <v>6</v>
      </c>
      <c r="I682">
        <v>20</v>
      </c>
      <c r="J682">
        <v>11462</v>
      </c>
      <c r="K682">
        <v>545</v>
      </c>
      <c r="L682">
        <v>1</v>
      </c>
      <c r="M682">
        <v>191</v>
      </c>
      <c r="N682">
        <v>9.1</v>
      </c>
      <c r="O682">
        <v>9.6</v>
      </c>
      <c r="P682">
        <v>152</v>
      </c>
      <c r="Q682">
        <v>39</v>
      </c>
    </row>
    <row r="683" spans="1:17" hidden="1" x14ac:dyDescent="0.45">
      <c r="A683">
        <v>1225035</v>
      </c>
      <c r="B683" t="s">
        <v>553</v>
      </c>
      <c r="C683" t="s">
        <v>1473</v>
      </c>
      <c r="D683" t="s">
        <v>718</v>
      </c>
      <c r="E683" t="s">
        <v>746</v>
      </c>
      <c r="F683" t="s">
        <v>116</v>
      </c>
      <c r="G683">
        <v>2025</v>
      </c>
      <c r="H683">
        <v>7</v>
      </c>
      <c r="I683">
        <v>21</v>
      </c>
      <c r="J683">
        <v>12486</v>
      </c>
      <c r="K683">
        <v>485</v>
      </c>
      <c r="L683">
        <v>2</v>
      </c>
      <c r="M683">
        <v>208.1</v>
      </c>
      <c r="N683">
        <v>8.1</v>
      </c>
      <c r="O683">
        <v>9.9</v>
      </c>
      <c r="P683">
        <v>152</v>
      </c>
      <c r="Q683" s="1" t="s">
        <v>554</v>
      </c>
    </row>
    <row r="684" spans="1:17" hidden="1" x14ac:dyDescent="0.45">
      <c r="A684">
        <v>1225035</v>
      </c>
      <c r="B684" t="s">
        <v>553</v>
      </c>
      <c r="C684" t="s">
        <v>1473</v>
      </c>
      <c r="D684" t="s">
        <v>718</v>
      </c>
      <c r="E684" t="s">
        <v>746</v>
      </c>
      <c r="F684" t="s">
        <v>116</v>
      </c>
      <c r="G684">
        <v>2025</v>
      </c>
      <c r="H684">
        <v>8</v>
      </c>
      <c r="I684">
        <v>19</v>
      </c>
      <c r="J684">
        <v>8393</v>
      </c>
      <c r="K684">
        <v>259</v>
      </c>
      <c r="L684">
        <v>3</v>
      </c>
      <c r="M684">
        <v>139.9</v>
      </c>
      <c r="N684">
        <v>4.3</v>
      </c>
      <c r="O684">
        <v>7.4</v>
      </c>
      <c r="P684">
        <v>128</v>
      </c>
      <c r="Q684" s="1" t="s">
        <v>30</v>
      </c>
    </row>
    <row r="685" spans="1:17" hidden="1" x14ac:dyDescent="0.45">
      <c r="A685">
        <v>1225037</v>
      </c>
      <c r="B685" t="s">
        <v>555</v>
      </c>
      <c r="C685" t="s">
        <v>1472</v>
      </c>
      <c r="D685" t="s">
        <v>1032</v>
      </c>
      <c r="E685" t="s">
        <v>1034</v>
      </c>
      <c r="F685" t="s">
        <v>116</v>
      </c>
      <c r="G685">
        <v>2025</v>
      </c>
      <c r="H685">
        <v>6</v>
      </c>
      <c r="I685">
        <v>16</v>
      </c>
      <c r="J685">
        <v>9591</v>
      </c>
      <c r="K685">
        <v>0</v>
      </c>
      <c r="L685">
        <v>0</v>
      </c>
      <c r="M685">
        <v>159.80000000000001</v>
      </c>
      <c r="N685">
        <v>0</v>
      </c>
      <c r="O685">
        <v>10</v>
      </c>
      <c r="P685">
        <v>128</v>
      </c>
      <c r="Q685" s="1" t="s">
        <v>160</v>
      </c>
    </row>
    <row r="686" spans="1:17" hidden="1" x14ac:dyDescent="0.45">
      <c r="A686">
        <v>1225037</v>
      </c>
      <c r="B686" t="s">
        <v>555</v>
      </c>
      <c r="C686" t="s">
        <v>1472</v>
      </c>
      <c r="D686" t="s">
        <v>1032</v>
      </c>
      <c r="E686" t="s">
        <v>1034</v>
      </c>
      <c r="F686" t="s">
        <v>116</v>
      </c>
      <c r="G686">
        <v>2025</v>
      </c>
      <c r="H686">
        <v>7</v>
      </c>
      <c r="I686">
        <v>16</v>
      </c>
      <c r="J686">
        <v>10073</v>
      </c>
      <c r="K686">
        <v>0</v>
      </c>
      <c r="L686">
        <v>0</v>
      </c>
      <c r="M686">
        <v>167.9</v>
      </c>
      <c r="N686">
        <v>0</v>
      </c>
      <c r="O686">
        <v>10.5</v>
      </c>
      <c r="P686">
        <v>128</v>
      </c>
      <c r="Q686" s="1" t="s">
        <v>189</v>
      </c>
    </row>
    <row r="687" spans="1:17" hidden="1" x14ac:dyDescent="0.45">
      <c r="A687">
        <v>1225037</v>
      </c>
      <c r="B687" t="s">
        <v>555</v>
      </c>
      <c r="C687" t="s">
        <v>1472</v>
      </c>
      <c r="D687" t="s">
        <v>1032</v>
      </c>
      <c r="E687" t="s">
        <v>1034</v>
      </c>
      <c r="F687" t="s">
        <v>116</v>
      </c>
      <c r="G687">
        <v>2025</v>
      </c>
      <c r="H687">
        <v>8</v>
      </c>
      <c r="I687">
        <v>15</v>
      </c>
      <c r="J687">
        <v>7590</v>
      </c>
      <c r="K687">
        <v>0</v>
      </c>
      <c r="L687">
        <v>2</v>
      </c>
      <c r="M687">
        <v>126.5</v>
      </c>
      <c r="N687">
        <v>0</v>
      </c>
      <c r="O687">
        <v>8.4</v>
      </c>
      <c r="P687">
        <v>104</v>
      </c>
      <c r="Q687">
        <v>22.5</v>
      </c>
    </row>
    <row r="688" spans="1:17" hidden="1" x14ac:dyDescent="0.45">
      <c r="A688">
        <v>1225044</v>
      </c>
      <c r="B688" t="s">
        <v>556</v>
      </c>
      <c r="C688" t="s">
        <v>1473</v>
      </c>
      <c r="D688" t="s">
        <v>718</v>
      </c>
      <c r="E688" t="s">
        <v>746</v>
      </c>
      <c r="F688" t="s">
        <v>171</v>
      </c>
      <c r="G688">
        <v>2025</v>
      </c>
      <c r="H688">
        <v>6</v>
      </c>
      <c r="I688">
        <v>6</v>
      </c>
      <c r="J688">
        <v>2216</v>
      </c>
      <c r="K688">
        <v>0</v>
      </c>
      <c r="L688">
        <v>0</v>
      </c>
      <c r="M688">
        <v>36.9</v>
      </c>
      <c r="N688">
        <v>0</v>
      </c>
      <c r="O688">
        <v>6.1</v>
      </c>
      <c r="P688">
        <v>48</v>
      </c>
      <c r="Q688">
        <v>-11.1</v>
      </c>
    </row>
    <row r="689" spans="1:17" hidden="1" x14ac:dyDescent="0.45">
      <c r="A689">
        <v>1225044</v>
      </c>
      <c r="B689" t="s">
        <v>556</v>
      </c>
      <c r="C689" t="s">
        <v>1473</v>
      </c>
      <c r="D689" t="s">
        <v>718</v>
      </c>
      <c r="E689" t="s">
        <v>746</v>
      </c>
      <c r="F689" t="s">
        <v>171</v>
      </c>
      <c r="G689">
        <v>2025</v>
      </c>
      <c r="H689">
        <v>7</v>
      </c>
      <c r="I689">
        <v>5</v>
      </c>
      <c r="J689">
        <v>662</v>
      </c>
      <c r="K689">
        <v>0</v>
      </c>
      <c r="L689">
        <v>0</v>
      </c>
      <c r="M689">
        <v>11</v>
      </c>
      <c r="N689">
        <v>0</v>
      </c>
      <c r="O689">
        <v>2.2000000000000002</v>
      </c>
      <c r="P689">
        <v>40</v>
      </c>
      <c r="Q689">
        <v>-29</v>
      </c>
    </row>
    <row r="690" spans="1:17" hidden="1" x14ac:dyDescent="0.45">
      <c r="A690">
        <v>1225046</v>
      </c>
      <c r="B690" t="s">
        <v>557</v>
      </c>
      <c r="C690" t="s">
        <v>1466</v>
      </c>
      <c r="D690" t="s">
        <v>718</v>
      </c>
      <c r="E690" t="s">
        <v>739</v>
      </c>
      <c r="F690" t="s">
        <v>171</v>
      </c>
      <c r="G690">
        <v>2025</v>
      </c>
      <c r="H690">
        <v>6</v>
      </c>
      <c r="I690">
        <v>13</v>
      </c>
      <c r="J690">
        <v>6768</v>
      </c>
      <c r="K690">
        <v>57</v>
      </c>
      <c r="L690">
        <v>0</v>
      </c>
      <c r="M690">
        <v>112.8</v>
      </c>
      <c r="N690">
        <v>1</v>
      </c>
      <c r="O690">
        <v>8.6999999999999993</v>
      </c>
      <c r="P690">
        <v>104</v>
      </c>
      <c r="Q690" s="1" t="s">
        <v>558</v>
      </c>
    </row>
    <row r="691" spans="1:17" hidden="1" x14ac:dyDescent="0.45">
      <c r="A691">
        <v>1225046</v>
      </c>
      <c r="B691" t="s">
        <v>557</v>
      </c>
      <c r="C691" t="s">
        <v>1466</v>
      </c>
      <c r="D691" t="s">
        <v>718</v>
      </c>
      <c r="E691" t="s">
        <v>739</v>
      </c>
      <c r="F691" t="s">
        <v>171</v>
      </c>
      <c r="G691">
        <v>2025</v>
      </c>
      <c r="H691">
        <v>7</v>
      </c>
      <c r="I691">
        <v>18</v>
      </c>
      <c r="J691">
        <v>9870</v>
      </c>
      <c r="K691">
        <v>163</v>
      </c>
      <c r="L691">
        <v>0</v>
      </c>
      <c r="M691">
        <v>164.5</v>
      </c>
      <c r="N691">
        <v>2.7</v>
      </c>
      <c r="O691">
        <v>9.1</v>
      </c>
      <c r="P691">
        <v>144</v>
      </c>
      <c r="Q691">
        <v>20.5</v>
      </c>
    </row>
    <row r="692" spans="1:17" hidden="1" x14ac:dyDescent="0.45">
      <c r="A692">
        <v>1225046</v>
      </c>
      <c r="B692" t="s">
        <v>557</v>
      </c>
      <c r="C692" t="s">
        <v>1466</v>
      </c>
      <c r="D692" t="s">
        <v>718</v>
      </c>
      <c r="E692" t="s">
        <v>739</v>
      </c>
      <c r="F692" t="s">
        <v>171</v>
      </c>
      <c r="G692">
        <v>2025</v>
      </c>
      <c r="H692">
        <v>8</v>
      </c>
      <c r="I692">
        <v>12</v>
      </c>
      <c r="J692">
        <v>5812</v>
      </c>
      <c r="K692">
        <v>0</v>
      </c>
      <c r="L692">
        <v>0</v>
      </c>
      <c r="M692">
        <v>96.9</v>
      </c>
      <c r="N692">
        <v>0</v>
      </c>
      <c r="O692">
        <v>8.1</v>
      </c>
      <c r="P692">
        <v>96</v>
      </c>
      <c r="Q692" s="1" t="s">
        <v>559</v>
      </c>
    </row>
    <row r="693" spans="1:17" hidden="1" x14ac:dyDescent="0.45">
      <c r="A693">
        <v>1225051</v>
      </c>
      <c r="B693" t="s">
        <v>560</v>
      </c>
      <c r="C693" t="s">
        <v>1444</v>
      </c>
      <c r="D693" t="s">
        <v>718</v>
      </c>
      <c r="E693" t="s">
        <v>731</v>
      </c>
      <c r="F693" t="s">
        <v>116</v>
      </c>
      <c r="G693">
        <v>2025</v>
      </c>
      <c r="H693">
        <v>6</v>
      </c>
      <c r="I693">
        <v>16</v>
      </c>
      <c r="J693">
        <v>5790</v>
      </c>
      <c r="K693">
        <v>0</v>
      </c>
      <c r="L693">
        <v>0</v>
      </c>
      <c r="M693">
        <v>96.5</v>
      </c>
      <c r="N693">
        <v>0</v>
      </c>
      <c r="O693">
        <v>6</v>
      </c>
      <c r="P693">
        <v>128</v>
      </c>
      <c r="Q693">
        <v>-31.5</v>
      </c>
    </row>
    <row r="694" spans="1:17" hidden="1" x14ac:dyDescent="0.45">
      <c r="A694">
        <v>1225051</v>
      </c>
      <c r="B694" t="s">
        <v>560</v>
      </c>
      <c r="C694" t="s">
        <v>1444</v>
      </c>
      <c r="D694" t="s">
        <v>718</v>
      </c>
      <c r="E694" t="s">
        <v>731</v>
      </c>
      <c r="F694" t="s">
        <v>116</v>
      </c>
      <c r="G694">
        <v>2025</v>
      </c>
      <c r="H694">
        <v>7</v>
      </c>
      <c r="I694">
        <v>19</v>
      </c>
      <c r="J694">
        <v>10399</v>
      </c>
      <c r="K694">
        <v>0</v>
      </c>
      <c r="L694">
        <v>0</v>
      </c>
      <c r="M694">
        <v>173.3</v>
      </c>
      <c r="N694">
        <v>0</v>
      </c>
      <c r="O694">
        <v>9.1</v>
      </c>
      <c r="P694">
        <v>152</v>
      </c>
      <c r="Q694" s="1" t="s">
        <v>220</v>
      </c>
    </row>
    <row r="695" spans="1:17" hidden="1" x14ac:dyDescent="0.45">
      <c r="A695">
        <v>1225051</v>
      </c>
      <c r="B695" t="s">
        <v>560</v>
      </c>
      <c r="C695" t="s">
        <v>1444</v>
      </c>
      <c r="D695" t="s">
        <v>718</v>
      </c>
      <c r="E695" t="s">
        <v>731</v>
      </c>
      <c r="F695" t="s">
        <v>116</v>
      </c>
      <c r="G695">
        <v>2025</v>
      </c>
      <c r="H695">
        <v>8</v>
      </c>
      <c r="I695">
        <v>13</v>
      </c>
      <c r="J695">
        <v>6811</v>
      </c>
      <c r="K695">
        <v>82</v>
      </c>
      <c r="L695">
        <v>0</v>
      </c>
      <c r="M695">
        <v>113.5</v>
      </c>
      <c r="N695">
        <v>1.4</v>
      </c>
      <c r="O695">
        <v>8.6999999999999993</v>
      </c>
      <c r="P695">
        <v>104</v>
      </c>
      <c r="Q695">
        <v>9.5</v>
      </c>
    </row>
    <row r="696" spans="1:17" hidden="1" x14ac:dyDescent="0.45">
      <c r="A696">
        <v>1225053</v>
      </c>
      <c r="B696" t="s">
        <v>561</v>
      </c>
      <c r="C696" t="s">
        <v>1452</v>
      </c>
      <c r="D696" t="s">
        <v>954</v>
      </c>
      <c r="E696" t="s">
        <v>958</v>
      </c>
      <c r="F696" t="s">
        <v>171</v>
      </c>
      <c r="G696">
        <v>2025</v>
      </c>
      <c r="H696">
        <v>7</v>
      </c>
      <c r="I696">
        <v>13</v>
      </c>
      <c r="J696">
        <v>7669</v>
      </c>
      <c r="K696">
        <v>354</v>
      </c>
      <c r="L696">
        <v>0</v>
      </c>
      <c r="M696">
        <v>127.8</v>
      </c>
      <c r="N696">
        <v>5.9</v>
      </c>
      <c r="O696">
        <v>9.8000000000000007</v>
      </c>
      <c r="P696">
        <v>104</v>
      </c>
      <c r="Q696" s="1" t="s">
        <v>562</v>
      </c>
    </row>
    <row r="697" spans="1:17" hidden="1" x14ac:dyDescent="0.45">
      <c r="A697">
        <v>1225053</v>
      </c>
      <c r="B697" t="s">
        <v>561</v>
      </c>
      <c r="C697" t="s">
        <v>1452</v>
      </c>
      <c r="D697" t="s">
        <v>954</v>
      </c>
      <c r="E697" t="s">
        <v>958</v>
      </c>
      <c r="F697" t="s">
        <v>171</v>
      </c>
      <c r="G697">
        <v>2025</v>
      </c>
      <c r="H697">
        <v>8</v>
      </c>
      <c r="I697">
        <v>14</v>
      </c>
      <c r="J697">
        <v>7360</v>
      </c>
      <c r="K697">
        <v>324</v>
      </c>
      <c r="L697">
        <v>0</v>
      </c>
      <c r="M697">
        <v>122.7</v>
      </c>
      <c r="N697">
        <v>5.4</v>
      </c>
      <c r="O697">
        <v>8.8000000000000007</v>
      </c>
      <c r="P697">
        <v>112</v>
      </c>
      <c r="Q697" s="1" t="s">
        <v>563</v>
      </c>
    </row>
    <row r="698" spans="1:17" hidden="1" x14ac:dyDescent="0.45">
      <c r="A698">
        <v>1225054</v>
      </c>
      <c r="B698" t="s">
        <v>564</v>
      </c>
      <c r="C698" t="s">
        <v>1469</v>
      </c>
      <c r="D698" t="s">
        <v>815</v>
      </c>
      <c r="E698" t="s">
        <v>823</v>
      </c>
      <c r="F698" t="s">
        <v>116</v>
      </c>
      <c r="G698">
        <v>2025</v>
      </c>
      <c r="H698">
        <v>6</v>
      </c>
      <c r="I698">
        <v>17</v>
      </c>
      <c r="J698">
        <v>9717</v>
      </c>
      <c r="K698">
        <v>0</v>
      </c>
      <c r="L698">
        <v>0</v>
      </c>
      <c r="M698">
        <v>162</v>
      </c>
      <c r="N698">
        <v>0</v>
      </c>
      <c r="O698">
        <v>9.5</v>
      </c>
      <c r="P698">
        <v>136</v>
      </c>
      <c r="Q698">
        <v>26</v>
      </c>
    </row>
    <row r="699" spans="1:17" hidden="1" x14ac:dyDescent="0.45">
      <c r="A699">
        <v>1225054</v>
      </c>
      <c r="B699" t="s">
        <v>564</v>
      </c>
      <c r="C699" t="s">
        <v>1469</v>
      </c>
      <c r="D699" t="s">
        <v>815</v>
      </c>
      <c r="E699" t="s">
        <v>823</v>
      </c>
      <c r="F699" t="s">
        <v>116</v>
      </c>
      <c r="G699">
        <v>2025</v>
      </c>
      <c r="H699">
        <v>7</v>
      </c>
      <c r="I699">
        <v>16</v>
      </c>
      <c r="J699">
        <v>8959</v>
      </c>
      <c r="K699">
        <v>0</v>
      </c>
      <c r="L699">
        <v>0</v>
      </c>
      <c r="M699">
        <v>149.30000000000001</v>
      </c>
      <c r="N699">
        <v>0</v>
      </c>
      <c r="O699">
        <v>9.3000000000000007</v>
      </c>
      <c r="P699">
        <v>128</v>
      </c>
      <c r="Q699" s="1" t="s">
        <v>220</v>
      </c>
    </row>
    <row r="700" spans="1:17" hidden="1" x14ac:dyDescent="0.45">
      <c r="A700">
        <v>1225054</v>
      </c>
      <c r="B700" t="s">
        <v>564</v>
      </c>
      <c r="C700" t="s">
        <v>1469</v>
      </c>
      <c r="D700" t="s">
        <v>815</v>
      </c>
      <c r="E700" t="s">
        <v>823</v>
      </c>
      <c r="F700" t="s">
        <v>116</v>
      </c>
      <c r="G700">
        <v>2025</v>
      </c>
      <c r="H700">
        <v>8</v>
      </c>
      <c r="I700">
        <v>13</v>
      </c>
      <c r="J700">
        <v>6761</v>
      </c>
      <c r="K700">
        <v>0</v>
      </c>
      <c r="L700">
        <v>0</v>
      </c>
      <c r="M700">
        <v>112.7</v>
      </c>
      <c r="N700">
        <v>0</v>
      </c>
      <c r="O700">
        <v>8.6999999999999993</v>
      </c>
      <c r="P700">
        <v>104</v>
      </c>
      <c r="Q700" s="1" t="s">
        <v>197</v>
      </c>
    </row>
    <row r="701" spans="1:17" hidden="1" x14ac:dyDescent="0.45">
      <c r="A701">
        <v>1225055</v>
      </c>
      <c r="B701" t="s">
        <v>565</v>
      </c>
      <c r="C701" t="s">
        <v>1449</v>
      </c>
      <c r="D701" t="s">
        <v>815</v>
      </c>
      <c r="E701" t="s">
        <v>819</v>
      </c>
      <c r="F701" t="s">
        <v>171</v>
      </c>
      <c r="G701">
        <v>2025</v>
      </c>
      <c r="H701">
        <v>6</v>
      </c>
      <c r="I701">
        <v>12</v>
      </c>
      <c r="J701">
        <v>5955</v>
      </c>
      <c r="K701">
        <v>0</v>
      </c>
      <c r="L701">
        <v>0</v>
      </c>
      <c r="M701">
        <v>99.2</v>
      </c>
      <c r="N701">
        <v>0</v>
      </c>
      <c r="O701">
        <v>8.3000000000000007</v>
      </c>
      <c r="P701">
        <v>96</v>
      </c>
      <c r="Q701" s="1" t="s">
        <v>566</v>
      </c>
    </row>
    <row r="702" spans="1:17" hidden="1" x14ac:dyDescent="0.45">
      <c r="A702">
        <v>1225055</v>
      </c>
      <c r="B702" t="s">
        <v>565</v>
      </c>
      <c r="C702" t="s">
        <v>1449</v>
      </c>
      <c r="D702" t="s">
        <v>815</v>
      </c>
      <c r="E702" t="s">
        <v>819</v>
      </c>
      <c r="F702" t="s">
        <v>171</v>
      </c>
      <c r="G702">
        <v>2025</v>
      </c>
      <c r="H702">
        <v>7</v>
      </c>
      <c r="I702">
        <v>19</v>
      </c>
      <c r="J702">
        <v>10775</v>
      </c>
      <c r="K702">
        <v>79</v>
      </c>
      <c r="L702">
        <v>0</v>
      </c>
      <c r="M702">
        <v>179.6</v>
      </c>
      <c r="N702">
        <v>1.3</v>
      </c>
      <c r="O702">
        <v>9.5</v>
      </c>
      <c r="P702">
        <v>152</v>
      </c>
      <c r="Q702" s="1" t="s">
        <v>567</v>
      </c>
    </row>
    <row r="703" spans="1:17" hidden="1" x14ac:dyDescent="0.45">
      <c r="A703">
        <v>1225055</v>
      </c>
      <c r="B703" t="s">
        <v>565</v>
      </c>
      <c r="C703" t="s">
        <v>1449</v>
      </c>
      <c r="D703" t="s">
        <v>815</v>
      </c>
      <c r="E703" t="s">
        <v>819</v>
      </c>
      <c r="F703" t="s">
        <v>171</v>
      </c>
      <c r="G703">
        <v>2025</v>
      </c>
      <c r="H703">
        <v>8</v>
      </c>
      <c r="I703">
        <v>12</v>
      </c>
      <c r="J703">
        <v>5817</v>
      </c>
      <c r="K703">
        <v>65</v>
      </c>
      <c r="L703">
        <v>0</v>
      </c>
      <c r="M703">
        <v>97</v>
      </c>
      <c r="N703">
        <v>1.1000000000000001</v>
      </c>
      <c r="O703">
        <v>8.1</v>
      </c>
      <c r="P703">
        <v>96</v>
      </c>
      <c r="Q703">
        <v>1</v>
      </c>
    </row>
    <row r="704" spans="1:17" hidden="1" x14ac:dyDescent="0.45">
      <c r="A704">
        <v>1225056</v>
      </c>
      <c r="B704" t="s">
        <v>568</v>
      </c>
      <c r="C704" t="s">
        <v>1459</v>
      </c>
      <c r="D704" t="s">
        <v>954</v>
      </c>
      <c r="E704" t="s">
        <v>962</v>
      </c>
      <c r="F704" t="s">
        <v>171</v>
      </c>
      <c r="G704">
        <v>2025</v>
      </c>
      <c r="H704">
        <v>6</v>
      </c>
      <c r="I704">
        <v>19</v>
      </c>
      <c r="J704">
        <v>13532</v>
      </c>
      <c r="K704">
        <v>2270</v>
      </c>
      <c r="L704">
        <v>0</v>
      </c>
      <c r="M704">
        <v>225.5</v>
      </c>
      <c r="N704">
        <v>37.799999999999997</v>
      </c>
      <c r="O704">
        <v>11.9</v>
      </c>
      <c r="P704">
        <v>152</v>
      </c>
      <c r="Q704">
        <v>73.5</v>
      </c>
    </row>
    <row r="705" spans="1:17" hidden="1" x14ac:dyDescent="0.45">
      <c r="A705">
        <v>1225056</v>
      </c>
      <c r="B705" t="s">
        <v>568</v>
      </c>
      <c r="C705" t="s">
        <v>1459</v>
      </c>
      <c r="D705" t="s">
        <v>954</v>
      </c>
      <c r="E705" t="s">
        <v>962</v>
      </c>
      <c r="F705" t="s">
        <v>171</v>
      </c>
      <c r="G705">
        <v>2025</v>
      </c>
      <c r="H705">
        <v>7</v>
      </c>
      <c r="I705">
        <v>15</v>
      </c>
      <c r="J705">
        <v>9523</v>
      </c>
      <c r="K705">
        <v>1227</v>
      </c>
      <c r="L705">
        <v>1</v>
      </c>
      <c r="M705">
        <v>158.69999999999999</v>
      </c>
      <c r="N705">
        <v>20.399999999999999</v>
      </c>
      <c r="O705">
        <v>10.6</v>
      </c>
      <c r="P705">
        <v>112</v>
      </c>
      <c r="Q705" s="1" t="s">
        <v>96</v>
      </c>
    </row>
    <row r="706" spans="1:17" hidden="1" x14ac:dyDescent="0.45">
      <c r="A706">
        <v>1225056</v>
      </c>
      <c r="B706" t="s">
        <v>568</v>
      </c>
      <c r="C706" t="s">
        <v>1459</v>
      </c>
      <c r="D706" t="s">
        <v>954</v>
      </c>
      <c r="E706" t="s">
        <v>962</v>
      </c>
      <c r="F706" t="s">
        <v>171</v>
      </c>
      <c r="G706">
        <v>2025</v>
      </c>
      <c r="H706">
        <v>8</v>
      </c>
      <c r="I706">
        <v>16</v>
      </c>
      <c r="J706">
        <v>9423</v>
      </c>
      <c r="K706">
        <v>1435</v>
      </c>
      <c r="L706">
        <v>0</v>
      </c>
      <c r="M706">
        <v>157</v>
      </c>
      <c r="N706">
        <v>23.9</v>
      </c>
      <c r="O706">
        <v>9.8000000000000007</v>
      </c>
      <c r="P706">
        <v>128</v>
      </c>
      <c r="Q706">
        <v>29</v>
      </c>
    </row>
    <row r="707" spans="1:17" hidden="1" x14ac:dyDescent="0.45">
      <c r="A707">
        <v>1225057</v>
      </c>
      <c r="B707" t="s">
        <v>569</v>
      </c>
      <c r="C707" t="s">
        <v>1461</v>
      </c>
      <c r="D707" t="s">
        <v>938</v>
      </c>
      <c r="E707" t="s">
        <v>940</v>
      </c>
      <c r="F707" t="s">
        <v>171</v>
      </c>
      <c r="G707">
        <v>2025</v>
      </c>
      <c r="H707">
        <v>6</v>
      </c>
      <c r="I707">
        <v>18</v>
      </c>
      <c r="J707">
        <v>11111</v>
      </c>
      <c r="K707">
        <v>950</v>
      </c>
      <c r="L707">
        <v>0</v>
      </c>
      <c r="M707">
        <v>185.2</v>
      </c>
      <c r="N707">
        <v>15.8</v>
      </c>
      <c r="O707">
        <v>10.3</v>
      </c>
      <c r="P707">
        <v>144</v>
      </c>
      <c r="Q707" s="1" t="s">
        <v>504</v>
      </c>
    </row>
    <row r="708" spans="1:17" hidden="1" x14ac:dyDescent="0.45">
      <c r="A708">
        <v>1225057</v>
      </c>
      <c r="B708" t="s">
        <v>569</v>
      </c>
      <c r="C708" t="s">
        <v>1461</v>
      </c>
      <c r="D708" t="s">
        <v>938</v>
      </c>
      <c r="E708" t="s">
        <v>940</v>
      </c>
      <c r="F708" t="s">
        <v>171</v>
      </c>
      <c r="G708">
        <v>2025</v>
      </c>
      <c r="H708">
        <v>7</v>
      </c>
      <c r="I708">
        <v>18</v>
      </c>
      <c r="J708">
        <v>10776</v>
      </c>
      <c r="K708">
        <v>1164</v>
      </c>
      <c r="L708">
        <v>0</v>
      </c>
      <c r="M708">
        <v>179.6</v>
      </c>
      <c r="N708">
        <v>19.399999999999999</v>
      </c>
      <c r="O708">
        <v>10</v>
      </c>
      <c r="P708">
        <v>144</v>
      </c>
      <c r="Q708" s="1" t="s">
        <v>417</v>
      </c>
    </row>
    <row r="709" spans="1:17" hidden="1" x14ac:dyDescent="0.45">
      <c r="A709">
        <v>1225057</v>
      </c>
      <c r="B709" t="s">
        <v>569</v>
      </c>
      <c r="C709" t="s">
        <v>1461</v>
      </c>
      <c r="D709" t="s">
        <v>938</v>
      </c>
      <c r="E709" t="s">
        <v>940</v>
      </c>
      <c r="F709" t="s">
        <v>171</v>
      </c>
      <c r="G709">
        <v>2025</v>
      </c>
      <c r="H709">
        <v>8</v>
      </c>
      <c r="I709">
        <v>14</v>
      </c>
      <c r="J709">
        <v>7754</v>
      </c>
      <c r="K709">
        <v>850</v>
      </c>
      <c r="L709">
        <v>0</v>
      </c>
      <c r="M709">
        <v>129.19999999999999</v>
      </c>
      <c r="N709">
        <v>14.2</v>
      </c>
      <c r="O709">
        <v>9.1999999999999993</v>
      </c>
      <c r="P709">
        <v>112</v>
      </c>
      <c r="Q709" s="1" t="s">
        <v>169</v>
      </c>
    </row>
    <row r="710" spans="1:17" hidden="1" x14ac:dyDescent="0.45">
      <c r="A710">
        <v>1225063</v>
      </c>
      <c r="B710" t="s">
        <v>570</v>
      </c>
      <c r="C710" t="s">
        <v>1464</v>
      </c>
      <c r="D710" t="s">
        <v>815</v>
      </c>
      <c r="E710" t="s">
        <v>835</v>
      </c>
      <c r="F710" t="s">
        <v>116</v>
      </c>
      <c r="G710">
        <v>2025</v>
      </c>
      <c r="H710">
        <v>6</v>
      </c>
      <c r="I710">
        <v>17</v>
      </c>
      <c r="J710">
        <v>10016</v>
      </c>
      <c r="K710">
        <v>0</v>
      </c>
      <c r="L710">
        <v>0</v>
      </c>
      <c r="M710">
        <v>166.9</v>
      </c>
      <c r="N710">
        <v>0</v>
      </c>
      <c r="O710">
        <v>9.8000000000000007</v>
      </c>
      <c r="P710">
        <v>136</v>
      </c>
      <c r="Q710" s="1" t="s">
        <v>242</v>
      </c>
    </row>
    <row r="711" spans="1:17" hidden="1" x14ac:dyDescent="0.45">
      <c r="A711">
        <v>1225063</v>
      </c>
      <c r="B711" t="s">
        <v>570</v>
      </c>
      <c r="C711" t="s">
        <v>1464</v>
      </c>
      <c r="D711" t="s">
        <v>815</v>
      </c>
      <c r="E711" t="s">
        <v>835</v>
      </c>
      <c r="F711" t="s">
        <v>116</v>
      </c>
      <c r="G711">
        <v>2025</v>
      </c>
      <c r="H711">
        <v>7</v>
      </c>
      <c r="I711">
        <v>18</v>
      </c>
      <c r="J711">
        <v>10505</v>
      </c>
      <c r="K711">
        <v>0</v>
      </c>
      <c r="L711">
        <v>2</v>
      </c>
      <c r="M711">
        <v>175.1</v>
      </c>
      <c r="N711">
        <v>0</v>
      </c>
      <c r="O711">
        <v>9.6999999999999993</v>
      </c>
      <c r="P711">
        <v>128</v>
      </c>
      <c r="Q711" s="1" t="s">
        <v>571</v>
      </c>
    </row>
    <row r="712" spans="1:17" hidden="1" x14ac:dyDescent="0.45">
      <c r="A712">
        <v>1225063</v>
      </c>
      <c r="B712" t="s">
        <v>570</v>
      </c>
      <c r="C712" t="s">
        <v>1464</v>
      </c>
      <c r="D712" t="s">
        <v>815</v>
      </c>
      <c r="E712" t="s">
        <v>835</v>
      </c>
      <c r="F712" t="s">
        <v>116</v>
      </c>
      <c r="G712">
        <v>2025</v>
      </c>
      <c r="H712">
        <v>8</v>
      </c>
      <c r="I712">
        <v>13</v>
      </c>
      <c r="J712">
        <v>6982</v>
      </c>
      <c r="K712">
        <v>0</v>
      </c>
      <c r="L712">
        <v>0</v>
      </c>
      <c r="M712">
        <v>116.4</v>
      </c>
      <c r="N712">
        <v>0</v>
      </c>
      <c r="O712">
        <v>9</v>
      </c>
      <c r="P712">
        <v>104</v>
      </c>
      <c r="Q712" s="1" t="s">
        <v>245</v>
      </c>
    </row>
    <row r="713" spans="1:17" hidden="1" x14ac:dyDescent="0.45">
      <c r="A713">
        <v>1225064</v>
      </c>
      <c r="B713" t="s">
        <v>572</v>
      </c>
      <c r="C713" t="s">
        <v>1463</v>
      </c>
      <c r="D713" t="s">
        <v>954</v>
      </c>
      <c r="E713" t="s">
        <v>956</v>
      </c>
      <c r="F713" t="s">
        <v>116</v>
      </c>
      <c r="G713">
        <v>2025</v>
      </c>
      <c r="H713">
        <v>7</v>
      </c>
      <c r="I713">
        <v>16</v>
      </c>
      <c r="J713">
        <v>8047</v>
      </c>
      <c r="K713">
        <v>0</v>
      </c>
      <c r="L713">
        <v>0</v>
      </c>
      <c r="M713">
        <v>134.1</v>
      </c>
      <c r="N713">
        <v>0</v>
      </c>
      <c r="O713">
        <v>8.4</v>
      </c>
      <c r="P713">
        <v>128</v>
      </c>
      <c r="Q713" s="1" t="s">
        <v>573</v>
      </c>
    </row>
    <row r="714" spans="1:17" hidden="1" x14ac:dyDescent="0.45">
      <c r="A714">
        <v>1225064</v>
      </c>
      <c r="B714" t="s">
        <v>572</v>
      </c>
      <c r="C714" t="s">
        <v>1463</v>
      </c>
      <c r="D714" t="s">
        <v>954</v>
      </c>
      <c r="E714" t="s">
        <v>956</v>
      </c>
      <c r="F714" t="s">
        <v>116</v>
      </c>
      <c r="G714">
        <v>2025</v>
      </c>
      <c r="H714">
        <v>8</v>
      </c>
      <c r="I714">
        <v>12</v>
      </c>
      <c r="J714">
        <v>5931</v>
      </c>
      <c r="K714">
        <v>0</v>
      </c>
      <c r="L714">
        <v>0</v>
      </c>
      <c r="M714">
        <v>98.8</v>
      </c>
      <c r="N714">
        <v>0</v>
      </c>
      <c r="O714">
        <v>8.1999999999999993</v>
      </c>
      <c r="P714">
        <v>96</v>
      </c>
      <c r="Q714" s="1" t="s">
        <v>574</v>
      </c>
    </row>
    <row r="715" spans="1:17" hidden="1" x14ac:dyDescent="0.45">
      <c r="A715">
        <v>1225065</v>
      </c>
      <c r="B715" t="s">
        <v>575</v>
      </c>
      <c r="C715" t="s">
        <v>1459</v>
      </c>
      <c r="D715" t="s">
        <v>954</v>
      </c>
      <c r="E715" t="s">
        <v>962</v>
      </c>
      <c r="F715" t="s">
        <v>116</v>
      </c>
      <c r="G715">
        <v>2025</v>
      </c>
      <c r="H715">
        <v>6</v>
      </c>
      <c r="I715">
        <v>14</v>
      </c>
      <c r="J715">
        <v>10310</v>
      </c>
      <c r="K715">
        <v>2256</v>
      </c>
      <c r="L715">
        <v>0</v>
      </c>
      <c r="M715">
        <v>171.8</v>
      </c>
      <c r="N715">
        <v>37.6</v>
      </c>
      <c r="O715">
        <v>12.3</v>
      </c>
      <c r="P715">
        <v>112</v>
      </c>
      <c r="Q715" s="1" t="s">
        <v>576</v>
      </c>
    </row>
    <row r="716" spans="1:17" hidden="1" x14ac:dyDescent="0.45">
      <c r="A716">
        <v>1225065</v>
      </c>
      <c r="B716" t="s">
        <v>575</v>
      </c>
      <c r="C716" t="s">
        <v>1459</v>
      </c>
      <c r="D716" t="s">
        <v>954</v>
      </c>
      <c r="E716" t="s">
        <v>962</v>
      </c>
      <c r="F716" t="s">
        <v>116</v>
      </c>
      <c r="G716">
        <v>2025</v>
      </c>
      <c r="H716">
        <v>7</v>
      </c>
      <c r="I716">
        <v>18</v>
      </c>
      <c r="J716">
        <v>12113</v>
      </c>
      <c r="K716">
        <v>2159</v>
      </c>
      <c r="L716">
        <v>0</v>
      </c>
      <c r="M716">
        <v>201.9</v>
      </c>
      <c r="N716">
        <v>36</v>
      </c>
      <c r="O716">
        <v>11.2</v>
      </c>
      <c r="P716">
        <v>144</v>
      </c>
      <c r="Q716" s="1" t="s">
        <v>529</v>
      </c>
    </row>
    <row r="717" spans="1:17" hidden="1" x14ac:dyDescent="0.45">
      <c r="A717">
        <v>1225065</v>
      </c>
      <c r="B717" t="s">
        <v>575</v>
      </c>
      <c r="C717" t="s">
        <v>1459</v>
      </c>
      <c r="D717" t="s">
        <v>954</v>
      </c>
      <c r="E717" t="s">
        <v>962</v>
      </c>
      <c r="F717" t="s">
        <v>116</v>
      </c>
      <c r="G717">
        <v>2025</v>
      </c>
      <c r="H717">
        <v>8</v>
      </c>
      <c r="I717">
        <v>15</v>
      </c>
      <c r="J717">
        <v>9704</v>
      </c>
      <c r="K717">
        <v>1720</v>
      </c>
      <c r="L717">
        <v>0</v>
      </c>
      <c r="M717">
        <v>161.69999999999999</v>
      </c>
      <c r="N717">
        <v>28.7</v>
      </c>
      <c r="O717">
        <v>10.8</v>
      </c>
      <c r="P717">
        <v>120</v>
      </c>
      <c r="Q717" s="1" t="s">
        <v>577</v>
      </c>
    </row>
    <row r="718" spans="1:17" hidden="1" x14ac:dyDescent="0.45">
      <c r="A718">
        <v>1225066</v>
      </c>
      <c r="B718" t="s">
        <v>578</v>
      </c>
      <c r="C718" t="s">
        <v>1447</v>
      </c>
      <c r="D718" t="s">
        <v>938</v>
      </c>
      <c r="E718" t="s">
        <v>942</v>
      </c>
      <c r="F718" t="s">
        <v>116</v>
      </c>
      <c r="G718">
        <v>2025</v>
      </c>
      <c r="H718">
        <v>6</v>
      </c>
      <c r="I718">
        <v>19</v>
      </c>
      <c r="J718">
        <v>11465</v>
      </c>
      <c r="K718">
        <v>664</v>
      </c>
      <c r="L718">
        <v>0</v>
      </c>
      <c r="M718">
        <v>191.1</v>
      </c>
      <c r="N718">
        <v>11.1</v>
      </c>
      <c r="O718">
        <v>10.1</v>
      </c>
      <c r="P718">
        <v>152</v>
      </c>
      <c r="Q718" s="1" t="s">
        <v>258</v>
      </c>
    </row>
    <row r="719" spans="1:17" hidden="1" x14ac:dyDescent="0.45">
      <c r="A719">
        <v>1225066</v>
      </c>
      <c r="B719" t="s">
        <v>578</v>
      </c>
      <c r="C719" t="s">
        <v>1447</v>
      </c>
      <c r="D719" t="s">
        <v>938</v>
      </c>
      <c r="E719" t="s">
        <v>942</v>
      </c>
      <c r="F719" t="s">
        <v>116</v>
      </c>
      <c r="G719">
        <v>2025</v>
      </c>
      <c r="H719">
        <v>7</v>
      </c>
      <c r="I719">
        <v>17</v>
      </c>
      <c r="J719">
        <v>10405</v>
      </c>
      <c r="K719">
        <v>804</v>
      </c>
      <c r="L719">
        <v>0</v>
      </c>
      <c r="M719">
        <v>173.4</v>
      </c>
      <c r="N719">
        <v>13.4</v>
      </c>
      <c r="O719">
        <v>10.199999999999999</v>
      </c>
      <c r="P719">
        <v>136</v>
      </c>
      <c r="Q719" s="1" t="s">
        <v>579</v>
      </c>
    </row>
    <row r="720" spans="1:17" hidden="1" x14ac:dyDescent="0.45">
      <c r="A720">
        <v>1225066</v>
      </c>
      <c r="B720" t="s">
        <v>578</v>
      </c>
      <c r="C720" t="s">
        <v>1447</v>
      </c>
      <c r="D720" t="s">
        <v>938</v>
      </c>
      <c r="E720" t="s">
        <v>942</v>
      </c>
      <c r="F720" t="s">
        <v>116</v>
      </c>
      <c r="G720">
        <v>2025</v>
      </c>
      <c r="H720">
        <v>8</v>
      </c>
      <c r="I720">
        <v>14</v>
      </c>
      <c r="J720">
        <v>8269</v>
      </c>
      <c r="K720">
        <v>815</v>
      </c>
      <c r="L720">
        <v>0</v>
      </c>
      <c r="M720">
        <v>137.80000000000001</v>
      </c>
      <c r="N720">
        <v>13.6</v>
      </c>
      <c r="O720">
        <v>9.8000000000000007</v>
      </c>
      <c r="P720">
        <v>112</v>
      </c>
      <c r="Q720" s="1" t="s">
        <v>86</v>
      </c>
    </row>
    <row r="721" spans="1:17" hidden="1" x14ac:dyDescent="0.45">
      <c r="A721">
        <v>1225068</v>
      </c>
      <c r="B721" t="s">
        <v>580</v>
      </c>
      <c r="C721" t="s">
        <v>1461</v>
      </c>
      <c r="D721" t="s">
        <v>938</v>
      </c>
      <c r="E721" t="s">
        <v>940</v>
      </c>
      <c r="F721" t="s">
        <v>171</v>
      </c>
      <c r="G721">
        <v>2025</v>
      </c>
      <c r="H721">
        <v>7</v>
      </c>
      <c r="I721">
        <v>18</v>
      </c>
      <c r="J721">
        <v>10477</v>
      </c>
      <c r="K721">
        <v>495</v>
      </c>
      <c r="L721">
        <v>0</v>
      </c>
      <c r="M721">
        <v>174.6</v>
      </c>
      <c r="N721">
        <v>8.1999999999999993</v>
      </c>
      <c r="O721">
        <v>9.6999999999999993</v>
      </c>
      <c r="P721">
        <v>144</v>
      </c>
      <c r="Q721" s="1" t="s">
        <v>581</v>
      </c>
    </row>
    <row r="722" spans="1:17" hidden="1" x14ac:dyDescent="0.45">
      <c r="A722">
        <v>1225068</v>
      </c>
      <c r="B722" t="s">
        <v>580</v>
      </c>
      <c r="C722" t="s">
        <v>1461</v>
      </c>
      <c r="D722" t="s">
        <v>938</v>
      </c>
      <c r="E722" t="s">
        <v>940</v>
      </c>
      <c r="F722" t="s">
        <v>171</v>
      </c>
      <c r="G722">
        <v>2025</v>
      </c>
      <c r="H722">
        <v>8</v>
      </c>
      <c r="I722">
        <v>12</v>
      </c>
      <c r="J722">
        <v>6852</v>
      </c>
      <c r="K722">
        <v>565</v>
      </c>
      <c r="L722">
        <v>0</v>
      </c>
      <c r="M722">
        <v>114.2</v>
      </c>
      <c r="N722">
        <v>9.4</v>
      </c>
      <c r="O722">
        <v>9.5</v>
      </c>
      <c r="P722">
        <v>96</v>
      </c>
      <c r="Q722" s="1" t="s">
        <v>582</v>
      </c>
    </row>
    <row r="723" spans="1:17" hidden="1" x14ac:dyDescent="0.45">
      <c r="A723">
        <v>1225070</v>
      </c>
      <c r="B723" t="s">
        <v>583</v>
      </c>
      <c r="C723" t="s">
        <v>1472</v>
      </c>
      <c r="D723" t="s">
        <v>1032</v>
      </c>
      <c r="E723" t="s">
        <v>1034</v>
      </c>
      <c r="F723" t="s">
        <v>171</v>
      </c>
      <c r="G723">
        <v>2025</v>
      </c>
      <c r="H723">
        <v>7</v>
      </c>
      <c r="I723">
        <v>15</v>
      </c>
      <c r="J723">
        <v>8054</v>
      </c>
      <c r="K723">
        <v>0</v>
      </c>
      <c r="L723">
        <v>1</v>
      </c>
      <c r="M723">
        <v>134.19999999999999</v>
      </c>
      <c r="N723">
        <v>0</v>
      </c>
      <c r="O723">
        <v>8.9</v>
      </c>
      <c r="P723">
        <v>112</v>
      </c>
      <c r="Q723" s="1" t="s">
        <v>584</v>
      </c>
    </row>
    <row r="724" spans="1:17" hidden="1" x14ac:dyDescent="0.45">
      <c r="A724">
        <v>1225070</v>
      </c>
      <c r="B724" t="s">
        <v>583</v>
      </c>
      <c r="C724" t="s">
        <v>1472</v>
      </c>
      <c r="D724" t="s">
        <v>1032</v>
      </c>
      <c r="E724" t="s">
        <v>1034</v>
      </c>
      <c r="F724" t="s">
        <v>171</v>
      </c>
      <c r="G724">
        <v>2025</v>
      </c>
      <c r="H724">
        <v>8</v>
      </c>
      <c r="I724">
        <v>8</v>
      </c>
      <c r="J724">
        <v>4032</v>
      </c>
      <c r="K724">
        <v>0</v>
      </c>
      <c r="L724">
        <v>0</v>
      </c>
      <c r="M724">
        <v>67.2</v>
      </c>
      <c r="N724">
        <v>0</v>
      </c>
      <c r="O724">
        <v>8.4</v>
      </c>
      <c r="P724">
        <v>64</v>
      </c>
      <c r="Q724" s="1" t="s">
        <v>566</v>
      </c>
    </row>
    <row r="725" spans="1:17" hidden="1" x14ac:dyDescent="0.45">
      <c r="A725">
        <v>1225078</v>
      </c>
      <c r="B725" t="s">
        <v>585</v>
      </c>
      <c r="C725" t="s">
        <v>1462</v>
      </c>
      <c r="D725" t="s">
        <v>718</v>
      </c>
      <c r="E725" t="s">
        <v>741</v>
      </c>
      <c r="F725" t="s">
        <v>171</v>
      </c>
      <c r="G725">
        <v>2025</v>
      </c>
      <c r="H725">
        <v>8</v>
      </c>
      <c r="I725">
        <v>3</v>
      </c>
      <c r="J725">
        <v>1221</v>
      </c>
      <c r="K725">
        <v>0</v>
      </c>
      <c r="L725">
        <v>0</v>
      </c>
      <c r="M725">
        <v>20.399999999999999</v>
      </c>
      <c r="N725">
        <v>0</v>
      </c>
      <c r="O725">
        <v>6.8</v>
      </c>
      <c r="P725">
        <v>24</v>
      </c>
      <c r="Q725">
        <v>-3.6</v>
      </c>
    </row>
    <row r="726" spans="1:17" hidden="1" x14ac:dyDescent="0.45">
      <c r="A726">
        <v>1225079</v>
      </c>
      <c r="B726" t="s">
        <v>586</v>
      </c>
      <c r="C726" t="s">
        <v>1450</v>
      </c>
      <c r="D726" t="s">
        <v>718</v>
      </c>
      <c r="E726" t="s">
        <v>741</v>
      </c>
      <c r="F726" t="s">
        <v>171</v>
      </c>
      <c r="G726">
        <v>2025</v>
      </c>
      <c r="H726">
        <v>8</v>
      </c>
      <c r="I726">
        <v>3</v>
      </c>
      <c r="J726">
        <v>1568</v>
      </c>
      <c r="K726">
        <v>52</v>
      </c>
      <c r="L726">
        <v>0</v>
      </c>
      <c r="M726">
        <v>26.1</v>
      </c>
      <c r="N726">
        <v>0.9</v>
      </c>
      <c r="O726">
        <v>8.6999999999999993</v>
      </c>
      <c r="P726">
        <v>24</v>
      </c>
      <c r="Q726" s="1" t="s">
        <v>587</v>
      </c>
    </row>
  </sheetData>
  <autoFilter ref="A1:Q726" xr:uid="{D6D90928-6FF4-4B1C-B7CC-94E39E07176B}">
    <filterColumn colId="4">
      <filters>
        <filter val="FL생산기술팀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9E9A-E206-4EA1-845D-741A5A9E3476}">
  <sheetPr>
    <tabColor theme="5" tint="0.79998168889431442"/>
  </sheetPr>
  <dimension ref="A1:M33"/>
  <sheetViews>
    <sheetView workbookViewId="0">
      <selection activeCell="N6" sqref="N6"/>
    </sheetView>
  </sheetViews>
  <sheetFormatPr defaultRowHeight="17" x14ac:dyDescent="0.45"/>
  <cols>
    <col min="1" max="1" width="18.6640625" customWidth="1"/>
  </cols>
  <sheetData>
    <row r="1" spans="1:13" x14ac:dyDescent="0.45">
      <c r="B1" s="8" t="s">
        <v>698</v>
      </c>
      <c r="C1" s="8"/>
      <c r="D1" s="8"/>
      <c r="E1" s="8"/>
      <c r="F1" s="8" t="s">
        <v>693</v>
      </c>
      <c r="G1" s="8"/>
      <c r="H1" s="8"/>
      <c r="I1" s="8"/>
      <c r="J1" s="9" t="s">
        <v>695</v>
      </c>
      <c r="K1" s="9"/>
      <c r="L1" s="9"/>
      <c r="M1" s="9"/>
    </row>
    <row r="2" spans="1:13" x14ac:dyDescent="0.45">
      <c r="A2" t="s">
        <v>675</v>
      </c>
      <c r="B2" t="s">
        <v>679</v>
      </c>
      <c r="C2" t="s">
        <v>683</v>
      </c>
      <c r="D2" t="s">
        <v>684</v>
      </c>
      <c r="E2" t="s">
        <v>685</v>
      </c>
      <c r="F2" t="s">
        <v>679</v>
      </c>
      <c r="G2" t="s">
        <v>683</v>
      </c>
      <c r="H2" t="s">
        <v>684</v>
      </c>
      <c r="I2" t="s">
        <v>685</v>
      </c>
      <c r="J2" t="s">
        <v>679</v>
      </c>
      <c r="K2" t="s">
        <v>683</v>
      </c>
      <c r="L2" t="s">
        <v>684</v>
      </c>
      <c r="M2" t="s">
        <v>685</v>
      </c>
    </row>
    <row r="3" spans="1:13" x14ac:dyDescent="0.45">
      <c r="A3" t="s">
        <v>827</v>
      </c>
      <c r="B3" s="3">
        <f>AVERAGE('FTE 계산'!W3,'FTE 계산'!AI3,'FTE 계산'!AU3)</f>
        <v>15.65403598137973</v>
      </c>
      <c r="C3" s="3">
        <f>AVERAGE('FTE 계산'!X3,'FTE 계산'!AJ3,'FTE 계산'!AV3)</f>
        <v>7.3088300637156278</v>
      </c>
      <c r="D3" s="3">
        <f>AVERAGE('FTE 계산'!Y3,'FTE 계산'!AK3,'FTE 계산'!AW3)</f>
        <v>6.097996487867178</v>
      </c>
      <c r="E3" s="3">
        <f>AVERAGE('FTE 계산'!Z3,'FTE 계산'!AL3,'FTE 계산'!AX3)</f>
        <v>2.3836805555555554</v>
      </c>
      <c r="F3">
        <f>_xlfn.XLOOKUP($A3,'실제 인원'!$A:$A,'실제 인원'!B:B)</f>
        <v>12</v>
      </c>
      <c r="G3">
        <f>_xlfn.XLOOKUP($A3,'실제 인원'!$A:$A,'실제 인원'!C:C)</f>
        <v>5</v>
      </c>
      <c r="H3">
        <f>_xlfn.XLOOKUP($A3,'실제 인원'!$A:$A,'실제 인원'!D:D)</f>
        <v>5</v>
      </c>
      <c r="I3">
        <f>_xlfn.XLOOKUP($A3,'실제 인원'!$A:$A,'실제 인원'!E:E)</f>
        <v>2</v>
      </c>
      <c r="J3" s="3">
        <f>B3/F3</f>
        <v>1.3045029984483107</v>
      </c>
      <c r="K3" s="3">
        <f t="shared" ref="K3:M3" si="0">C3/G3</f>
        <v>1.4617660127431256</v>
      </c>
      <c r="L3" s="3">
        <f t="shared" si="0"/>
        <v>1.2195992975734355</v>
      </c>
      <c r="M3" s="3">
        <f t="shared" si="0"/>
        <v>1.1918402777777777</v>
      </c>
    </row>
    <row r="4" spans="1:13" x14ac:dyDescent="0.45">
      <c r="A4" s="2" t="s">
        <v>731</v>
      </c>
      <c r="B4" s="3">
        <f>AVERAGE('FTE 계산'!W4,'FTE 계산'!AI4,'FTE 계산'!AU4)</f>
        <v>8.8760625970685307</v>
      </c>
      <c r="C4" s="3">
        <f>AVERAGE('FTE 계산'!X4,'FTE 계산'!AJ4,'FTE 계산'!AV4)</f>
        <v>5.8714239153840397</v>
      </c>
      <c r="D4" s="3">
        <f>AVERAGE('FTE 계산'!Y4,'FTE 계산'!AK4,'FTE 계산'!AW4)</f>
        <v>2.0141762452107277</v>
      </c>
      <c r="E4" s="3">
        <f>AVERAGE('FTE 계산'!Z4,'FTE 계산'!AL4,'FTE 계산'!AX4)</f>
        <v>0.74734374999999997</v>
      </c>
      <c r="F4">
        <f>_xlfn.XLOOKUP($A4,'실제 인원'!$A:$A,'실제 인원'!B:B)</f>
        <v>10</v>
      </c>
      <c r="G4">
        <f>_xlfn.XLOOKUP($A4,'실제 인원'!$A:$A,'실제 인원'!C:C)</f>
        <v>5</v>
      </c>
      <c r="H4">
        <f>_xlfn.XLOOKUP($A4,'실제 인원'!$A:$A,'실제 인원'!D:D)</f>
        <v>2</v>
      </c>
      <c r="I4">
        <f>_xlfn.XLOOKUP($A4,'실제 인원'!$A:$A,'실제 인원'!E:E)</f>
        <v>3</v>
      </c>
      <c r="J4" s="3">
        <f t="shared" ref="J4:J31" si="1">B4/F4</f>
        <v>0.88760625970685303</v>
      </c>
      <c r="K4" s="3">
        <f t="shared" ref="K4:K31" si="2">C4/G4</f>
        <v>1.1742847830768079</v>
      </c>
      <c r="L4" s="3">
        <f t="shared" ref="L4:L31" si="3">D4/H4</f>
        <v>1.0070881226053638</v>
      </c>
      <c r="M4" s="3">
        <f t="shared" ref="M4:M31" si="4">E4/I4</f>
        <v>0.24911458333333333</v>
      </c>
    </row>
    <row r="5" spans="1:13" x14ac:dyDescent="0.45">
      <c r="A5" t="s">
        <v>942</v>
      </c>
      <c r="B5" s="3">
        <f>AVERAGE('FTE 계산'!W5,'FTE 계산'!AI5,'FTE 계산'!AU5)</f>
        <v>7.6317259029215547</v>
      </c>
      <c r="C5" s="3">
        <f>AVERAGE('FTE 계산'!X5,'FTE 계산'!AJ5,'FTE 계산'!AV5)</f>
        <v>2.5589117324561403</v>
      </c>
      <c r="D5" s="3">
        <f>AVERAGE('FTE 계산'!Y5,'FTE 계산'!AK5,'FTE 계산'!AW5)</f>
        <v>2.5706889307447116</v>
      </c>
      <c r="E5" s="3">
        <f>AVERAGE('FTE 계산'!Z5,'FTE 계산'!AL5,'FTE 계산'!AX5)</f>
        <v>2.5036064174773851</v>
      </c>
      <c r="F5">
        <f>_xlfn.XLOOKUP($A5,'실제 인원'!$A:$A,'실제 인원'!B:B)</f>
        <v>6</v>
      </c>
      <c r="G5">
        <f>_xlfn.XLOOKUP($A5,'실제 인원'!$A:$A,'실제 인원'!C:C)</f>
        <v>2</v>
      </c>
      <c r="H5">
        <f>_xlfn.XLOOKUP($A5,'실제 인원'!$A:$A,'실제 인원'!D:D)</f>
        <v>2</v>
      </c>
      <c r="I5">
        <f>_xlfn.XLOOKUP($A5,'실제 인원'!$A:$A,'실제 인원'!E:E)</f>
        <v>2</v>
      </c>
      <c r="J5" s="3">
        <f t="shared" si="1"/>
        <v>1.2719543171535925</v>
      </c>
      <c r="K5" s="3">
        <f t="shared" si="2"/>
        <v>1.2794558662280702</v>
      </c>
      <c r="L5" s="3">
        <f t="shared" si="3"/>
        <v>1.2853444653723558</v>
      </c>
      <c r="M5" s="3">
        <f t="shared" si="4"/>
        <v>1.2518032087386926</v>
      </c>
    </row>
    <row r="6" spans="1:13" x14ac:dyDescent="0.45">
      <c r="A6" t="s">
        <v>887</v>
      </c>
      <c r="B6" s="3">
        <f>AVERAGE('FTE 계산'!W6,'FTE 계산'!AI6,'FTE 계산'!AU6)</f>
        <v>14.314587958166371</v>
      </c>
      <c r="C6" s="3">
        <f>AVERAGE('FTE 계산'!X6,'FTE 계산'!AJ6,'FTE 계산'!AV6)</f>
        <v>4.8307175032175023</v>
      </c>
      <c r="D6" s="3">
        <f>AVERAGE('FTE 계산'!Y6,'FTE 계산'!AK6,'FTE 계산'!AW6)</f>
        <v>4.7317786069651744</v>
      </c>
      <c r="E6" s="3">
        <f>AVERAGE('FTE 계산'!Z6,'FTE 계산'!AL6,'FTE 계산'!AX6)</f>
        <v>4.7387856125356116</v>
      </c>
      <c r="F6">
        <f>_xlfn.XLOOKUP($A6,'실제 인원'!$A:$A,'실제 인원'!B:B)</f>
        <v>12</v>
      </c>
      <c r="G6">
        <f>_xlfn.XLOOKUP($A6,'실제 인원'!$A:$A,'실제 인원'!C:C)</f>
        <v>4</v>
      </c>
      <c r="H6">
        <f>_xlfn.XLOOKUP($A6,'실제 인원'!$A:$A,'실제 인원'!D:D)</f>
        <v>4</v>
      </c>
      <c r="I6">
        <f>_xlfn.XLOOKUP($A6,'실제 인원'!$A:$A,'실제 인원'!E:E)</f>
        <v>4</v>
      </c>
      <c r="J6" s="3">
        <f t="shared" si="1"/>
        <v>1.1928823298471976</v>
      </c>
      <c r="K6" s="3">
        <f t="shared" si="2"/>
        <v>1.2076793758043756</v>
      </c>
      <c r="L6" s="3">
        <f t="shared" si="3"/>
        <v>1.1829446517412936</v>
      </c>
      <c r="M6" s="3">
        <f t="shared" si="4"/>
        <v>1.1846964031339029</v>
      </c>
    </row>
    <row r="7" spans="1:13" x14ac:dyDescent="0.45">
      <c r="A7" t="s">
        <v>819</v>
      </c>
      <c r="B7" s="3">
        <f>AVERAGE('FTE 계산'!W7,'FTE 계산'!AI7,'FTE 계산'!AU7)</f>
        <v>14.288513146564696</v>
      </c>
      <c r="C7" s="3">
        <f>AVERAGE('FTE 계산'!X7,'FTE 계산'!AJ7,'FTE 계산'!AV7)</f>
        <v>3.3280902225755167</v>
      </c>
      <c r="D7" s="3">
        <f>AVERAGE('FTE 계산'!Y7,'FTE 계산'!AK7,'FTE 계산'!AW7)</f>
        <v>7.6721885649781525</v>
      </c>
      <c r="E7" s="3">
        <f>AVERAGE('FTE 계산'!Z7,'FTE 계산'!AL7,'FTE 계산'!AX7)</f>
        <v>3.2577987938596493</v>
      </c>
      <c r="F7">
        <f>_xlfn.XLOOKUP($A7,'실제 인원'!$A:$A,'실제 인원'!B:B)</f>
        <v>14</v>
      </c>
      <c r="G7">
        <f>_xlfn.XLOOKUP($A7,'실제 인원'!$A:$A,'실제 인원'!C:C)</f>
        <v>3</v>
      </c>
      <c r="H7">
        <f>_xlfn.XLOOKUP($A7,'실제 인원'!$A:$A,'실제 인원'!D:D)</f>
        <v>8</v>
      </c>
      <c r="I7">
        <f>_xlfn.XLOOKUP($A7,'실제 인원'!$A:$A,'실제 인원'!E:E)</f>
        <v>2</v>
      </c>
      <c r="J7" s="3">
        <f t="shared" si="1"/>
        <v>1.0206080818974783</v>
      </c>
      <c r="K7" s="3">
        <f t="shared" si="2"/>
        <v>1.1093634075251722</v>
      </c>
      <c r="L7" s="3">
        <f t="shared" si="3"/>
        <v>0.95902357062226906</v>
      </c>
      <c r="M7" s="3">
        <f t="shared" si="4"/>
        <v>1.6288993969298247</v>
      </c>
    </row>
    <row r="8" spans="1:13" x14ac:dyDescent="0.45">
      <c r="A8" t="s">
        <v>733</v>
      </c>
      <c r="B8" s="3">
        <f>AVERAGE('FTE 계산'!W8,'FTE 계산'!AI8,'FTE 계산'!AU8)</f>
        <v>3.7295445956160242</v>
      </c>
      <c r="C8" s="3">
        <f>AVERAGE('FTE 계산'!X8,'FTE 계산'!AJ8,'FTE 계산'!AV8)</f>
        <v>1.1829282407407407</v>
      </c>
      <c r="D8" s="3" t="e">
        <f>AVERAGE('FTE 계산'!Y8,'FTE 계산'!AK8,'FTE 계산'!AW8)</f>
        <v>#DIV/0!</v>
      </c>
      <c r="E8" s="3">
        <f>AVERAGE('FTE 계산'!Z8,'FTE 계산'!AL8,'FTE 계산'!AX8)</f>
        <v>2.5462752525252523</v>
      </c>
      <c r="F8">
        <f>_xlfn.XLOOKUP($A8,'실제 인원'!$A:$A,'실제 인원'!B:B)</f>
        <v>5</v>
      </c>
      <c r="G8">
        <f>_xlfn.XLOOKUP($A8,'실제 인원'!$A:$A,'실제 인원'!C:C)</f>
        <v>1</v>
      </c>
      <c r="H8">
        <f>_xlfn.XLOOKUP($A8,'실제 인원'!$A:$A,'실제 인원'!D:D)</f>
        <v>2</v>
      </c>
      <c r="I8">
        <f>_xlfn.XLOOKUP($A8,'실제 인원'!$A:$A,'실제 인원'!E:E)</f>
        <v>2</v>
      </c>
      <c r="J8" s="3">
        <f>B8/F8</f>
        <v>0.74590891912320489</v>
      </c>
      <c r="K8" s="3">
        <f t="shared" si="2"/>
        <v>1.1829282407407407</v>
      </c>
      <c r="L8" s="3" t="e">
        <f t="shared" si="3"/>
        <v>#DIV/0!</v>
      </c>
      <c r="M8" s="3">
        <f t="shared" si="4"/>
        <v>1.2731376262626262</v>
      </c>
    </row>
    <row r="9" spans="1:13" x14ac:dyDescent="0.45">
      <c r="A9" t="s">
        <v>958</v>
      </c>
      <c r="B9" s="3">
        <f>AVERAGE('FTE 계산'!W9,'FTE 계산'!AI9,'FTE 계산'!AU9)</f>
        <v>16.75409520246113</v>
      </c>
      <c r="C9" s="3">
        <f>AVERAGE('FTE 계산'!X9,'FTE 계산'!AJ9,'FTE 계산'!AV9)</f>
        <v>3.9853009259259253</v>
      </c>
      <c r="D9" s="3">
        <f>AVERAGE('FTE 계산'!Y9,'FTE 계산'!AK9,'FTE 계산'!AW9)</f>
        <v>8.2897929606625258</v>
      </c>
      <c r="E9" s="3">
        <f>AVERAGE('FTE 계산'!Z9,'FTE 계산'!AL9,'FTE 계산'!AX9)</f>
        <v>4.3588347831285681</v>
      </c>
      <c r="F9">
        <f>_xlfn.XLOOKUP($A9,'실제 인원'!$A:$A,'실제 인원'!B:B)</f>
        <v>14</v>
      </c>
      <c r="G9">
        <f>_xlfn.XLOOKUP($A9,'실제 인원'!$A:$A,'실제 인원'!C:C)</f>
        <v>3</v>
      </c>
      <c r="H9">
        <f>_xlfn.XLOOKUP($A9,'실제 인원'!$A:$A,'실제 인원'!D:D)</f>
        <v>7</v>
      </c>
      <c r="I9">
        <f>_xlfn.XLOOKUP($A9,'실제 인원'!$A:$A,'실제 인원'!E:E)</f>
        <v>3</v>
      </c>
      <c r="J9" s="3">
        <f t="shared" si="1"/>
        <v>1.1967210858900807</v>
      </c>
      <c r="K9" s="3">
        <f t="shared" si="2"/>
        <v>1.3284336419753084</v>
      </c>
      <c r="L9" s="3">
        <f t="shared" si="3"/>
        <v>1.1842561372375038</v>
      </c>
      <c r="M9" s="3">
        <f t="shared" si="4"/>
        <v>1.4529449277095228</v>
      </c>
    </row>
    <row r="10" spans="1:13" x14ac:dyDescent="0.45">
      <c r="A10" t="s">
        <v>737</v>
      </c>
      <c r="B10" s="3">
        <f>AVERAGE('FTE 계산'!W10,'FTE 계산'!AI10,'FTE 계산'!AU10)</f>
        <v>7.9118069923371648</v>
      </c>
      <c r="C10" s="3">
        <f>AVERAGE('FTE 계산'!X10,'FTE 계산'!AJ10,'FTE 계산'!AV10)</f>
        <v>2.1366356260372488</v>
      </c>
      <c r="D10" s="3">
        <f>AVERAGE('FTE 계산'!Y10,'FTE 계산'!AK10,'FTE 계산'!AW10)</f>
        <v>4.749500103071532</v>
      </c>
      <c r="E10" s="3">
        <f>AVERAGE('FTE 계산'!Z10,'FTE 계산'!AL10,'FTE 계산'!AX10)</f>
        <v>1.072579656862745</v>
      </c>
      <c r="F10">
        <f>_xlfn.XLOOKUP($A10,'실제 인원'!$A:$A,'실제 인원'!B:B)</f>
        <v>8</v>
      </c>
      <c r="G10">
        <f>_xlfn.XLOOKUP($A10,'실제 인원'!$A:$A,'실제 인원'!C:C)</f>
        <v>2</v>
      </c>
      <c r="H10">
        <f>_xlfn.XLOOKUP($A10,'실제 인원'!$A:$A,'실제 인원'!D:D)</f>
        <v>4</v>
      </c>
      <c r="I10">
        <f>_xlfn.XLOOKUP($A10,'실제 인원'!$A:$A,'실제 인원'!E:E)</f>
        <v>2</v>
      </c>
      <c r="J10" s="3">
        <f t="shared" si="1"/>
        <v>0.9889758740421456</v>
      </c>
      <c r="K10" s="3">
        <f t="shared" si="2"/>
        <v>1.0683178130186244</v>
      </c>
      <c r="L10" s="3">
        <f t="shared" si="3"/>
        <v>1.187375025767883</v>
      </c>
      <c r="M10" s="3">
        <f t="shared" si="4"/>
        <v>0.53628982843137252</v>
      </c>
    </row>
    <row r="11" spans="1:13" x14ac:dyDescent="0.45">
      <c r="A11" t="s">
        <v>741</v>
      </c>
      <c r="B11" s="3">
        <f>AVERAGE('FTE 계산'!W11,'FTE 계산'!AI11,'FTE 계산'!AU11)</f>
        <v>22.162766280934196</v>
      </c>
      <c r="C11" s="3">
        <f>AVERAGE('FTE 계산'!X11,'FTE 계산'!AJ11,'FTE 계산'!AV11)</f>
        <v>3.216894861392833</v>
      </c>
      <c r="D11" s="3">
        <f>AVERAGE('FTE 계산'!Y11,'FTE 계산'!AK11,'FTE 계산'!AW11)</f>
        <v>5.5471099508599506</v>
      </c>
      <c r="E11" s="3">
        <f>AVERAGE('FTE 계산'!Z11,'FTE 계산'!AL11,'FTE 계산'!AX11)</f>
        <v>12.940136985529776</v>
      </c>
      <c r="F11">
        <f>_xlfn.XLOOKUP($A11,'실제 인원'!$A:$A,'실제 인원'!B:B)</f>
        <v>14</v>
      </c>
      <c r="G11">
        <f>_xlfn.XLOOKUP($A11,'실제 인원'!$A:$A,'실제 인원'!C:C)</f>
        <v>2</v>
      </c>
      <c r="H11">
        <f>_xlfn.XLOOKUP($A11,'실제 인원'!$A:$A,'실제 인원'!D:D)</f>
        <v>4</v>
      </c>
      <c r="I11">
        <f>_xlfn.XLOOKUP($A11,'실제 인원'!$A:$A,'실제 인원'!E:E)</f>
        <v>6</v>
      </c>
      <c r="J11" s="3">
        <f t="shared" si="1"/>
        <v>1.5830547343524426</v>
      </c>
      <c r="K11" s="3">
        <f t="shared" si="2"/>
        <v>1.6084474306964165</v>
      </c>
      <c r="L11" s="3">
        <f t="shared" si="3"/>
        <v>1.3867774877149877</v>
      </c>
      <c r="M11" s="3">
        <f t="shared" si="4"/>
        <v>2.156689497588296</v>
      </c>
    </row>
    <row r="12" spans="1:13" x14ac:dyDescent="0.45">
      <c r="A12" t="s">
        <v>885</v>
      </c>
      <c r="B12" s="3">
        <f>AVERAGE('FTE 계산'!W12,'FTE 계산'!AI12,'FTE 계산'!AU12)</f>
        <v>7.8791181157902086</v>
      </c>
      <c r="C12" s="3">
        <f>AVERAGE('FTE 계산'!X12,'FTE 계산'!AJ12,'FTE 계산'!AV12)</f>
        <v>2.2866303803803807</v>
      </c>
      <c r="D12" s="3">
        <f>AVERAGE('FTE 계산'!Y12,'FTE 계산'!AK12,'FTE 계산'!AW12)</f>
        <v>4.4584873936436438</v>
      </c>
      <c r="E12" s="3">
        <f>AVERAGE('FTE 계산'!Z12,'FTE 계산'!AL12,'FTE 계산'!AX12)</f>
        <v>1.1352056100217867</v>
      </c>
      <c r="F12">
        <f>_xlfn.XLOOKUP($A12,'실제 인원'!$A:$A,'실제 인원'!B:B)</f>
        <v>7</v>
      </c>
      <c r="G12">
        <f>_xlfn.XLOOKUP($A12,'실제 인원'!$A:$A,'실제 인원'!C:C)</f>
        <v>2</v>
      </c>
      <c r="H12">
        <f>_xlfn.XLOOKUP($A12,'실제 인원'!$A:$A,'실제 인원'!D:D)</f>
        <v>4</v>
      </c>
      <c r="I12">
        <f>_xlfn.XLOOKUP($A12,'실제 인원'!$A:$A,'실제 인원'!E:E)</f>
        <v>1</v>
      </c>
      <c r="J12" s="3">
        <f t="shared" si="1"/>
        <v>1.125588302255744</v>
      </c>
      <c r="K12" s="3">
        <f t="shared" si="2"/>
        <v>1.1433151901901903</v>
      </c>
      <c r="L12" s="3">
        <f t="shared" si="3"/>
        <v>1.1146218484109109</v>
      </c>
      <c r="M12" s="3">
        <f t="shared" si="4"/>
        <v>1.1352056100217867</v>
      </c>
    </row>
    <row r="13" spans="1:13" x14ac:dyDescent="0.45">
      <c r="A13" t="s">
        <v>922</v>
      </c>
      <c r="B13" s="3">
        <f>AVERAGE('FTE 계산'!W13,'FTE 계산'!AI13,'FTE 계산'!AU13)</f>
        <v>8.3166612319102313</v>
      </c>
      <c r="C13" s="3">
        <f>AVERAGE('FTE 계산'!X13,'FTE 계산'!AJ13,'FTE 계산'!AV13)</f>
        <v>2.4152769471026052</v>
      </c>
      <c r="D13" s="3">
        <f>AVERAGE('FTE 계산'!Y13,'FTE 계산'!AK13,'FTE 계산'!AW13)</f>
        <v>4.7317486873482828</v>
      </c>
      <c r="E13" s="3">
        <f>AVERAGE('FTE 계산'!Z13,'FTE 계산'!AL13,'FTE 계산'!AX13)</f>
        <v>1.1741365131578949</v>
      </c>
      <c r="F13">
        <f>_xlfn.XLOOKUP($A13,'실제 인원'!$A:$A,'실제 인원'!B:B)</f>
        <v>6</v>
      </c>
      <c r="G13">
        <f>_xlfn.XLOOKUP($A13,'실제 인원'!$A:$A,'실제 인원'!C:C)</f>
        <v>2</v>
      </c>
      <c r="H13">
        <f>_xlfn.XLOOKUP($A13,'실제 인원'!$A:$A,'실제 인원'!D:D)</f>
        <v>4</v>
      </c>
      <c r="I13">
        <f>_xlfn.XLOOKUP($A13,'실제 인원'!$A:$A,'실제 인원'!E:E)</f>
        <v>0</v>
      </c>
      <c r="J13" s="3">
        <f t="shared" si="1"/>
        <v>1.3861102053183718</v>
      </c>
      <c r="K13" s="3">
        <f t="shared" si="2"/>
        <v>1.2076384735513026</v>
      </c>
      <c r="L13" s="3">
        <f t="shared" si="3"/>
        <v>1.1829371718370707</v>
      </c>
      <c r="M13" s="3" t="e">
        <f t="shared" si="4"/>
        <v>#DIV/0!</v>
      </c>
    </row>
    <row r="14" spans="1:13" x14ac:dyDescent="0.45">
      <c r="A14" s="2" t="s">
        <v>909</v>
      </c>
      <c r="B14" s="3">
        <f>AVERAGE('FTE 계산'!W14,'FTE 계산'!AI14,'FTE 계산'!AU14)</f>
        <v>15.676960511473268</v>
      </c>
      <c r="C14" s="3">
        <f>AVERAGE('FTE 계산'!X14,'FTE 계산'!AJ14,'FTE 계산'!AV14)</f>
        <v>5.1937983482504038</v>
      </c>
      <c r="D14" s="3">
        <f>AVERAGE('FTE 계산'!Y14,'FTE 계산'!AK14,'FTE 계산'!AW14)</f>
        <v>9.358411049415416</v>
      </c>
      <c r="E14" s="3">
        <f>AVERAGE('FTE 계산'!Z14,'FTE 계산'!AL14,'FTE 계산'!AX14)</f>
        <v>1.1277665317139001</v>
      </c>
      <c r="F14">
        <f>_xlfn.XLOOKUP($A14,'실제 인원'!$A:$A,'실제 인원'!B:B)</f>
        <v>11</v>
      </c>
      <c r="G14">
        <f>_xlfn.XLOOKUP($A14,'실제 인원'!$A:$A,'실제 인원'!C:C)</f>
        <v>4</v>
      </c>
      <c r="H14">
        <f>_xlfn.XLOOKUP($A14,'실제 인원'!$A:$A,'실제 인원'!D:D)</f>
        <v>6</v>
      </c>
      <c r="I14">
        <f>_xlfn.XLOOKUP($A14,'실제 인원'!$A:$A,'실제 인원'!E:E)</f>
        <v>1</v>
      </c>
      <c r="J14" s="3">
        <f t="shared" si="1"/>
        <v>1.4251782283157517</v>
      </c>
      <c r="K14" s="3">
        <f t="shared" si="2"/>
        <v>1.2984495870626009</v>
      </c>
      <c r="L14" s="3">
        <f t="shared" si="3"/>
        <v>1.5597351749025694</v>
      </c>
      <c r="M14" s="3">
        <f t="shared" si="4"/>
        <v>1.1277665317139001</v>
      </c>
    </row>
    <row r="15" spans="1:13" x14ac:dyDescent="0.45">
      <c r="A15" t="s">
        <v>931</v>
      </c>
      <c r="B15" s="3">
        <f>AVERAGE('FTE 계산'!W15,'FTE 계산'!AI15,'FTE 계산'!AU15)</f>
        <v>7.29019114294654</v>
      </c>
      <c r="C15" s="3">
        <f>AVERAGE('FTE 계산'!X15,'FTE 계산'!AJ15,'FTE 계산'!AV15)</f>
        <v>2.416036184210526</v>
      </c>
      <c r="D15" s="3">
        <f>AVERAGE('FTE 계산'!Y15,'FTE 계산'!AK15,'FTE 계산'!AW15)</f>
        <v>4.8801901440611113</v>
      </c>
      <c r="E15" s="3" t="e">
        <f>AVERAGE('FTE 계산'!Z15,'FTE 계산'!AL15,'FTE 계산'!AX15)</f>
        <v>#DIV/0!</v>
      </c>
      <c r="F15">
        <f>_xlfn.XLOOKUP($A15,'실제 인원'!$A:$A,'실제 인원'!B:B)</f>
        <v>6</v>
      </c>
      <c r="G15">
        <f>_xlfn.XLOOKUP($A15,'실제 인원'!$A:$A,'실제 인원'!C:C)</f>
        <v>2</v>
      </c>
      <c r="H15">
        <f>_xlfn.XLOOKUP($A15,'실제 인원'!$A:$A,'실제 인원'!D:D)</f>
        <v>4</v>
      </c>
      <c r="I15">
        <f>_xlfn.XLOOKUP($A15,'실제 인원'!$A:$A,'실제 인원'!E:E)</f>
        <v>0</v>
      </c>
      <c r="J15" s="3">
        <f t="shared" si="1"/>
        <v>1.2150318571577567</v>
      </c>
      <c r="K15" s="3">
        <f t="shared" si="2"/>
        <v>1.208018092105263</v>
      </c>
      <c r="L15" s="3">
        <f t="shared" si="3"/>
        <v>1.2200475360152778</v>
      </c>
      <c r="M15" s="3" t="e">
        <f t="shared" si="4"/>
        <v>#DIV/0!</v>
      </c>
    </row>
    <row r="16" spans="1:13" x14ac:dyDescent="0.45">
      <c r="A16" t="s">
        <v>962</v>
      </c>
      <c r="B16" s="3">
        <f>AVERAGE('FTE 계산'!W16,'FTE 계산'!AI16,'FTE 계산'!AU16)</f>
        <v>18.114738632178682</v>
      </c>
      <c r="C16" s="3">
        <f>AVERAGE('FTE 계산'!X16,'FTE 계산'!AJ16,'FTE 계산'!AV16)</f>
        <v>4.3175566206500831</v>
      </c>
      <c r="D16" s="3">
        <f>AVERAGE('FTE 계산'!Y16,'FTE 계산'!AK16,'FTE 계산'!AW16)</f>
        <v>8.3230401838154631</v>
      </c>
      <c r="E16" s="3">
        <f>AVERAGE('FTE 계산'!Z16,'FTE 계산'!AL16,'FTE 계산'!AX16)</f>
        <v>5.4462743593582346</v>
      </c>
      <c r="F16">
        <f>_xlfn.XLOOKUP($A16,'실제 인원'!$A:$A,'실제 인원'!B:B)</f>
        <v>13</v>
      </c>
      <c r="G16">
        <f>_xlfn.XLOOKUP($A16,'실제 인원'!$A:$A,'실제 인원'!C:C)</f>
        <v>3</v>
      </c>
      <c r="H16">
        <f>_xlfn.XLOOKUP($A16,'실제 인원'!$A:$A,'실제 인원'!D:D)</f>
        <v>6</v>
      </c>
      <c r="I16">
        <f>_xlfn.XLOOKUP($A16,'실제 인원'!$A:$A,'실제 인원'!E:E)</f>
        <v>3</v>
      </c>
      <c r="J16" s="3">
        <f t="shared" si="1"/>
        <v>1.393441433244514</v>
      </c>
      <c r="K16" s="3">
        <f t="shared" si="2"/>
        <v>1.4391855402166944</v>
      </c>
      <c r="L16" s="3">
        <f t="shared" si="3"/>
        <v>1.3871733639692438</v>
      </c>
      <c r="M16" s="3">
        <f t="shared" si="4"/>
        <v>1.8154247864527449</v>
      </c>
    </row>
    <row r="17" spans="1:13" x14ac:dyDescent="0.45">
      <c r="A17" t="s">
        <v>940</v>
      </c>
      <c r="B17" s="3">
        <f>AVERAGE('FTE 계산'!W17,'FTE 계산'!AI17,'FTE 계산'!AU17)</f>
        <v>7.8753656933258211</v>
      </c>
      <c r="C17" s="3">
        <f>AVERAGE('FTE 계산'!X17,'FTE 계산'!AJ17,'FTE 계산'!AV17)</f>
        <v>2.7842984811734812</v>
      </c>
      <c r="D17" s="3">
        <f>AVERAGE('FTE 계산'!Y17,'FTE 계산'!AK17,'FTE 계산'!AW17)</f>
        <v>1.1849537037037037</v>
      </c>
      <c r="E17" s="3">
        <f>AVERAGE('FTE 계산'!Z17,'FTE 계산'!AL17,'FTE 계산'!AX17)</f>
        <v>3.9179383116883115</v>
      </c>
      <c r="F17">
        <f>_xlfn.XLOOKUP($A17,'실제 인원'!$A:$A,'실제 인원'!B:B)</f>
        <v>6</v>
      </c>
      <c r="G17">
        <f>_xlfn.XLOOKUP($A17,'실제 인원'!$A:$A,'실제 인원'!C:C)</f>
        <v>2</v>
      </c>
      <c r="H17">
        <f>_xlfn.XLOOKUP($A17,'실제 인원'!$A:$A,'실제 인원'!D:D)</f>
        <v>1</v>
      </c>
      <c r="I17">
        <f>_xlfn.XLOOKUP($A17,'실제 인원'!$A:$A,'실제 인원'!E:E)</f>
        <v>2</v>
      </c>
      <c r="J17" s="3">
        <f t="shared" si="1"/>
        <v>1.3125609488876369</v>
      </c>
      <c r="K17" s="3">
        <f t="shared" si="2"/>
        <v>1.3921492405867406</v>
      </c>
      <c r="L17" s="3">
        <f t="shared" si="3"/>
        <v>1.1849537037037037</v>
      </c>
      <c r="M17" s="3">
        <f t="shared" si="4"/>
        <v>1.9589691558441558</v>
      </c>
    </row>
    <row r="18" spans="1:13" x14ac:dyDescent="0.45">
      <c r="A18" t="s">
        <v>743</v>
      </c>
      <c r="B18" s="3">
        <f>AVERAGE('FTE 계산'!W18,'FTE 계산'!AI18,'FTE 계산'!AU18)</f>
        <v>14.106236713846428</v>
      </c>
      <c r="C18" s="3">
        <f>AVERAGE('FTE 계산'!X18,'FTE 계산'!AJ18,'FTE 계산'!AV18)</f>
        <v>8.6697868910345459</v>
      </c>
      <c r="D18" s="3">
        <f>AVERAGE('FTE 계산'!Y18,'FTE 계산'!AK18,'FTE 계산'!AW18)</f>
        <v>3.3981423611111112</v>
      </c>
      <c r="E18" s="3">
        <f>AVERAGE('FTE 계산'!Z18,'FTE 계산'!AL18,'FTE 계산'!AX18)</f>
        <v>1.0829166666666665</v>
      </c>
      <c r="F18">
        <f>_xlfn.XLOOKUP($A18,'실제 인원'!$A:$A,'실제 인원'!B:B)</f>
        <v>6</v>
      </c>
      <c r="G18">
        <f>_xlfn.XLOOKUP($A18,'실제 인원'!$A:$A,'실제 인원'!C:C)</f>
        <v>3</v>
      </c>
      <c r="H18">
        <f>_xlfn.XLOOKUP($A18,'실제 인원'!$A:$A,'실제 인원'!D:D)</f>
        <v>2</v>
      </c>
      <c r="I18">
        <f>_xlfn.XLOOKUP($A18,'실제 인원'!$A:$A,'실제 인원'!E:E)</f>
        <v>1</v>
      </c>
      <c r="J18" s="3">
        <f t="shared" si="1"/>
        <v>2.351039452307738</v>
      </c>
      <c r="K18" s="3">
        <f t="shared" si="2"/>
        <v>2.889928963678182</v>
      </c>
      <c r="L18" s="3">
        <f t="shared" si="3"/>
        <v>1.6990711805555556</v>
      </c>
      <c r="M18" s="3">
        <f t="shared" si="4"/>
        <v>1.0829166666666665</v>
      </c>
    </row>
    <row r="19" spans="1:13" x14ac:dyDescent="0.45">
      <c r="A19" t="s">
        <v>830</v>
      </c>
      <c r="B19" s="3">
        <f>AVERAGE('FTE 계산'!W19,'FTE 계산'!AI19,'FTE 계산'!AU19)</f>
        <v>7.2105955718407762</v>
      </c>
      <c r="C19" s="3">
        <f>AVERAGE('FTE 계산'!X19,'FTE 계산'!AJ19,'FTE 계산'!AV19)</f>
        <v>2.4350039318255638</v>
      </c>
      <c r="D19" s="3">
        <f>AVERAGE('FTE 계산'!Y19,'FTE 계산'!AK19,'FTE 계산'!AW19)</f>
        <v>2.3962680862680865</v>
      </c>
      <c r="E19" s="3">
        <f>AVERAGE('FTE 계산'!Z19,'FTE 계산'!AL19,'FTE 계산'!AX19)</f>
        <v>2.379188981608336</v>
      </c>
      <c r="F19">
        <f>_xlfn.XLOOKUP($A19,'실제 인원'!$A:$A,'실제 인원'!B:B)</f>
        <v>6</v>
      </c>
      <c r="G19">
        <f>_xlfn.XLOOKUP($A19,'실제 인원'!$A:$A,'실제 인원'!C:C)</f>
        <v>2</v>
      </c>
      <c r="H19">
        <f>_xlfn.XLOOKUP($A19,'실제 인원'!$A:$A,'실제 인원'!D:D)</f>
        <v>2</v>
      </c>
      <c r="I19">
        <f>_xlfn.XLOOKUP($A19,'실제 인원'!$A:$A,'실제 인원'!E:E)</f>
        <v>2</v>
      </c>
      <c r="J19" s="3">
        <f t="shared" si="1"/>
        <v>1.2017659286401294</v>
      </c>
      <c r="K19" s="3">
        <f t="shared" si="2"/>
        <v>1.2175019659127819</v>
      </c>
      <c r="L19" s="3">
        <f t="shared" si="3"/>
        <v>1.1981340431340433</v>
      </c>
      <c r="M19" s="3">
        <f t="shared" si="4"/>
        <v>1.189594490804168</v>
      </c>
    </row>
    <row r="20" spans="1:13" x14ac:dyDescent="0.45">
      <c r="A20" t="s">
        <v>956</v>
      </c>
      <c r="B20" s="3">
        <f>AVERAGE('FTE 계산'!W20,'FTE 계산'!AI20,'FTE 계산'!AU20)</f>
        <v>15.345245869375633</v>
      </c>
      <c r="C20" s="3">
        <f>AVERAGE('FTE 계산'!X20,'FTE 계산'!AJ20,'FTE 계산'!AV20)</f>
        <v>2.6228758169934641</v>
      </c>
      <c r="D20" s="3">
        <f>AVERAGE('FTE 계산'!Y20,'FTE 계산'!AK20,'FTE 계산'!AW20)</f>
        <v>10.370816850871558</v>
      </c>
      <c r="E20" s="3">
        <f>AVERAGE('FTE 계산'!Z20,'FTE 계산'!AL20,'FTE 계산'!AX20)</f>
        <v>2.475377797151991</v>
      </c>
      <c r="F20">
        <f>_xlfn.XLOOKUP($A20,'실제 인원'!$A:$A,'실제 인원'!B:B)</f>
        <v>13</v>
      </c>
      <c r="G20">
        <f>_xlfn.XLOOKUP($A20,'실제 인원'!$A:$A,'실제 인원'!C:C)</f>
        <v>2</v>
      </c>
      <c r="H20">
        <f>_xlfn.XLOOKUP($A20,'실제 인원'!$A:$A,'실제 인원'!D:D)</f>
        <v>9</v>
      </c>
      <c r="I20">
        <f>_xlfn.XLOOKUP($A20,'실제 인원'!$A:$A,'실제 인원'!E:E)</f>
        <v>2</v>
      </c>
      <c r="J20" s="3">
        <f t="shared" si="1"/>
        <v>1.1804035284135102</v>
      </c>
      <c r="K20" s="3">
        <f t="shared" si="2"/>
        <v>1.311437908496732</v>
      </c>
      <c r="L20" s="3">
        <f t="shared" si="3"/>
        <v>1.1523129834301731</v>
      </c>
      <c r="M20" s="3">
        <f t="shared" si="4"/>
        <v>1.2376888985759955</v>
      </c>
    </row>
    <row r="21" spans="1:13" x14ac:dyDescent="0.45">
      <c r="A21" t="s">
        <v>835</v>
      </c>
      <c r="B21" s="3">
        <f>AVERAGE('FTE 계산'!W21,'FTE 계산'!AI21,'FTE 계산'!AU21)</f>
        <v>7.2555302581900678</v>
      </c>
      <c r="C21" s="3">
        <f>AVERAGE('FTE 계산'!X21,'FTE 계산'!AJ21,'FTE 계산'!AV21)</f>
        <v>0.73058712121212122</v>
      </c>
      <c r="D21" s="3">
        <f>AVERAGE('FTE 계산'!Y21,'FTE 계산'!AK21,'FTE 계산'!AW21)</f>
        <v>5.176325555386101</v>
      </c>
      <c r="E21" s="3">
        <f>AVERAGE('FTE 계산'!Z21,'FTE 계산'!AL21,'FTE 계산'!AX21)</f>
        <v>1.1118872549019609</v>
      </c>
      <c r="F21">
        <f>_xlfn.XLOOKUP($A21,'실제 인원'!$A:$A,'실제 인원'!B:B)</f>
        <v>7</v>
      </c>
      <c r="G21">
        <f>_xlfn.XLOOKUP($A21,'실제 인원'!$A:$A,'실제 인원'!C:C)</f>
        <v>1</v>
      </c>
      <c r="H21">
        <f>_xlfn.XLOOKUP($A21,'실제 인원'!$A:$A,'실제 인원'!D:D)</f>
        <v>5</v>
      </c>
      <c r="I21">
        <f>_xlfn.XLOOKUP($A21,'실제 인원'!$A:$A,'실제 인원'!E:E)</f>
        <v>1</v>
      </c>
      <c r="J21" s="3">
        <f t="shared" si="1"/>
        <v>1.0365043225985811</v>
      </c>
      <c r="K21" s="3">
        <f t="shared" si="2"/>
        <v>0.73058712121212122</v>
      </c>
      <c r="L21" s="3">
        <f t="shared" si="3"/>
        <v>1.0352651110772202</v>
      </c>
      <c r="M21" s="3">
        <f t="shared" si="4"/>
        <v>1.1118872549019609</v>
      </c>
    </row>
    <row r="22" spans="1:13" x14ac:dyDescent="0.45">
      <c r="A22" t="s">
        <v>1013</v>
      </c>
      <c r="B22" s="3">
        <f>AVERAGE('FTE 계산'!W22,'FTE 계산'!AI22,'FTE 계산'!AU22)</f>
        <v>4.9166926712205354</v>
      </c>
      <c r="C22" s="3">
        <f>AVERAGE('FTE 계산'!X22,'FTE 계산'!AJ22,'FTE 계산'!AV22)</f>
        <v>1.238077615914787</v>
      </c>
      <c r="D22" s="3">
        <f>AVERAGE('FTE 계산'!Y22,'FTE 계산'!AK22,'FTE 계산'!AW22)</f>
        <v>2.4642582098227259</v>
      </c>
      <c r="E22" s="3">
        <f>AVERAGE('FTE 계산'!Z22,'FTE 계산'!AL22,'FTE 계산'!AX22)</f>
        <v>1.2085437628998967</v>
      </c>
      <c r="F22">
        <f>_xlfn.XLOOKUP($A22,'실제 인원'!$A:$A,'실제 인원'!B:B)</f>
        <v>5</v>
      </c>
      <c r="G22">
        <f>_xlfn.XLOOKUP($A22,'실제 인원'!$A:$A,'실제 인원'!C:C)</f>
        <v>1</v>
      </c>
      <c r="H22">
        <f>_xlfn.XLOOKUP($A22,'실제 인원'!$A:$A,'실제 인원'!D:D)</f>
        <v>2</v>
      </c>
      <c r="I22">
        <f>_xlfn.XLOOKUP($A22,'실제 인원'!$A:$A,'실제 인원'!E:E)</f>
        <v>1</v>
      </c>
      <c r="J22" s="3">
        <f t="shared" si="1"/>
        <v>0.98333853424410711</v>
      </c>
      <c r="K22" s="3">
        <f t="shared" si="2"/>
        <v>1.238077615914787</v>
      </c>
      <c r="L22" s="3">
        <f t="shared" si="3"/>
        <v>1.232129104911363</v>
      </c>
      <c r="M22" s="3">
        <f t="shared" si="4"/>
        <v>1.2085437628998967</v>
      </c>
    </row>
    <row r="23" spans="1:13" x14ac:dyDescent="0.45">
      <c r="A23" t="s">
        <v>1036</v>
      </c>
      <c r="B23" s="3">
        <f>AVERAGE('FTE 계산'!W23,'FTE 계산'!AI23,'FTE 계산'!AU23)</f>
        <v>4.8950619406098861</v>
      </c>
      <c r="C23" s="3">
        <f>AVERAGE('FTE 계산'!X23,'FTE 계산'!AJ23,'FTE 계산'!AV23)</f>
        <v>1.2255787037037036</v>
      </c>
      <c r="D23" s="3">
        <f>AVERAGE('FTE 계산'!Y23,'FTE 계산'!AK23,'FTE 계산'!AW23)</f>
        <v>1.1297743055555556</v>
      </c>
      <c r="E23" s="3">
        <f>AVERAGE('FTE 계산'!Z23,'FTE 계산'!AL23,'FTE 계산'!AX23)</f>
        <v>2.5465474387800362</v>
      </c>
      <c r="F23">
        <f>_xlfn.XLOOKUP($A23,'실제 인원'!$A:$A,'실제 인원'!B:B)</f>
        <v>4</v>
      </c>
      <c r="G23">
        <f>_xlfn.XLOOKUP($A23,'실제 인원'!$A:$A,'실제 인원'!C:C)</f>
        <v>1</v>
      </c>
      <c r="H23">
        <f>_xlfn.XLOOKUP($A23,'실제 인원'!$A:$A,'실제 인원'!D:D)</f>
        <v>1</v>
      </c>
      <c r="I23">
        <f>_xlfn.XLOOKUP($A23,'실제 인원'!$A:$A,'실제 인원'!E:E)</f>
        <v>2</v>
      </c>
      <c r="J23" s="3">
        <f t="shared" si="1"/>
        <v>1.2237654851524715</v>
      </c>
      <c r="K23" s="3">
        <f t="shared" si="2"/>
        <v>1.2255787037037036</v>
      </c>
      <c r="L23" s="3">
        <f t="shared" si="3"/>
        <v>1.1297743055555556</v>
      </c>
      <c r="M23" s="3">
        <f t="shared" si="4"/>
        <v>1.2732737193900181</v>
      </c>
    </row>
    <row r="24" spans="1:13" x14ac:dyDescent="0.45">
      <c r="A24" t="s">
        <v>739</v>
      </c>
      <c r="B24" s="3">
        <f>AVERAGE('FTE 계산'!W24,'FTE 계산'!AI24,'FTE 계산'!AU24)</f>
        <v>14.435315812687259</v>
      </c>
      <c r="C24" s="3">
        <f>AVERAGE('FTE 계산'!X24,'FTE 계산'!AJ24,'FTE 계산'!AV24)</f>
        <v>1.1466666666666667</v>
      </c>
      <c r="D24" s="3">
        <f>AVERAGE('FTE 계산'!Y24,'FTE 계산'!AK24,'FTE 계산'!AW24)</f>
        <v>11.451445389354872</v>
      </c>
      <c r="E24" s="3">
        <f>AVERAGE('FTE 계산'!Z24,'FTE 계산'!AL24,'FTE 계산'!AX24)</f>
        <v>2.2236868492916884</v>
      </c>
      <c r="F24">
        <f>_xlfn.XLOOKUP($A24,'실제 인원'!$A:$A,'실제 인원'!B:B)</f>
        <v>14</v>
      </c>
      <c r="G24">
        <f>_xlfn.XLOOKUP($A24,'실제 인원'!$A:$A,'실제 인원'!C:C)</f>
        <v>2</v>
      </c>
      <c r="H24">
        <f>_xlfn.XLOOKUP($A24,'실제 인원'!$A:$A,'실제 인원'!D:D)</f>
        <v>10</v>
      </c>
      <c r="I24">
        <f>_xlfn.XLOOKUP($A24,'실제 인원'!$A:$A,'실제 인원'!E:E)</f>
        <v>2</v>
      </c>
      <c r="J24" s="3">
        <f t="shared" si="1"/>
        <v>1.0310939866205184</v>
      </c>
      <c r="K24" s="3">
        <f t="shared" si="2"/>
        <v>0.57333333333333336</v>
      </c>
      <c r="L24" s="3">
        <f t="shared" si="3"/>
        <v>1.1451445389354871</v>
      </c>
      <c r="M24" s="3">
        <f t="shared" si="4"/>
        <v>1.1118434246458442</v>
      </c>
    </row>
    <row r="25" spans="1:13" x14ac:dyDescent="0.45">
      <c r="A25" t="s">
        <v>1001</v>
      </c>
      <c r="B25" s="3">
        <f>AVERAGE('FTE 계산'!W25,'FTE 계산'!AI25,'FTE 계산'!AU25)</f>
        <v>7.4535985366851607</v>
      </c>
      <c r="C25" s="3">
        <f>AVERAGE('FTE 계산'!X25,'FTE 계산'!AJ25,'FTE 계산'!AV25)</f>
        <v>2.5782367523668506</v>
      </c>
      <c r="D25" s="3">
        <f>AVERAGE('FTE 계산'!Y25,'FTE 계산'!AK25,'FTE 계산'!AW25)</f>
        <v>2.43944315283025</v>
      </c>
      <c r="E25" s="3">
        <f>AVERAGE('FTE 계산'!Z25,'FTE 계산'!AL25,'FTE 계산'!AX25)</f>
        <v>2.4322398507702183</v>
      </c>
      <c r="F25">
        <f>_xlfn.XLOOKUP($A25,'실제 인원'!$A:$A,'실제 인원'!B:B)</f>
        <v>6</v>
      </c>
      <c r="G25">
        <f>_xlfn.XLOOKUP($A25,'실제 인원'!$A:$A,'실제 인원'!C:C)</f>
        <v>2</v>
      </c>
      <c r="H25">
        <f>_xlfn.XLOOKUP($A25,'실제 인원'!$A:$A,'실제 인원'!D:D)</f>
        <v>2</v>
      </c>
      <c r="I25">
        <f>_xlfn.XLOOKUP($A25,'실제 인원'!$A:$A,'실제 인원'!E:E)</f>
        <v>2</v>
      </c>
      <c r="J25" s="3">
        <f t="shared" si="1"/>
        <v>1.2422664227808602</v>
      </c>
      <c r="K25" s="3">
        <f t="shared" si="2"/>
        <v>1.2891183761834253</v>
      </c>
      <c r="L25" s="3">
        <f t="shared" si="3"/>
        <v>1.219721576415125</v>
      </c>
      <c r="M25" s="3">
        <f t="shared" si="4"/>
        <v>1.2161199253851092</v>
      </c>
    </row>
    <row r="26" spans="1:13" x14ac:dyDescent="0.45">
      <c r="A26" t="s">
        <v>1010</v>
      </c>
      <c r="B26" s="3">
        <f>AVERAGE('FTE 계산'!W26,'FTE 계산'!AI26,'FTE 계산'!AU26)</f>
        <v>12.462305437267942</v>
      </c>
      <c r="C26" s="3">
        <f>AVERAGE('FTE 계산'!X26,'FTE 계산'!AJ26,'FTE 계산'!AV26)</f>
        <v>2.3226107226107224</v>
      </c>
      <c r="D26" s="3">
        <f>AVERAGE('FTE 계산'!Y26,'FTE 계산'!AK26,'FTE 계산'!AW26)</f>
        <v>6.0067080171918876</v>
      </c>
      <c r="E26" s="3">
        <f>AVERAGE('FTE 계산'!Z26,'FTE 계산'!AL26,'FTE 계산'!AX26)</f>
        <v>4.1384660421545663</v>
      </c>
      <c r="F26">
        <f>_xlfn.XLOOKUP($A26,'실제 인원'!$A:$A,'실제 인원'!B:B)</f>
        <v>11</v>
      </c>
      <c r="G26">
        <f>_xlfn.XLOOKUP($A26,'실제 인원'!$A:$A,'실제 인원'!C:C)</f>
        <v>2</v>
      </c>
      <c r="H26">
        <f>_xlfn.XLOOKUP($A26,'실제 인원'!$A:$A,'실제 인원'!D:D)</f>
        <v>5</v>
      </c>
      <c r="I26">
        <f>_xlfn.XLOOKUP($A26,'실제 인원'!$A:$A,'실제 인원'!E:E)</f>
        <v>3</v>
      </c>
      <c r="J26" s="3">
        <f t="shared" si="1"/>
        <v>1.1329368579334493</v>
      </c>
      <c r="K26" s="3">
        <f t="shared" si="2"/>
        <v>1.1613053613053612</v>
      </c>
      <c r="L26" s="3">
        <f t="shared" si="3"/>
        <v>1.2013416034383775</v>
      </c>
      <c r="M26" s="3">
        <f t="shared" si="4"/>
        <v>1.3794886807181888</v>
      </c>
    </row>
    <row r="27" spans="1:13" x14ac:dyDescent="0.45">
      <c r="A27" t="s">
        <v>823</v>
      </c>
      <c r="B27" s="3">
        <f>AVERAGE('FTE 계산'!W27,'FTE 계산'!AI27,'FTE 계산'!AU27)</f>
        <v>9.1860001353143357</v>
      </c>
      <c r="C27" s="3">
        <f>AVERAGE('FTE 계산'!X27,'FTE 계산'!AJ27,'FTE 계산'!AV27)</f>
        <v>1.0705531189083821</v>
      </c>
      <c r="D27" s="3">
        <f>AVERAGE('FTE 계산'!Y27,'FTE 계산'!AK27,'FTE 계산'!AW27)</f>
        <v>6.9856121575342476</v>
      </c>
      <c r="E27" s="3">
        <f>AVERAGE('FTE 계산'!Z27,'FTE 계산'!AL27,'FTE 계산'!AX27)</f>
        <v>1.1552415966386553</v>
      </c>
      <c r="F27">
        <f>_xlfn.XLOOKUP($A27,'실제 인원'!$A:$A,'실제 인원'!B:B)</f>
        <v>11</v>
      </c>
      <c r="G27">
        <f>_xlfn.XLOOKUP($A27,'실제 인원'!$A:$A,'실제 인원'!C:C)</f>
        <v>3</v>
      </c>
      <c r="H27">
        <f>_xlfn.XLOOKUP($A27,'실제 인원'!$A:$A,'실제 인원'!D:D)</f>
        <v>8</v>
      </c>
      <c r="I27">
        <f>_xlfn.XLOOKUP($A27,'실제 인원'!$A:$A,'실제 인원'!E:E)</f>
        <v>0</v>
      </c>
      <c r="J27" s="3">
        <f t="shared" si="1"/>
        <v>0.8350909213922123</v>
      </c>
      <c r="K27" s="3">
        <f t="shared" si="2"/>
        <v>0.35685103963612735</v>
      </c>
      <c r="L27" s="3">
        <f t="shared" si="3"/>
        <v>0.87320151969178095</v>
      </c>
      <c r="M27" s="3" t="e">
        <f t="shared" si="4"/>
        <v>#DIV/0!</v>
      </c>
    </row>
    <row r="28" spans="1:13" x14ac:dyDescent="0.45">
      <c r="A28" t="s">
        <v>821</v>
      </c>
      <c r="B28" s="3">
        <f>AVERAGE('FTE 계산'!W28,'FTE 계산'!AI28,'FTE 계산'!AU28)</f>
        <v>7.0788438668025826</v>
      </c>
      <c r="C28" s="3" t="e">
        <f>AVERAGE('FTE 계산'!X28,'FTE 계산'!AJ28,'FTE 계산'!AV28)</f>
        <v>#DIV/0!</v>
      </c>
      <c r="D28" s="3">
        <f>AVERAGE('FTE 계산'!Y28,'FTE 계산'!AK28,'FTE 계산'!AW28)</f>
        <v>4.8210995544416591</v>
      </c>
      <c r="E28" s="3">
        <f>AVERAGE('FTE 계산'!Z28,'FTE 계산'!AL28,'FTE 계산'!AX28)</f>
        <v>2.2373957345034783</v>
      </c>
      <c r="F28">
        <f>_xlfn.XLOOKUP($A28,'실제 인원'!$A:$A,'실제 인원'!B:B)</f>
        <v>7</v>
      </c>
      <c r="G28">
        <f>_xlfn.XLOOKUP($A28,'실제 인원'!$A:$A,'실제 인원'!C:C)</f>
        <v>1</v>
      </c>
      <c r="H28">
        <f>_xlfn.XLOOKUP($A28,'실제 인원'!$A:$A,'실제 인원'!D:D)</f>
        <v>4</v>
      </c>
      <c r="I28">
        <f>_xlfn.XLOOKUP($A28,'실제 인원'!$A:$A,'실제 인원'!E:E)</f>
        <v>2</v>
      </c>
      <c r="J28" s="3">
        <f t="shared" si="1"/>
        <v>1.011263409543226</v>
      </c>
      <c r="K28" s="3" t="e">
        <f t="shared" si="2"/>
        <v>#DIV/0!</v>
      </c>
      <c r="L28" s="3">
        <f t="shared" si="3"/>
        <v>1.2052748886104148</v>
      </c>
      <c r="M28" s="3">
        <f t="shared" si="4"/>
        <v>1.1186978672517391</v>
      </c>
    </row>
    <row r="29" spans="1:13" x14ac:dyDescent="0.45">
      <c r="A29" t="s">
        <v>729</v>
      </c>
      <c r="B29" s="3">
        <f>AVERAGE('FTE 계산'!W29,'FTE 계산'!AI29,'FTE 계산'!AU29)</f>
        <v>6.0703264819275091</v>
      </c>
      <c r="C29" s="3">
        <f>AVERAGE('FTE 계산'!X29,'FTE 계산'!AJ29,'FTE 계산'!AV29)</f>
        <v>2.6225187372246195</v>
      </c>
      <c r="D29" s="3">
        <f>AVERAGE('FTE 계산'!Y29,'FTE 계산'!AK29,'FTE 계산'!AW29)</f>
        <v>2.3392798158689998</v>
      </c>
      <c r="E29" s="3">
        <f>AVERAGE('FTE 계산'!Z29,'FTE 계산'!AL29,'FTE 계산'!AX29)</f>
        <v>1.1066137566137566</v>
      </c>
      <c r="F29">
        <f>_xlfn.XLOOKUP($A29,'실제 인원'!$A:$A,'실제 인원'!B:B)</f>
        <v>6</v>
      </c>
      <c r="G29">
        <f>_xlfn.XLOOKUP($A29,'실제 인원'!$A:$A,'실제 인원'!C:C)</f>
        <v>2</v>
      </c>
      <c r="H29">
        <f>_xlfn.XLOOKUP($A29,'실제 인원'!$A:$A,'실제 인원'!D:D)</f>
        <v>2</v>
      </c>
      <c r="I29">
        <f>_xlfn.XLOOKUP($A29,'실제 인원'!$A:$A,'실제 인원'!E:E)</f>
        <v>2</v>
      </c>
      <c r="J29" s="3">
        <f t="shared" si="1"/>
        <v>1.0117210803212515</v>
      </c>
      <c r="K29" s="3">
        <f t="shared" si="2"/>
        <v>1.3112593686123097</v>
      </c>
      <c r="L29" s="3">
        <f t="shared" si="3"/>
        <v>1.1696399079344999</v>
      </c>
      <c r="M29" s="3">
        <f t="shared" si="4"/>
        <v>0.5533068783068783</v>
      </c>
    </row>
    <row r="30" spans="1:13" x14ac:dyDescent="0.45">
      <c r="A30" t="s">
        <v>1015</v>
      </c>
      <c r="B30" s="3">
        <f>AVERAGE('FTE 계산'!W30,'FTE 계산'!AI30,'FTE 계산'!AU30)</f>
        <v>2.8388355685230686</v>
      </c>
      <c r="C30" s="3">
        <f>AVERAGE('FTE 계산'!X30,'FTE 계산'!AJ30,'FTE 계산'!AV30)</f>
        <v>1.6689814814814816</v>
      </c>
      <c r="D30" s="3" t="e">
        <f>AVERAGE('FTE 계산'!Y30,'FTE 계산'!AK30,'FTE 계산'!AW30)</f>
        <v>#DIV/0!</v>
      </c>
      <c r="E30" s="3">
        <f>AVERAGE('FTE 계산'!Z30,'FTE 계산'!AL30,'FTE 계산'!AX30)</f>
        <v>1.1803881256449946</v>
      </c>
      <c r="F30">
        <f>_xlfn.XLOOKUP($A30,'실제 인원'!$A:$A,'실제 인원'!B:B)</f>
        <v>2</v>
      </c>
      <c r="G30">
        <f>_xlfn.XLOOKUP($A30,'실제 인원'!$A:$A,'실제 인원'!C:C)</f>
        <v>1</v>
      </c>
      <c r="H30">
        <f>_xlfn.XLOOKUP($A30,'실제 인원'!$A:$A,'실제 인원'!D:D)</f>
        <v>0</v>
      </c>
      <c r="I30">
        <f>_xlfn.XLOOKUP($A30,'실제 인원'!$A:$A,'실제 인원'!E:E)</f>
        <v>1</v>
      </c>
      <c r="J30" s="3">
        <f t="shared" si="1"/>
        <v>1.4194177842615343</v>
      </c>
      <c r="K30" s="3">
        <f t="shared" si="2"/>
        <v>1.6689814814814816</v>
      </c>
      <c r="L30" s="3" t="e">
        <f t="shared" si="3"/>
        <v>#DIV/0!</v>
      </c>
      <c r="M30" s="3">
        <f t="shared" si="4"/>
        <v>1.1803881256449946</v>
      </c>
    </row>
    <row r="31" spans="1:13" x14ac:dyDescent="0.45">
      <c r="A31" t="s">
        <v>1034</v>
      </c>
      <c r="B31" s="3">
        <f>AVERAGE('FTE 계산'!W31,'FTE 계산'!AI31,'FTE 계산'!AU31)</f>
        <v>11.749363800871526</v>
      </c>
      <c r="C31" s="3">
        <f>AVERAGE('FTE 계산'!X31,'FTE 계산'!AJ31,'FTE 계산'!AV31)</f>
        <v>3.3909474206349208</v>
      </c>
      <c r="D31" s="3">
        <f>AVERAGE('FTE 계산'!Y31,'FTE 계산'!AK31,'FTE 계산'!AW31)</f>
        <v>4.2062145877378434</v>
      </c>
      <c r="E31" s="3">
        <f>AVERAGE('FTE 계산'!Z31,'FTE 계산'!AL31,'FTE 계산'!AX31)</f>
        <v>3.3648406593406595</v>
      </c>
      <c r="F31">
        <f>_xlfn.XLOOKUP($A31,'실제 인원'!$A:$A,'실제 인원'!B:B)</f>
        <v>7</v>
      </c>
      <c r="G31">
        <f>_xlfn.XLOOKUP($A31,'실제 인원'!$A:$A,'실제 인원'!C:C)</f>
        <v>1</v>
      </c>
      <c r="H31">
        <f>_xlfn.XLOOKUP($A31,'실제 인원'!$A:$A,'실제 인원'!D:D)</f>
        <v>3</v>
      </c>
      <c r="I31">
        <f>_xlfn.XLOOKUP($A31,'실제 인원'!$A:$A,'실제 인원'!E:E)</f>
        <v>2</v>
      </c>
      <c r="J31" s="3">
        <f t="shared" si="1"/>
        <v>1.6784805429816465</v>
      </c>
      <c r="K31" s="3">
        <f t="shared" si="2"/>
        <v>3.3909474206349208</v>
      </c>
      <c r="L31" s="3">
        <f t="shared" si="3"/>
        <v>1.4020715292459478</v>
      </c>
      <c r="M31" s="3">
        <f t="shared" si="4"/>
        <v>1.6824203296703297</v>
      </c>
    </row>
    <row r="32" spans="1:13" x14ac:dyDescent="0.45">
      <c r="A32" t="s">
        <v>746</v>
      </c>
      <c r="B32" s="3">
        <f>AVERAGE('FTE 계산'!W32,'FTE 계산'!AI32,'FTE 계산'!AU32)</f>
        <v>8.1292044082125603</v>
      </c>
      <c r="C32" s="3">
        <f>AVERAGE('FTE 계산'!X32,'FTE 계산'!AJ32,'FTE 계산'!AV32)</f>
        <v>1.1920895989974936</v>
      </c>
      <c r="D32" s="3">
        <f>AVERAGE('FTE 계산'!Y32,'FTE 계산'!AK32,'FTE 계산'!AW32)</f>
        <v>4.7535017111151605</v>
      </c>
      <c r="E32" s="3">
        <f>AVERAGE('FTE 계산'!Z32,'FTE 계산'!AL32,'FTE 계산'!AX32)</f>
        <v>2.1312122584541062</v>
      </c>
      <c r="F32">
        <f>_xlfn.XLOOKUP($A32,'실제 인원'!$A:$A,'실제 인원'!B:B)</f>
        <v>10</v>
      </c>
      <c r="G32">
        <f>_xlfn.XLOOKUP($A32,'실제 인원'!$A:$A,'실제 인원'!C:C)</f>
        <v>2</v>
      </c>
      <c r="H32">
        <f>_xlfn.XLOOKUP($A32,'실제 인원'!$A:$A,'실제 인원'!D:D)</f>
        <v>6</v>
      </c>
      <c r="I32">
        <f>_xlfn.XLOOKUP($A32,'실제 인원'!$A:$A,'실제 인원'!E:E)</f>
        <v>2</v>
      </c>
      <c r="J32" s="3">
        <f t="shared" ref="J32:J33" si="5">B32/F32</f>
        <v>0.81292044082125603</v>
      </c>
      <c r="K32" s="3">
        <f t="shared" ref="K32:K33" si="6">C32/G32</f>
        <v>0.59604479949874678</v>
      </c>
      <c r="L32" s="3">
        <f t="shared" ref="L32:L33" si="7">D32/H32</f>
        <v>0.79225028518586005</v>
      </c>
      <c r="M32" s="3">
        <f t="shared" ref="M32:M33" si="8">E32/I32</f>
        <v>1.0656061292270531</v>
      </c>
    </row>
    <row r="33" spans="1:13" x14ac:dyDescent="0.45">
      <c r="A33" t="s">
        <v>1158</v>
      </c>
      <c r="B33" s="3">
        <f>AVERAGE('FTE 계산'!W33,'FTE 계산'!AI33,'FTE 계산'!AU33)</f>
        <v>1.1381587009803922</v>
      </c>
      <c r="C33" s="3" t="e">
        <f>AVERAGE('FTE 계산'!X33,'FTE 계산'!AJ33,'FTE 계산'!AV33)</f>
        <v>#DIV/0!</v>
      </c>
      <c r="D33" s="3" t="e">
        <f>AVERAGE('FTE 계산'!Y33,'FTE 계산'!AK33,'FTE 계산'!AW33)</f>
        <v>#DIV/0!</v>
      </c>
      <c r="E33" s="3">
        <f>AVERAGE('FTE 계산'!Z33,'FTE 계산'!AL33,'FTE 계산'!AX33)</f>
        <v>1.1381587009803922</v>
      </c>
      <c r="F33">
        <f>_xlfn.XLOOKUP($A33,'실제 인원'!$A:$A,'실제 인원'!B:B)</f>
        <v>0</v>
      </c>
      <c r="G33">
        <f>_xlfn.XLOOKUP($A33,'실제 인원'!$A:$A,'실제 인원'!C:C)</f>
        <v>0</v>
      </c>
      <c r="H33">
        <f>_xlfn.XLOOKUP($A33,'실제 인원'!$A:$A,'실제 인원'!D:D)</f>
        <v>0</v>
      </c>
      <c r="I33">
        <f>_xlfn.XLOOKUP($A33,'실제 인원'!$A:$A,'실제 인원'!E:E)</f>
        <v>0</v>
      </c>
      <c r="J33" s="3" t="e">
        <f t="shared" si="5"/>
        <v>#DIV/0!</v>
      </c>
      <c r="K33" s="3" t="e">
        <f t="shared" si="6"/>
        <v>#DIV/0!</v>
      </c>
      <c r="L33" s="3" t="e">
        <f t="shared" si="7"/>
        <v>#DIV/0!</v>
      </c>
      <c r="M33" s="3" t="e">
        <f t="shared" si="8"/>
        <v>#DIV/0!</v>
      </c>
    </row>
  </sheetData>
  <mergeCells count="3">
    <mergeCell ref="B1:E1"/>
    <mergeCell ref="F1:I1"/>
    <mergeCell ref="J1:M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553-4C95-47BA-BC1D-73652B8A0CE6}">
  <dimension ref="A1:AX253"/>
  <sheetViews>
    <sheetView topLeftCell="Z1" zoomScale="70" zoomScaleNormal="70" workbookViewId="0">
      <selection activeCell="W3" sqref="W3"/>
    </sheetView>
  </sheetViews>
  <sheetFormatPr defaultRowHeight="17" x14ac:dyDescent="0.45"/>
  <cols>
    <col min="3" max="3" width="11.6640625" customWidth="1"/>
    <col min="14" max="14" width="20.6640625" customWidth="1"/>
    <col min="15" max="15" width="8.6640625" customWidth="1"/>
  </cols>
  <sheetData>
    <row r="1" spans="1:50" x14ac:dyDescent="0.45">
      <c r="E1" s="8" t="s">
        <v>680</v>
      </c>
      <c r="F1" s="8"/>
      <c r="G1" s="8"/>
      <c r="H1" s="8" t="s">
        <v>681</v>
      </c>
      <c r="I1" s="8"/>
      <c r="J1" s="8"/>
      <c r="L1" t="s">
        <v>689</v>
      </c>
      <c r="O1" s="8" t="s">
        <v>682</v>
      </c>
      <c r="P1" s="8"/>
      <c r="Q1" s="8"/>
      <c r="R1" s="8"/>
      <c r="S1" s="8" t="s">
        <v>688</v>
      </c>
      <c r="T1" s="8"/>
      <c r="U1" s="8"/>
      <c r="V1" s="8"/>
      <c r="W1" s="8" t="s">
        <v>690</v>
      </c>
      <c r="X1" s="8"/>
      <c r="Y1" s="8"/>
      <c r="Z1" s="8"/>
      <c r="AA1" s="8" t="s">
        <v>686</v>
      </c>
      <c r="AB1" s="8"/>
      <c r="AC1" s="8"/>
      <c r="AD1" s="8"/>
      <c r="AE1" s="8" t="s">
        <v>696</v>
      </c>
      <c r="AF1" s="8"/>
      <c r="AG1" s="8"/>
      <c r="AH1" s="8"/>
      <c r="AI1" s="8" t="s">
        <v>691</v>
      </c>
      <c r="AJ1" s="8"/>
      <c r="AK1" s="8"/>
      <c r="AL1" s="8"/>
      <c r="AM1" s="8" t="s">
        <v>687</v>
      </c>
      <c r="AN1" s="8"/>
      <c r="AO1" s="8"/>
      <c r="AP1" s="8"/>
      <c r="AQ1" s="8" t="s">
        <v>697</v>
      </c>
      <c r="AR1" s="8"/>
      <c r="AS1" s="8"/>
      <c r="AT1" s="8"/>
      <c r="AU1" s="8" t="s">
        <v>692</v>
      </c>
      <c r="AV1" s="8"/>
      <c r="AW1" s="8"/>
      <c r="AX1" s="8"/>
    </row>
    <row r="2" spans="1:50" x14ac:dyDescent="0.45">
      <c r="A2" t="s">
        <v>674</v>
      </c>
      <c r="B2" t="s">
        <v>673</v>
      </c>
      <c r="C2" t="s">
        <v>676</v>
      </c>
      <c r="D2" t="s">
        <v>677</v>
      </c>
      <c r="E2">
        <v>6</v>
      </c>
      <c r="F2">
        <v>7</v>
      </c>
      <c r="G2">
        <v>8</v>
      </c>
      <c r="H2">
        <v>6</v>
      </c>
      <c r="I2">
        <v>7</v>
      </c>
      <c r="J2">
        <v>8</v>
      </c>
      <c r="L2">
        <v>8</v>
      </c>
      <c r="N2" t="s">
        <v>676</v>
      </c>
      <c r="O2" t="s">
        <v>679</v>
      </c>
      <c r="P2" t="s">
        <v>683</v>
      </c>
      <c r="Q2" t="s">
        <v>684</v>
      </c>
      <c r="R2" t="s">
        <v>685</v>
      </c>
      <c r="S2" t="s">
        <v>679</v>
      </c>
      <c r="T2" t="s">
        <v>683</v>
      </c>
      <c r="U2" t="s">
        <v>684</v>
      </c>
      <c r="V2" t="s">
        <v>685</v>
      </c>
      <c r="W2" t="s">
        <v>679</v>
      </c>
      <c r="X2" t="s">
        <v>683</v>
      </c>
      <c r="Y2" t="s">
        <v>684</v>
      </c>
      <c r="Z2" t="s">
        <v>685</v>
      </c>
      <c r="AA2" t="s">
        <v>679</v>
      </c>
      <c r="AB2" t="s">
        <v>683</v>
      </c>
      <c r="AC2" t="s">
        <v>684</v>
      </c>
      <c r="AD2" t="s">
        <v>685</v>
      </c>
      <c r="AE2" t="s">
        <v>679</v>
      </c>
      <c r="AF2" t="s">
        <v>683</v>
      </c>
      <c r="AG2" t="s">
        <v>684</v>
      </c>
      <c r="AH2" t="s">
        <v>685</v>
      </c>
      <c r="AI2" t="s">
        <v>679</v>
      </c>
      <c r="AJ2" t="s">
        <v>683</v>
      </c>
      <c r="AK2" t="s">
        <v>684</v>
      </c>
      <c r="AL2" t="s">
        <v>685</v>
      </c>
      <c r="AM2" t="s">
        <v>679</v>
      </c>
      <c r="AN2" t="s">
        <v>683</v>
      </c>
      <c r="AO2" t="s">
        <v>684</v>
      </c>
      <c r="AP2" t="s">
        <v>685</v>
      </c>
      <c r="AQ2" t="s">
        <v>679</v>
      </c>
      <c r="AR2" t="s">
        <v>683</v>
      </c>
      <c r="AS2" t="s">
        <v>684</v>
      </c>
      <c r="AT2" t="s">
        <v>685</v>
      </c>
      <c r="AU2" t="s">
        <v>679</v>
      </c>
      <c r="AV2" t="s">
        <v>683</v>
      </c>
      <c r="AW2" t="s">
        <v>684</v>
      </c>
      <c r="AX2" t="s">
        <v>685</v>
      </c>
    </row>
    <row r="3" spans="1:50" x14ac:dyDescent="0.45">
      <c r="A3" cm="1">
        <f t="array" ref="A3:A253">_xlfn.UNIQUE(monthly_work_hours!A2:A726)</f>
        <v>1199158</v>
      </c>
      <c r="B3" t="str">
        <f>_xlfn.XLOOKUP(A3,monthly_work_hours!A:A,monthly_work_hours!B:B)</f>
        <v>윤상규</v>
      </c>
      <c r="C3" t="e">
        <f>_xlfn.XLOOKUP(A3,monthly_work_hours!A:A,monthly_work_hours!E:E)</f>
        <v>#N/A</v>
      </c>
      <c r="D3" t="str">
        <f>_xlfn.XLOOKUP(A3,monthly_work_hours!A:A,monthly_work_hours!F:F)</f>
        <v>기능주임</v>
      </c>
      <c r="E3">
        <f>SUMIFS(monthly_work_hours!$M:$M,monthly_work_hours!$A:$A,'FTE 계산'!$A3,monthly_work_hours!$H:$H,'FTE 계산'!E$2)</f>
        <v>134.19999999999999</v>
      </c>
      <c r="F3">
        <f>SUMIFS(monthly_work_hours!$M:$M,monthly_work_hours!$A:$A,'FTE 계산'!$A3,monthly_work_hours!$H:$H,'FTE 계산'!F$2)</f>
        <v>118.2</v>
      </c>
      <c r="G3">
        <f>SUMIFS(monthly_work_hours!$M:$M,monthly_work_hours!$A:$A,'FTE 계산'!$A3,monthly_work_hours!$H:$H,'FTE 계산'!G$2)</f>
        <v>82.5</v>
      </c>
      <c r="H3">
        <f>(SUMIFS(monthly_work_hours!$I:$I,monthly_work_hours!$A:$A,'FTE 계산'!$A3,monthly_work_hours!$H:$H,'FTE 계산'!H$2)) - (SUMIFS(monthly_work_hours!$L:$L,monthly_work_hours!$A:$A,'FTE 계산'!$A3,monthly_work_hours!$H:$H,'FTE 계산'!H$2))</f>
        <v>21</v>
      </c>
      <c r="I3">
        <f>(SUMIFS(monthly_work_hours!$I:$I,monthly_work_hours!$A:$A,'FTE 계산'!$A3,monthly_work_hours!$H:$H,'FTE 계산'!I$2)) - (SUMIFS(monthly_work_hours!$L:$L,monthly_work_hours!$A:$A,'FTE 계산'!$A3,monthly_work_hours!$H:$H,'FTE 계산'!I$2))</f>
        <v>23</v>
      </c>
      <c r="J3">
        <f>(SUMIFS(monthly_work_hours!$I:$I,monthly_work_hours!$A:$A,'FTE 계산'!$A3,monthly_work_hours!$H:$H,'FTE 계산'!J$2)) - (SUMIFS(monthly_work_hours!$L:$L,monthly_work_hours!$A:$A,'FTE 계산'!$A3,monthly_work_hours!$H:$H,'FTE 계산'!J$2))</f>
        <v>17</v>
      </c>
      <c r="N3" t="s">
        <v>827</v>
      </c>
      <c r="O3">
        <f>SUMIFS($E$3:$E$253,$C$3:$C$253,$N3)</f>
        <v>2136.6999999999994</v>
      </c>
      <c r="P3">
        <f>SUMIFS($E$3:$E$253,$C$3:$C$253,$N3,$D$3:$D$253,P$2)</f>
        <v>943.1</v>
      </c>
      <c r="Q3">
        <f>SUMIFS($E$3:$E$253,$C$3:$C$253,$N3,$D$3:$D$253,Q$2)</f>
        <v>853.6</v>
      </c>
      <c r="R3">
        <f>SUMIFS($E$3:$E$253,$C$3:$C$253,$N3,$D$3:$D$253,R$2)</f>
        <v>340</v>
      </c>
      <c r="S3">
        <f>AVERAGEIFS($H$3:$H$253,$C$3:$C$253,$N3)</f>
        <v>16</v>
      </c>
      <c r="T3">
        <f>AVERAGEIFS($H$3:$H$253,$C$3:$C$253,$N3,$D$3:$D$253,P$2)</f>
        <v>14.2</v>
      </c>
      <c r="U3">
        <f>AVERAGEIFS($H$3:$H$253,$C$3:$C$253,$N3,$D$3:$D$253,Q$2)</f>
        <v>17.399999999999999</v>
      </c>
      <c r="V3">
        <f>AVERAGEIFS($H$3:$H$253,$C$3:$C$253,$N3,$D$3:$D$253,R$2)</f>
        <v>17</v>
      </c>
      <c r="W3">
        <f>IFERROR(O3/(S3*$L$2),"-")</f>
        <v>16.692968749999995</v>
      </c>
      <c r="X3">
        <f t="shared" ref="X3:Z3" si="0">IFERROR(P3/(T3*$L$2),"-")</f>
        <v>8.30193661971831</v>
      </c>
      <c r="Y3">
        <f t="shared" si="0"/>
        <v>6.1321839080459775</v>
      </c>
      <c r="Z3">
        <f t="shared" si="0"/>
        <v>2.5</v>
      </c>
      <c r="AA3">
        <f>SUMIFS($F$3:$F$253,$C$3:$C$253,$N3)</f>
        <v>1829.4</v>
      </c>
      <c r="AB3">
        <f>SUMIFS($F$3:$F$253,$C$3:$C$253,$N3,$D$3:$D$253,P$2)</f>
        <v>737.40000000000009</v>
      </c>
      <c r="AC3">
        <f>SUMIFS($F$3:$F$253,$C$3:$C$253,$N3,$D$3:$D$253,Q$2)</f>
        <v>783.6</v>
      </c>
      <c r="AD3">
        <f>SUMIFS($F$3:$F$253,$C$3:$C$253,$N3,$D$3:$D$253,R$2)</f>
        <v>308.39999999999998</v>
      </c>
      <c r="AE3">
        <f>AVERAGEIFS($I$3:$I$253,$C$3:$C$253,$N3)</f>
        <v>15.166666666666666</v>
      </c>
      <c r="AF3">
        <f>AVERAGEIFS($I$3:$I$253,$C$3:$C$253,$N3,$D$3:$D$253,P$2)</f>
        <v>14</v>
      </c>
      <c r="AG3">
        <f>AVERAGEIFS($I$3:$I$253,$C$3:$C$253,$N3,$D$3:$D$253,Q$2)</f>
        <v>16</v>
      </c>
      <c r="AH3">
        <f>AVERAGEIFS($I$3:$I$253,$C$3:$C$253,$N3,$D$3:$D$253,R$2)</f>
        <v>16</v>
      </c>
      <c r="AI3">
        <f>IFERROR(AA3/(AE3*$L$2),"-")</f>
        <v>15.077472527472528</v>
      </c>
      <c r="AJ3">
        <f t="shared" ref="AJ3" si="1">IFERROR(AB3/(AF3*$L$2),"-")</f>
        <v>6.5839285714285722</v>
      </c>
      <c r="AK3">
        <f t="shared" ref="AK3" si="2">IFERROR(AC3/(AG3*$L$2),"-")</f>
        <v>6.1218750000000002</v>
      </c>
      <c r="AL3">
        <f t="shared" ref="AL3" si="3">IFERROR(AD3/(AH3*$L$2),"-")</f>
        <v>2.4093749999999998</v>
      </c>
      <c r="AM3">
        <f>SUMIFS($G$3:$G$253,$C$3:$C$253,$N3)</f>
        <v>1640.7</v>
      </c>
      <c r="AN3">
        <f>SUMIFS($G$3:$G$253,$C$3:$C$253,$N3,$D$3:$D$253,P$2)</f>
        <v>675.9</v>
      </c>
      <c r="AO3">
        <f>SUMIFS($G$3:$G$253,$C$3:$C$253,$N3,$D$3:$D$253,Q$2)</f>
        <v>695.8</v>
      </c>
      <c r="AP3">
        <f>SUMIFS($G$3:$G$253,$C$3:$C$253,$N3,$D$3:$D$253,R$2)</f>
        <v>269</v>
      </c>
      <c r="AQ3">
        <f>AVERAGEIFS($J$3:$J$253,$C$3:$C$253,$N3)</f>
        <v>13.5</v>
      </c>
      <c r="AR3">
        <f>AVERAGEIFS($J$3:$J$253,$C$3:$C$253,$N3,$D$3:$D$253,P$2)</f>
        <v>12</v>
      </c>
      <c r="AS3">
        <f>AVERAGEIFS($J$3:$J$253,$C$3:$C$253,$N3,$D$3:$D$253,Q$2)</f>
        <v>14.4</v>
      </c>
      <c r="AT3">
        <f>AVERAGEIFS($J$3:$J$253,$C$3:$C$253,$N3,$D$3:$D$253,R$2)</f>
        <v>15</v>
      </c>
      <c r="AU3">
        <f>IFERROR(AM3/(AQ3*$L$2),"-")</f>
        <v>15.191666666666666</v>
      </c>
      <c r="AV3">
        <f t="shared" ref="AV3" si="4">IFERROR(AN3/(AR3*$L$2),"-")</f>
        <v>7.0406249999999995</v>
      </c>
      <c r="AW3">
        <f t="shared" ref="AW3" si="5">IFERROR(AO3/(AS3*$L$2),"-")</f>
        <v>6.0399305555555554</v>
      </c>
      <c r="AX3">
        <f t="shared" ref="AX3" si="6">IFERROR(AP3/(AT3*$L$2),"-")</f>
        <v>2.2416666666666667</v>
      </c>
    </row>
    <row r="4" spans="1:50" x14ac:dyDescent="0.45">
      <c r="A4">
        <v>1202155</v>
      </c>
      <c r="B4" t="str">
        <f>_xlfn.XLOOKUP(A4,monthly_work_hours!A:A,monthly_work_hours!B:B)</f>
        <v>추상민</v>
      </c>
      <c r="C4" t="str">
        <f>_xlfn.XLOOKUP(A4,monthly_work_hours!A:A,monthly_work_hours!E:E)</f>
        <v>SL구매팀</v>
      </c>
      <c r="D4" t="str">
        <f>_xlfn.XLOOKUP(A4,monthly_work_hours!A:A,monthly_work_hours!F:F)</f>
        <v>책임</v>
      </c>
      <c r="E4">
        <f>SUMIFS(monthly_work_hours!$M:$M,monthly_work_hours!$A:$A,'FTE 계산'!$A4,monthly_work_hours!$H:$H,'FTE 계산'!E$2)</f>
        <v>3.4</v>
      </c>
      <c r="F4">
        <f>SUMIFS(monthly_work_hours!$M:$M,monthly_work_hours!$A:$A,'FTE 계산'!$A4,monthly_work_hours!$H:$H,'FTE 계산'!F$2)</f>
        <v>0</v>
      </c>
      <c r="G4">
        <f>SUMIFS(monthly_work_hours!$M:$M,monthly_work_hours!$A:$A,'FTE 계산'!$A4,monthly_work_hours!$H:$H,'FTE 계산'!G$2)</f>
        <v>0</v>
      </c>
      <c r="H4">
        <f>(SUMIFS(monthly_work_hours!$I:$I,monthly_work_hours!$A:$A,'FTE 계산'!$A4,monthly_work_hours!$H:$H,'FTE 계산'!H$2)) - (SUMIFS(monthly_work_hours!$L:$L,monthly_work_hours!$A:$A,'FTE 계산'!$A4,monthly_work_hours!$H:$H,'FTE 계산'!H$2))</f>
        <v>1</v>
      </c>
      <c r="I4">
        <f>(SUMIFS(monthly_work_hours!$I:$I,monthly_work_hours!$A:$A,'FTE 계산'!$A4,monthly_work_hours!$H:$H,'FTE 계산'!I$2)) - (SUMIFS(monthly_work_hours!$L:$L,monthly_work_hours!$A:$A,'FTE 계산'!$A4,monthly_work_hours!$H:$H,'FTE 계산'!I$2))</f>
        <v>0</v>
      </c>
      <c r="J4">
        <f>(SUMIFS(monthly_work_hours!$I:$I,monthly_work_hours!$A:$A,'FTE 계산'!$A4,monthly_work_hours!$H:$H,'FTE 계산'!J$2)) - (SUMIFS(monthly_work_hours!$L:$L,monthly_work_hours!$A:$A,'FTE 계산'!$A4,monthly_work_hours!$H:$H,'FTE 계산'!J$2))</f>
        <v>0</v>
      </c>
      <c r="N4" t="s">
        <v>731</v>
      </c>
      <c r="O4">
        <f>SUMIFS($E$3:$E$253,$C$3:$C$253,$N4)</f>
        <v>1114.2</v>
      </c>
      <c r="P4">
        <f>SUMIFS($E$3:$E$253,$C$3:$C$253,$N4,$D$3:$D$253,P$2)</f>
        <v>804</v>
      </c>
      <c r="Q4">
        <f>SUMIFS($E$3:$E$253,$C$3:$C$253,$N4,$D$3:$D$253,Q$2)</f>
        <v>256</v>
      </c>
      <c r="R4">
        <f>SUMIFS($E$3:$E$253,$C$3:$C$253,$N4,$D$3:$D$253,R$2)</f>
        <v>54.2</v>
      </c>
      <c r="S4">
        <f>AVERAGEIFS($H$3:$H$253,$C$3:$C$253,$N4)</f>
        <v>16</v>
      </c>
      <c r="T4">
        <f>AVERAGEIFS($H$3:$H$253,$C$3:$C$253,$N4,$D$3:$D$253,P$2)</f>
        <v>17.2</v>
      </c>
      <c r="U4">
        <f>AVERAGEIFS($H$3:$H$253,$C$3:$C$253,$N4,$D$3:$D$253,Q$2)</f>
        <v>16</v>
      </c>
      <c r="V4">
        <f>AVERAGEIFS($H$3:$H$253,$C$3:$C$253,$N4,$D$3:$D$253,R$2)</f>
        <v>10</v>
      </c>
      <c r="W4">
        <f t="shared" ref="W4:W33" si="7">IFERROR(O4/(S4*$L$2),"-")</f>
        <v>8.7046875000000004</v>
      </c>
      <c r="X4">
        <f t="shared" ref="X4:X33" si="8">IFERROR(P4/(T4*$L$2),"-")</f>
        <v>5.8430232558139537</v>
      </c>
      <c r="Y4">
        <f t="shared" ref="Y4:Y33" si="9">IFERROR(Q4/(U4*$L$2),"-")</f>
        <v>2</v>
      </c>
      <c r="Z4">
        <f t="shared" ref="Z4:Z33" si="10">IFERROR(R4/(V4*$L$2),"-")</f>
        <v>0.67749999999999999</v>
      </c>
      <c r="AA4">
        <f>SUMIFS($F$3:$F$253,$C$3:$C$253,$N4)</f>
        <v>1227.5999999999999</v>
      </c>
      <c r="AB4">
        <f>SUMIFS($F$3:$F$253,$C$3:$C$253,$N4,$D$3:$D$253,P$2)</f>
        <v>888.5</v>
      </c>
      <c r="AC4">
        <f>SUMIFS($F$3:$F$253,$C$3:$C$253,$N4,$D$3:$D$253,Q$2)</f>
        <v>286.8</v>
      </c>
      <c r="AD4">
        <f>SUMIFS($F$3:$F$253,$C$3:$C$253,$N4,$D$3:$D$253,R$2)</f>
        <v>52.3</v>
      </c>
      <c r="AE4">
        <f>AVERAGEIFS($I$3:$I$253,$C$3:$C$253,$N4)</f>
        <v>17</v>
      </c>
      <c r="AF4">
        <f>AVERAGEIFS($I$3:$I$253,$C$3:$C$253,$N4,$D$3:$D$253,P$2)</f>
        <v>18.399999999999999</v>
      </c>
      <c r="AG4">
        <f>AVERAGEIFS($I$3:$I$253,$C$3:$C$253,$N4,$D$3:$D$253,Q$2)</f>
        <v>18</v>
      </c>
      <c r="AH4">
        <f>AVERAGEIFS($I$3:$I$253,$C$3:$C$253,$N4,$D$3:$D$253,R$2)</f>
        <v>8</v>
      </c>
      <c r="AI4">
        <f t="shared" ref="AI4:AI33" si="11">IFERROR(AA4/(AE4*$L$2),"-")</f>
        <v>9.0264705882352931</v>
      </c>
      <c r="AJ4">
        <f t="shared" ref="AJ4:AJ33" si="12">IFERROR(AB4/(AF4*$L$2),"-")</f>
        <v>6.0360054347826093</v>
      </c>
      <c r="AK4">
        <f t="shared" ref="AK4:AK33" si="13">IFERROR(AC4/(AG4*$L$2),"-")</f>
        <v>1.9916666666666667</v>
      </c>
      <c r="AL4">
        <f t="shared" ref="AL4:AL33" si="14">IFERROR(AD4/(AH4*$L$2),"-")</f>
        <v>0.81718749999999996</v>
      </c>
      <c r="AM4">
        <f>SUMIFS($G$3:$G$253,$C$3:$C$253,$N4)</f>
        <v>898.6</v>
      </c>
      <c r="AN4">
        <f>SUMIFS($G$3:$G$253,$C$3:$C$253,$N4,$D$3:$D$253,P$2)</f>
        <v>660.7</v>
      </c>
      <c r="AO4">
        <f>SUMIFS($G$3:$G$253,$C$3:$C$253,$N4,$D$3:$D$253,Q$2)</f>
        <v>237.9</v>
      </c>
      <c r="AP4">
        <f>SUMIFS($G$3:$G$253,$C$3:$C$253,$N4,$D$3:$D$253,R$2)</f>
        <v>0</v>
      </c>
      <c r="AQ4">
        <f>AVERAGEIFS($J$3:$J$253,$C$3:$C$253,$N4)</f>
        <v>12.625</v>
      </c>
      <c r="AR4">
        <f>AVERAGEIFS($J$3:$J$253,$C$3:$C$253,$N4,$D$3:$D$253,P$2)</f>
        <v>14.4</v>
      </c>
      <c r="AS4">
        <f>AVERAGEIFS($J$3:$J$253,$C$3:$C$253,$N4,$D$3:$D$253,Q$2)</f>
        <v>14.5</v>
      </c>
      <c r="AT4">
        <f>AVERAGEIFS($J$3:$J$253,$C$3:$C$253,$N4,$D$3:$D$253,R$2)</f>
        <v>0</v>
      </c>
      <c r="AU4">
        <f t="shared" ref="AU4:AU33" si="15">IFERROR(AM4/(AQ4*$L$2),"-")</f>
        <v>8.8970297029702969</v>
      </c>
      <c r="AV4">
        <f t="shared" ref="AV4:AV33" si="16">IFERROR(AN4/(AR4*$L$2),"-")</f>
        <v>5.7352430555555562</v>
      </c>
      <c r="AW4">
        <f t="shared" ref="AW4:AW33" si="17">IFERROR(AO4/(AS4*$L$2),"-")</f>
        <v>2.0508620689655173</v>
      </c>
      <c r="AX4" t="str">
        <f t="shared" ref="AX4:AX33" si="18">IFERROR(AP4/(AT4*$L$2),"-")</f>
        <v>-</v>
      </c>
    </row>
    <row r="5" spans="1:50" x14ac:dyDescent="0.45">
      <c r="A5">
        <v>1202183</v>
      </c>
      <c r="B5" t="str">
        <f>_xlfn.XLOOKUP(A5,monthly_work_hours!A:A,monthly_work_hours!B:B)</f>
        <v>안준철</v>
      </c>
      <c r="C5" t="str">
        <f>_xlfn.XLOOKUP(A5,monthly_work_hours!A:A,monthly_work_hours!E:E)</f>
        <v>HR/안전담당</v>
      </c>
      <c r="D5" t="str">
        <f>_xlfn.XLOOKUP(A5,monthly_work_hours!A:A,monthly_work_hours!F:F)</f>
        <v>책임</v>
      </c>
      <c r="E5">
        <f>SUMIFS(monthly_work_hours!$M:$M,monthly_work_hours!$A:$A,'FTE 계산'!$A5,monthly_work_hours!$H:$H,'FTE 계산'!E$2)</f>
        <v>178</v>
      </c>
      <c r="F5">
        <f>SUMIFS(monthly_work_hours!$M:$M,monthly_work_hours!$A:$A,'FTE 계산'!$A5,monthly_work_hours!$H:$H,'FTE 계산'!F$2)</f>
        <v>173.5</v>
      </c>
      <c r="G5">
        <f>SUMIFS(monthly_work_hours!$M:$M,monthly_work_hours!$A:$A,'FTE 계산'!$A5,monthly_work_hours!$H:$H,'FTE 계산'!G$2)</f>
        <v>143.4</v>
      </c>
      <c r="H5">
        <f>(SUMIFS(monthly_work_hours!$I:$I,monthly_work_hours!$A:$A,'FTE 계산'!$A5,monthly_work_hours!$H:$H,'FTE 계산'!H$2)) - (SUMIFS(monthly_work_hours!$L:$L,monthly_work_hours!$A:$A,'FTE 계산'!$A5,monthly_work_hours!$H:$H,'FTE 계산'!H$2))</f>
        <v>19</v>
      </c>
      <c r="I5">
        <f>(SUMIFS(monthly_work_hours!$I:$I,monthly_work_hours!$A:$A,'FTE 계산'!$A5,monthly_work_hours!$H:$H,'FTE 계산'!I$2)) - (SUMIFS(monthly_work_hours!$L:$L,monthly_work_hours!$A:$A,'FTE 계산'!$A5,monthly_work_hours!$H:$H,'FTE 계산'!I$2))</f>
        <v>20</v>
      </c>
      <c r="J5">
        <f>(SUMIFS(monthly_work_hours!$I:$I,monthly_work_hours!$A:$A,'FTE 계산'!$A5,monthly_work_hours!$H:$H,'FTE 계산'!J$2)) - (SUMIFS(monthly_work_hours!$L:$L,monthly_work_hours!$A:$A,'FTE 계산'!$A5,monthly_work_hours!$H:$H,'FTE 계산'!J$2))</f>
        <v>16</v>
      </c>
      <c r="N5" t="s">
        <v>942</v>
      </c>
      <c r="O5">
        <f>SUMIFS($E$3:$E$253,$C$3:$C$253,$N5)</f>
        <v>1078.5</v>
      </c>
      <c r="P5">
        <f>SUMIFS($E$3:$E$253,$C$3:$C$253,$N5,$D$3:$D$253,P$2)</f>
        <v>361.9</v>
      </c>
      <c r="Q5">
        <f>SUMIFS($E$3:$E$253,$C$3:$C$253,$N5,$D$3:$D$253,Q$2)</f>
        <v>358.7</v>
      </c>
      <c r="R5">
        <f>SUMIFS($E$3:$E$253,$C$3:$C$253,$N5,$D$3:$D$253,R$2)</f>
        <v>357.9</v>
      </c>
      <c r="S5">
        <f>AVERAGEIFS($H$3:$H$253,$C$3:$C$253,$N5)</f>
        <v>17.5</v>
      </c>
      <c r="T5">
        <f>AVERAGEIFS($H$3:$H$253,$C$3:$C$253,$N5,$D$3:$D$253,P$2)</f>
        <v>17.5</v>
      </c>
      <c r="U5">
        <f>AVERAGEIFS($H$3:$H$253,$C$3:$C$253,$N5,$D$3:$D$253,Q$2)</f>
        <v>17.5</v>
      </c>
      <c r="V5">
        <f>AVERAGEIFS($H$3:$H$253,$C$3:$C$253,$N5,$D$3:$D$253,R$2)</f>
        <v>17.5</v>
      </c>
      <c r="W5">
        <f t="shared" si="7"/>
        <v>7.7035714285714283</v>
      </c>
      <c r="X5">
        <f t="shared" si="8"/>
        <v>2.585</v>
      </c>
      <c r="Y5">
        <f t="shared" si="9"/>
        <v>2.5621428571428573</v>
      </c>
      <c r="Z5">
        <f t="shared" si="10"/>
        <v>2.5564285714285711</v>
      </c>
      <c r="AA5">
        <f>SUMIFS($F$3:$F$253,$C$3:$C$253,$N5)</f>
        <v>1090.1000000000001</v>
      </c>
      <c r="AB5">
        <f>SUMIFS($F$3:$F$253,$C$3:$C$253,$N5,$D$3:$D$253,P$2)</f>
        <v>381</v>
      </c>
      <c r="AC5">
        <f>SUMIFS($F$3:$F$253,$C$3:$C$253,$N5,$D$3:$D$253,Q$2)</f>
        <v>352.3</v>
      </c>
      <c r="AD5">
        <f>SUMIFS($F$3:$F$253,$C$3:$C$253,$N5,$D$3:$D$253,R$2)</f>
        <v>356.8</v>
      </c>
      <c r="AE5">
        <f>AVERAGEIFS($I$3:$I$253,$C$3:$C$253,$N5)</f>
        <v>18</v>
      </c>
      <c r="AF5">
        <f>AVERAGEIFS($I$3:$I$253,$C$3:$C$253,$N5,$D$3:$D$253,P$2)</f>
        <v>19</v>
      </c>
      <c r="AG5">
        <f>AVERAGEIFS($I$3:$I$253,$C$3:$C$253,$N5,$D$3:$D$253,Q$2)</f>
        <v>17</v>
      </c>
      <c r="AH5">
        <f>AVERAGEIFS($I$3:$I$253,$C$3:$C$253,$N5,$D$3:$D$253,R$2)</f>
        <v>18</v>
      </c>
      <c r="AI5">
        <f t="shared" si="11"/>
        <v>7.5701388888888896</v>
      </c>
      <c r="AJ5">
        <f t="shared" si="12"/>
        <v>2.5065789473684212</v>
      </c>
      <c r="AK5">
        <f t="shared" si="13"/>
        <v>2.5904411764705881</v>
      </c>
      <c r="AL5">
        <f t="shared" si="14"/>
        <v>2.4777777777777779</v>
      </c>
      <c r="AM5">
        <f>SUMIFS($G$3:$G$253,$C$3:$C$253,$N5)</f>
        <v>934.89999999999986</v>
      </c>
      <c r="AN5">
        <f>SUMIFS($G$3:$G$253,$C$3:$C$253,$N5,$D$3:$D$253,P$2)</f>
        <v>330.9</v>
      </c>
      <c r="AO5">
        <f>SUMIFS($G$3:$G$253,$C$3:$C$253,$N5,$D$3:$D$253,Q$2)</f>
        <v>296.89999999999998</v>
      </c>
      <c r="AP5">
        <f>SUMIFS($G$3:$G$253,$C$3:$C$253,$N5,$D$3:$D$253,R$2)</f>
        <v>307.10000000000002</v>
      </c>
      <c r="AQ5">
        <f>AVERAGEIFS($J$3:$J$253,$C$3:$C$253,$N5)</f>
        <v>15.333333333333334</v>
      </c>
      <c r="AR5">
        <f>AVERAGEIFS($J$3:$J$253,$C$3:$C$253,$N5,$D$3:$D$253,P$2)</f>
        <v>16</v>
      </c>
      <c r="AS5">
        <f>AVERAGEIFS($J$3:$J$253,$C$3:$C$253,$N5,$D$3:$D$253,Q$2)</f>
        <v>14.5</v>
      </c>
      <c r="AT5">
        <f>AVERAGEIFS($J$3:$J$253,$C$3:$C$253,$N5,$D$3:$D$253,R$2)</f>
        <v>15.5</v>
      </c>
      <c r="AU5">
        <f t="shared" si="15"/>
        <v>7.6214673913043463</v>
      </c>
      <c r="AV5">
        <f t="shared" si="16"/>
        <v>2.5851562499999998</v>
      </c>
      <c r="AW5">
        <f t="shared" si="17"/>
        <v>2.5594827586206894</v>
      </c>
      <c r="AX5">
        <f t="shared" si="18"/>
        <v>2.4766129032258068</v>
      </c>
    </row>
    <row r="6" spans="1:50" x14ac:dyDescent="0.45">
      <c r="A6">
        <v>1203036</v>
      </c>
      <c r="B6" t="str">
        <f>_xlfn.XLOOKUP(A6,monthly_work_hours!A:A,monthly_work_hours!B:B)</f>
        <v>이범철</v>
      </c>
      <c r="C6" t="str">
        <f>_xlfn.XLOOKUP(A6,monthly_work_hours!A:A,monthly_work_hours!E:E)</f>
        <v>SL생산기술팀</v>
      </c>
      <c r="D6" t="str">
        <f>_xlfn.XLOOKUP(A6,monthly_work_hours!A:A,monthly_work_hours!F:F)</f>
        <v>책임</v>
      </c>
      <c r="E6">
        <f>SUMIFS(monthly_work_hours!$M:$M,monthly_work_hours!$A:$A,'FTE 계산'!$A6,monthly_work_hours!$H:$H,'FTE 계산'!E$2)</f>
        <v>161</v>
      </c>
      <c r="F6">
        <f>SUMIFS(monthly_work_hours!$M:$M,monthly_work_hours!$A:$A,'FTE 계산'!$A6,monthly_work_hours!$H:$H,'FTE 계산'!F$2)</f>
        <v>171.6</v>
      </c>
      <c r="G6">
        <f>SUMIFS(monthly_work_hours!$M:$M,monthly_work_hours!$A:$A,'FTE 계산'!$A6,monthly_work_hours!$H:$H,'FTE 계산'!G$2)</f>
        <v>125.5</v>
      </c>
      <c r="H6">
        <f>(SUMIFS(monthly_work_hours!$I:$I,monthly_work_hours!$A:$A,'FTE 계산'!$A6,monthly_work_hours!$H:$H,'FTE 계산'!H$2)) - (SUMIFS(monthly_work_hours!$L:$L,monthly_work_hours!$A:$A,'FTE 계산'!$A6,monthly_work_hours!$H:$H,'FTE 계산'!H$2))</f>
        <v>18</v>
      </c>
      <c r="I6">
        <f>(SUMIFS(monthly_work_hours!$I:$I,monthly_work_hours!$A:$A,'FTE 계산'!$A6,monthly_work_hours!$H:$H,'FTE 계산'!I$2)) - (SUMIFS(monthly_work_hours!$L:$L,monthly_work_hours!$A:$A,'FTE 계산'!$A6,monthly_work_hours!$H:$H,'FTE 계산'!I$2))</f>
        <v>19</v>
      </c>
      <c r="J6">
        <f>(SUMIFS(monthly_work_hours!$I:$I,monthly_work_hours!$A:$A,'FTE 계산'!$A6,monthly_work_hours!$H:$H,'FTE 계산'!J$2)) - (SUMIFS(monthly_work_hours!$L:$L,monthly_work_hours!$A:$A,'FTE 계산'!$A6,monthly_work_hours!$H:$H,'FTE 계산'!J$2))</f>
        <v>14</v>
      </c>
      <c r="N6" t="s">
        <v>887</v>
      </c>
      <c r="O6">
        <f>SUMIFS($E$3:$E$253,$C$3:$C$253,$N6)</f>
        <v>2073.9</v>
      </c>
      <c r="P6">
        <f>SUMIFS($E$3:$E$253,$C$3:$C$253,$N6,$D$3:$D$253,P$2)</f>
        <v>699.8</v>
      </c>
      <c r="Q6">
        <f>SUMIFS($E$3:$E$253,$C$3:$C$253,$N6,$D$3:$D$253,Q$2)</f>
        <v>687.80000000000007</v>
      </c>
      <c r="R6">
        <f>SUMIFS($E$3:$E$253,$C$3:$C$253,$N6,$D$3:$D$253,R$2)</f>
        <v>686.3</v>
      </c>
      <c r="S6">
        <f>AVERAGEIFS($H$3:$H$253,$C$3:$C$253,$N6)</f>
        <v>17.416666666666668</v>
      </c>
      <c r="T6">
        <f>AVERAGEIFS($H$3:$H$253,$C$3:$C$253,$N6,$D$3:$D$253,P$2)</f>
        <v>17.5</v>
      </c>
      <c r="U6">
        <f>AVERAGEIFS($H$3:$H$253,$C$3:$C$253,$N6,$D$3:$D$253,Q$2)</f>
        <v>16.75</v>
      </c>
      <c r="V6">
        <f>AVERAGEIFS($H$3:$H$253,$C$3:$C$253,$N6,$D$3:$D$253,R$2)</f>
        <v>18</v>
      </c>
      <c r="W6">
        <f t="shared" si="7"/>
        <v>14.88444976076555</v>
      </c>
      <c r="X6">
        <f t="shared" si="8"/>
        <v>4.9985714285714282</v>
      </c>
      <c r="Y6">
        <f t="shared" si="9"/>
        <v>5.1328358208955231</v>
      </c>
      <c r="Z6">
        <f t="shared" si="10"/>
        <v>4.7659722222222216</v>
      </c>
      <c r="AA6">
        <f>SUMIFS($F$3:$F$253,$C$3:$C$253,$N6)</f>
        <v>2027.7999999999997</v>
      </c>
      <c r="AB6">
        <f>SUMIFS($F$3:$F$253,$C$3:$C$253,$N6,$D$3:$D$253,P$2)</f>
        <v>715</v>
      </c>
      <c r="AC6">
        <f>SUMIFS($F$3:$F$253,$C$3:$C$253,$N6,$D$3:$D$253,Q$2)</f>
        <v>548.70000000000005</v>
      </c>
      <c r="AD6">
        <f>SUMIFS($F$3:$F$253,$C$3:$C$253,$N6,$D$3:$D$253,R$2)</f>
        <v>764.09999999999991</v>
      </c>
      <c r="AE6">
        <f>AVERAGEIFS($I$3:$I$253,$C$3:$C$253,$N6)</f>
        <v>17.833333333333332</v>
      </c>
      <c r="AF6">
        <f>AVERAGEIFS($I$3:$I$253,$C$3:$C$253,$N6,$D$3:$D$253,P$2)</f>
        <v>18.5</v>
      </c>
      <c r="AG6">
        <f>AVERAGEIFS($I$3:$I$253,$C$3:$C$253,$N6,$D$3:$D$253,Q$2)</f>
        <v>15.5</v>
      </c>
      <c r="AH6">
        <f>AVERAGEIFS($I$3:$I$253,$C$3:$C$253,$N6,$D$3:$D$253,R$2)</f>
        <v>19.5</v>
      </c>
      <c r="AI6">
        <f t="shared" si="11"/>
        <v>14.213551401869157</v>
      </c>
      <c r="AJ6">
        <f t="shared" si="12"/>
        <v>4.8310810810810807</v>
      </c>
      <c r="AK6">
        <f t="shared" si="13"/>
        <v>4.4250000000000007</v>
      </c>
      <c r="AL6">
        <f t="shared" si="14"/>
        <v>4.8980769230769221</v>
      </c>
      <c r="AM6">
        <f>SUMIFS($G$3:$G$253,$C$3:$C$253,$N6)</f>
        <v>1633.8</v>
      </c>
      <c r="AN6">
        <f>SUMIFS($G$3:$G$253,$C$3:$C$253,$N6,$D$3:$D$253,P$2)</f>
        <v>596.79999999999995</v>
      </c>
      <c r="AO6">
        <f>SUMIFS($G$3:$G$253,$C$3:$C$253,$N6,$D$3:$D$253,Q$2)</f>
        <v>445.20000000000005</v>
      </c>
      <c r="AP6">
        <f>SUMIFS($G$3:$G$253,$C$3:$C$253,$N6,$D$3:$D$253,R$2)</f>
        <v>591.79999999999995</v>
      </c>
      <c r="AQ6">
        <f>AVERAGEIFS($J$3:$J$253,$C$3:$C$253,$N6)</f>
        <v>14.75</v>
      </c>
      <c r="AR6">
        <f>AVERAGEIFS($J$3:$J$253,$C$3:$C$253,$N6,$D$3:$D$253,P$2)</f>
        <v>16</v>
      </c>
      <c r="AS6">
        <f>AVERAGEIFS($J$3:$J$253,$C$3:$C$253,$N6,$D$3:$D$253,Q$2)</f>
        <v>12</v>
      </c>
      <c r="AT6">
        <f>AVERAGEIFS($J$3:$J$253,$C$3:$C$253,$N6,$D$3:$D$253,R$2)</f>
        <v>16.25</v>
      </c>
      <c r="AU6">
        <f t="shared" si="15"/>
        <v>13.845762711864406</v>
      </c>
      <c r="AV6">
        <f t="shared" si="16"/>
        <v>4.6624999999999996</v>
      </c>
      <c r="AW6">
        <f t="shared" si="17"/>
        <v>4.6375000000000002</v>
      </c>
      <c r="AX6">
        <f t="shared" si="18"/>
        <v>4.5523076923076919</v>
      </c>
    </row>
    <row r="7" spans="1:50" x14ac:dyDescent="0.45">
      <c r="A7">
        <v>1203052</v>
      </c>
      <c r="B7" t="str">
        <f>_xlfn.XLOOKUP(A7,monthly_work_hours!A:A,monthly_work_hours!B:B)</f>
        <v>제용화</v>
      </c>
      <c r="C7" t="str">
        <f>_xlfn.XLOOKUP(A7,monthly_work_hours!A:A,monthly_work_hours!E:E)</f>
        <v>구매원가팀</v>
      </c>
      <c r="D7" t="str">
        <f>_xlfn.XLOOKUP(A7,monthly_work_hours!A:A,monthly_work_hours!F:F)</f>
        <v>책임</v>
      </c>
      <c r="E7">
        <f>SUMIFS(monthly_work_hours!$M:$M,monthly_work_hours!$A:$A,'FTE 계산'!$A7,monthly_work_hours!$H:$H,'FTE 계산'!E$2)</f>
        <v>174.5</v>
      </c>
      <c r="F7">
        <f>SUMIFS(monthly_work_hours!$M:$M,monthly_work_hours!$A:$A,'FTE 계산'!$A7,monthly_work_hours!$H:$H,'FTE 계산'!F$2)</f>
        <v>193.3</v>
      </c>
      <c r="G7">
        <f>SUMIFS(monthly_work_hours!$M:$M,monthly_work_hours!$A:$A,'FTE 계산'!$A7,monthly_work_hours!$H:$H,'FTE 계산'!G$2)</f>
        <v>170.3</v>
      </c>
      <c r="H7">
        <f>(SUMIFS(monthly_work_hours!$I:$I,monthly_work_hours!$A:$A,'FTE 계산'!$A7,monthly_work_hours!$H:$H,'FTE 계산'!H$2)) - (SUMIFS(monthly_work_hours!$L:$L,monthly_work_hours!$A:$A,'FTE 계산'!$A7,monthly_work_hours!$H:$H,'FTE 계산'!H$2))</f>
        <v>17</v>
      </c>
      <c r="I7">
        <f>(SUMIFS(monthly_work_hours!$I:$I,monthly_work_hours!$A:$A,'FTE 계산'!$A7,monthly_work_hours!$H:$H,'FTE 계산'!I$2)) - (SUMIFS(monthly_work_hours!$L:$L,monthly_work_hours!$A:$A,'FTE 계산'!$A7,monthly_work_hours!$H:$H,'FTE 계산'!I$2))</f>
        <v>19</v>
      </c>
      <c r="J7">
        <f>(SUMIFS(monthly_work_hours!$I:$I,monthly_work_hours!$A:$A,'FTE 계산'!$A7,monthly_work_hours!$H:$H,'FTE 계산'!J$2)) - (SUMIFS(monthly_work_hours!$L:$L,monthly_work_hours!$A:$A,'FTE 계산'!$A7,monthly_work_hours!$H:$H,'FTE 계산'!J$2))</f>
        <v>16</v>
      </c>
      <c r="N7" t="s">
        <v>819</v>
      </c>
      <c r="O7">
        <f>SUMIFS($E$3:$E$253,$C$3:$C$253,$N7)</f>
        <v>1496.0999999999997</v>
      </c>
      <c r="P7">
        <f>SUMIFS($E$3:$E$253,$C$3:$C$253,$N7,$D$3:$D$253,P$2)</f>
        <v>322</v>
      </c>
      <c r="Q7">
        <f>SUMIFS($E$3:$E$253,$C$3:$C$253,$N7,$D$3:$D$253,Q$2)</f>
        <v>833.09999999999991</v>
      </c>
      <c r="R7">
        <f>SUMIFS($E$3:$E$253,$C$3:$C$253,$N7,$D$3:$D$253,R$2)</f>
        <v>341</v>
      </c>
      <c r="S7">
        <f>AVERAGEIFS($H$3:$H$253,$C$3:$C$253,$N7)</f>
        <v>12.714285714285714</v>
      </c>
      <c r="T7">
        <f>AVERAGEIFS($H$3:$H$253,$C$3:$C$253,$N7,$D$3:$D$253,P$2)</f>
        <v>11.666666666666666</v>
      </c>
      <c r="U7">
        <f>AVERAGEIFS($H$3:$H$253,$C$3:$C$253,$N7,$D$3:$D$253,Q$2)</f>
        <v>12.875</v>
      </c>
      <c r="V7">
        <f>AVERAGEIFS($H$3:$H$253,$C$3:$C$253,$N7,$D$3:$D$253,R$2)</f>
        <v>13.333333333333334</v>
      </c>
      <c r="W7">
        <f t="shared" si="7"/>
        <v>14.708848314606739</v>
      </c>
      <c r="X7">
        <f t="shared" si="8"/>
        <v>3.45</v>
      </c>
      <c r="Y7">
        <f t="shared" si="9"/>
        <v>8.0883495145631059</v>
      </c>
      <c r="Z7">
        <f t="shared" si="10"/>
        <v>3.1968749999999999</v>
      </c>
      <c r="AA7">
        <f>SUMIFS($F$3:$F$253,$C$3:$C$253,$N7)</f>
        <v>1562.7999999999997</v>
      </c>
      <c r="AB7">
        <f>SUMIFS($F$3:$F$253,$C$3:$C$253,$N7,$D$3:$D$253,P$2)</f>
        <v>321.39999999999998</v>
      </c>
      <c r="AC7">
        <f>SUMIFS($F$3:$F$253,$C$3:$C$253,$N7,$D$3:$D$253,Q$2)</f>
        <v>802.3</v>
      </c>
      <c r="AD7">
        <f>SUMIFS($F$3:$F$253,$C$3:$C$253,$N7,$D$3:$D$253,R$2)</f>
        <v>439.1</v>
      </c>
      <c r="AE7">
        <f>AVERAGEIFS($I$3:$I$253,$C$3:$C$253,$N7)</f>
        <v>13.5</v>
      </c>
      <c r="AF7">
        <f>AVERAGEIFS($I$3:$I$253,$C$3:$C$253,$N7,$D$3:$D$253,P$2)</f>
        <v>12.333333333333334</v>
      </c>
      <c r="AG7">
        <f>AVERAGEIFS($I$3:$I$253,$C$3:$C$253,$N7,$D$3:$D$253,Q$2)</f>
        <v>13</v>
      </c>
      <c r="AH7">
        <f>AVERAGEIFS($I$3:$I$253,$C$3:$C$253,$N7,$D$3:$D$253,R$2)</f>
        <v>16</v>
      </c>
      <c r="AI7">
        <f t="shared" si="11"/>
        <v>14.470370370370368</v>
      </c>
      <c r="AJ7">
        <f t="shared" si="12"/>
        <v>3.2574324324324322</v>
      </c>
      <c r="AK7">
        <f t="shared" si="13"/>
        <v>7.7144230769230768</v>
      </c>
      <c r="AL7">
        <f t="shared" si="14"/>
        <v>3.4304687500000002</v>
      </c>
      <c r="AM7">
        <f>SUMIFS($G$3:$G$253,$C$3:$C$253,$N7)</f>
        <v>1243.5</v>
      </c>
      <c r="AN7">
        <f>SUMIFS($G$3:$G$253,$C$3:$C$253,$N7,$D$3:$D$253,P$2)</f>
        <v>297.10000000000002</v>
      </c>
      <c r="AO7">
        <f>SUMIFS($G$3:$G$253,$C$3:$C$253,$N7,$D$3:$D$253,Q$2)</f>
        <v>627.59999999999991</v>
      </c>
      <c r="AP7">
        <f>SUMIFS($G$3:$G$253,$C$3:$C$253,$N7,$D$3:$D$253,R$2)</f>
        <v>318.8</v>
      </c>
      <c r="AQ7">
        <f>AVERAGEIFS($J$3:$J$253,$C$3:$C$253,$N7)</f>
        <v>11.357142857142858</v>
      </c>
      <c r="AR7">
        <f>AVERAGEIFS($J$3:$J$253,$C$3:$C$253,$N7,$D$3:$D$253,P$2)</f>
        <v>11.333333333333334</v>
      </c>
      <c r="AS7">
        <f>AVERAGEIFS($J$3:$J$253,$C$3:$C$253,$N7,$D$3:$D$253,Q$2)</f>
        <v>10.875</v>
      </c>
      <c r="AT7">
        <f>AVERAGEIFS($J$3:$J$253,$C$3:$C$253,$N7,$D$3:$D$253,R$2)</f>
        <v>12.666666666666666</v>
      </c>
      <c r="AU7">
        <f t="shared" si="15"/>
        <v>13.686320754716981</v>
      </c>
      <c r="AV7">
        <f t="shared" si="16"/>
        <v>3.2768382352941177</v>
      </c>
      <c r="AW7">
        <f t="shared" si="17"/>
        <v>7.2137931034482747</v>
      </c>
      <c r="AX7">
        <f t="shared" si="18"/>
        <v>3.1460526315789474</v>
      </c>
    </row>
    <row r="8" spans="1:50" x14ac:dyDescent="0.45">
      <c r="A8">
        <v>1203053</v>
      </c>
      <c r="B8" t="str">
        <f>_xlfn.XLOOKUP(A8,monthly_work_hours!A:A,monthly_work_hours!B:B)</f>
        <v>문은진</v>
      </c>
      <c r="C8" t="str">
        <f>_xlfn.XLOOKUP(A8,monthly_work_hours!A:A,monthly_work_hours!E:E)</f>
        <v>SCM팀</v>
      </c>
      <c r="D8" t="str">
        <f>_xlfn.XLOOKUP(A8,monthly_work_hours!A:A,monthly_work_hours!F:F)</f>
        <v>책임</v>
      </c>
      <c r="E8">
        <f>SUMIFS(monthly_work_hours!$M:$M,monthly_work_hours!$A:$A,'FTE 계산'!$A8,monthly_work_hours!$H:$H,'FTE 계산'!E$2)</f>
        <v>170.4</v>
      </c>
      <c r="F8">
        <f>SUMIFS(monthly_work_hours!$M:$M,monthly_work_hours!$A:$A,'FTE 계산'!$A8,monthly_work_hours!$H:$H,'FTE 계산'!F$2)</f>
        <v>165.4</v>
      </c>
      <c r="G8">
        <f>SUMIFS(monthly_work_hours!$M:$M,monthly_work_hours!$A:$A,'FTE 계산'!$A8,monthly_work_hours!$H:$H,'FTE 계산'!G$2)</f>
        <v>140.30000000000001</v>
      </c>
      <c r="H8">
        <f>(SUMIFS(monthly_work_hours!$I:$I,monthly_work_hours!$A:$A,'FTE 계산'!$A8,monthly_work_hours!$H:$H,'FTE 계산'!H$2)) - (SUMIFS(monthly_work_hours!$L:$L,monthly_work_hours!$A:$A,'FTE 계산'!$A8,monthly_work_hours!$H:$H,'FTE 계산'!H$2))</f>
        <v>17</v>
      </c>
      <c r="I8">
        <f>(SUMIFS(monthly_work_hours!$I:$I,monthly_work_hours!$A:$A,'FTE 계산'!$A8,monthly_work_hours!$H:$H,'FTE 계산'!I$2)) - (SUMIFS(monthly_work_hours!$L:$L,monthly_work_hours!$A:$A,'FTE 계산'!$A8,monthly_work_hours!$H:$H,'FTE 계산'!I$2))</f>
        <v>18</v>
      </c>
      <c r="J8">
        <f>(SUMIFS(monthly_work_hours!$I:$I,monthly_work_hours!$A:$A,'FTE 계산'!$A8,monthly_work_hours!$H:$H,'FTE 계산'!J$2)) - (SUMIFS(monthly_work_hours!$L:$L,monthly_work_hours!$A:$A,'FTE 계산'!$A8,monthly_work_hours!$H:$H,'FTE 계산'!J$2))</f>
        <v>16</v>
      </c>
      <c r="N8" t="s">
        <v>733</v>
      </c>
      <c r="O8">
        <f>SUMIFS($E$3:$E$253,$C$3:$C$253,$N8)</f>
        <v>535.9</v>
      </c>
      <c r="P8">
        <f>SUMIFS($E$3:$E$253,$C$3:$C$253,$N8,$D$3:$D$253,P$2)</f>
        <v>172.1</v>
      </c>
      <c r="Q8">
        <f>SUMIFS($E$3:$E$253,$C$3:$C$253,$N8,$D$3:$D$253,Q$2)</f>
        <v>0</v>
      </c>
      <c r="R8">
        <f>SUMIFS($E$3:$E$253,$C$3:$C$253,$N8,$D$3:$D$253,R$2)</f>
        <v>363.8</v>
      </c>
      <c r="S8">
        <f>AVERAGEIFS($H$3:$H$253,$C$3:$C$253,$N8)</f>
        <v>18</v>
      </c>
      <c r="T8">
        <f>AVERAGEIFS($H$3:$H$253,$C$3:$C$253,$N8,$D$3:$D$253,P$2)</f>
        <v>18</v>
      </c>
      <c r="U8" t="e">
        <f>AVERAGEIFS($H$3:$H$253,$C$3:$C$253,$N8,$D$3:$D$253,Q$2)</f>
        <v>#DIV/0!</v>
      </c>
      <c r="V8">
        <f>AVERAGEIFS($H$3:$H$253,$C$3:$C$253,$N8,$D$3:$D$253,R$2)</f>
        <v>18</v>
      </c>
      <c r="W8">
        <f t="shared" si="7"/>
        <v>3.7215277777777778</v>
      </c>
      <c r="X8">
        <f t="shared" si="8"/>
        <v>1.1951388888888888</v>
      </c>
      <c r="Y8" t="str">
        <f t="shared" si="9"/>
        <v>-</v>
      </c>
      <c r="Z8">
        <f t="shared" si="10"/>
        <v>2.526388888888889</v>
      </c>
      <c r="AA8">
        <f>SUMIFS($F$3:$F$253,$C$3:$C$253,$N8)</f>
        <v>565.9</v>
      </c>
      <c r="AB8">
        <f>SUMIFS($F$3:$F$253,$C$3:$C$253,$N8,$D$3:$D$253,P$2)</f>
        <v>174</v>
      </c>
      <c r="AC8">
        <f>SUMIFS($F$3:$F$253,$C$3:$C$253,$N8,$D$3:$D$253,Q$2)</f>
        <v>0</v>
      </c>
      <c r="AD8">
        <f>SUMIFS($F$3:$F$253,$C$3:$C$253,$N8,$D$3:$D$253,R$2)</f>
        <v>391.9</v>
      </c>
      <c r="AE8">
        <f>AVERAGEIFS($I$3:$I$253,$C$3:$C$253,$N8)</f>
        <v>18</v>
      </c>
      <c r="AF8">
        <f>AVERAGEIFS($I$3:$I$253,$C$3:$C$253,$N8,$D$3:$D$253,P$2)</f>
        <v>18</v>
      </c>
      <c r="AG8" t="e">
        <f>AVERAGEIFS($I$3:$I$253,$C$3:$C$253,$N8,$D$3:$D$253,Q$2)</f>
        <v>#DIV/0!</v>
      </c>
      <c r="AH8">
        <f>AVERAGEIFS($I$3:$I$253,$C$3:$C$253,$N8,$D$3:$D$253,R$2)</f>
        <v>18</v>
      </c>
      <c r="AI8">
        <f t="shared" si="11"/>
        <v>3.9298611111111108</v>
      </c>
      <c r="AJ8">
        <f t="shared" si="12"/>
        <v>1.2083333333333333</v>
      </c>
      <c r="AK8" t="str">
        <f t="shared" si="13"/>
        <v>-</v>
      </c>
      <c r="AL8">
        <f t="shared" si="14"/>
        <v>2.7215277777777778</v>
      </c>
      <c r="AM8">
        <f>SUMIFS($G$3:$G$253,$C$3:$C$253,$N8)</f>
        <v>462.2</v>
      </c>
      <c r="AN8">
        <f>SUMIFS($G$3:$G$253,$C$3:$C$253,$N8,$D$3:$D$253,P$2)</f>
        <v>146.6</v>
      </c>
      <c r="AO8">
        <f>SUMIFS($G$3:$G$253,$C$3:$C$253,$N8,$D$3:$D$253,Q$2)</f>
        <v>0</v>
      </c>
      <c r="AP8">
        <f>SUMIFS($G$3:$G$253,$C$3:$C$253,$N8,$D$3:$D$253,R$2)</f>
        <v>315.60000000000002</v>
      </c>
      <c r="AQ8">
        <f>AVERAGEIFS($J$3:$J$253,$C$3:$C$253,$N8)</f>
        <v>16.333333333333332</v>
      </c>
      <c r="AR8">
        <f>AVERAGEIFS($J$3:$J$253,$C$3:$C$253,$N8,$D$3:$D$253,P$2)</f>
        <v>16</v>
      </c>
      <c r="AS8" t="e">
        <f>AVERAGEIFS($J$3:$J$253,$C$3:$C$253,$N8,$D$3:$D$253,Q$2)</f>
        <v>#DIV/0!</v>
      </c>
      <c r="AT8">
        <f>AVERAGEIFS($J$3:$J$253,$C$3:$C$253,$N8,$D$3:$D$253,R$2)</f>
        <v>16.5</v>
      </c>
      <c r="AU8">
        <f t="shared" si="15"/>
        <v>3.5372448979591837</v>
      </c>
      <c r="AV8">
        <f t="shared" si="16"/>
        <v>1.1453125</v>
      </c>
      <c r="AW8" t="str">
        <f t="shared" si="17"/>
        <v>-</v>
      </c>
      <c r="AX8">
        <f t="shared" si="18"/>
        <v>2.3909090909090911</v>
      </c>
    </row>
    <row r="9" spans="1:50" x14ac:dyDescent="0.45">
      <c r="A9">
        <v>1204003</v>
      </c>
      <c r="B9" t="str">
        <f>_xlfn.XLOOKUP(A9,monthly_work_hours!A:A,monthly_work_hours!B:B)</f>
        <v>정용규</v>
      </c>
      <c r="C9" t="str">
        <f>_xlfn.XLOOKUP(A9,monthly_work_hours!A:A,monthly_work_hours!E:E)</f>
        <v>SL생산기술팀</v>
      </c>
      <c r="D9" t="str">
        <f>_xlfn.XLOOKUP(A9,monthly_work_hours!A:A,monthly_work_hours!F:F)</f>
        <v>책임</v>
      </c>
      <c r="E9">
        <f>SUMIFS(monthly_work_hours!$M:$M,monthly_work_hours!$A:$A,'FTE 계산'!$A9,monthly_work_hours!$H:$H,'FTE 계산'!E$2)</f>
        <v>147.9</v>
      </c>
      <c r="F9">
        <f>SUMIFS(monthly_work_hours!$M:$M,monthly_work_hours!$A:$A,'FTE 계산'!$A9,monthly_work_hours!$H:$H,'FTE 계산'!F$2)</f>
        <v>191.4</v>
      </c>
      <c r="G9">
        <f>SUMIFS(monthly_work_hours!$M:$M,monthly_work_hours!$A:$A,'FTE 계산'!$A9,monthly_work_hours!$H:$H,'FTE 계산'!G$2)</f>
        <v>149.5</v>
      </c>
      <c r="H9">
        <f>(SUMIFS(monthly_work_hours!$I:$I,monthly_work_hours!$A:$A,'FTE 계산'!$A9,monthly_work_hours!$H:$H,'FTE 계산'!H$2)) - (SUMIFS(monthly_work_hours!$L:$L,monthly_work_hours!$A:$A,'FTE 계산'!$A9,monthly_work_hours!$H:$H,'FTE 계산'!H$2))</f>
        <v>17</v>
      </c>
      <c r="I9">
        <f>(SUMIFS(monthly_work_hours!$I:$I,monthly_work_hours!$A:$A,'FTE 계산'!$A9,monthly_work_hours!$H:$H,'FTE 계산'!I$2)) - (SUMIFS(monthly_work_hours!$L:$L,monthly_work_hours!$A:$A,'FTE 계산'!$A9,monthly_work_hours!$H:$H,'FTE 계산'!I$2))</f>
        <v>19</v>
      </c>
      <c r="J9">
        <f>(SUMIFS(monthly_work_hours!$I:$I,monthly_work_hours!$A:$A,'FTE 계산'!$A9,monthly_work_hours!$H:$H,'FTE 계산'!J$2)) - (SUMIFS(monthly_work_hours!$L:$L,monthly_work_hours!$A:$A,'FTE 계산'!$A9,monthly_work_hours!$H:$H,'FTE 계산'!J$2))</f>
        <v>16</v>
      </c>
      <c r="N9" t="s">
        <v>958</v>
      </c>
      <c r="O9">
        <f>SUMIFS($E$3:$E$253,$C$3:$C$253,$N9)</f>
        <v>2148.3000000000002</v>
      </c>
      <c r="P9">
        <f>SUMIFS($E$3:$E$253,$C$3:$C$253,$N9,$D$3:$D$253,P$2)</f>
        <v>664.6</v>
      </c>
      <c r="Q9">
        <f>SUMIFS($E$3:$E$253,$C$3:$C$253,$N9,$D$3:$D$253,Q$2)</f>
        <v>1097.9000000000001</v>
      </c>
      <c r="R9">
        <f>SUMIFS($E$3:$E$253,$C$3:$C$253,$N9,$D$3:$D$253,R$2)</f>
        <v>385.8</v>
      </c>
      <c r="S9">
        <f>AVERAGEIFS($H$3:$H$253,$C$3:$C$253,$N9)</f>
        <v>15.071428571428571</v>
      </c>
      <c r="T9">
        <f>AVERAGEIFS($H$3:$H$253,$C$3:$C$253,$N9,$D$3:$D$253,P$2)</f>
        <v>18</v>
      </c>
      <c r="U9">
        <f>AVERAGEIFS($H$3:$H$253,$C$3:$C$253,$N9,$D$3:$D$253,Q$2)</f>
        <v>16.428571428571427</v>
      </c>
      <c r="V9">
        <f>AVERAGEIFS($H$3:$H$253,$C$3:$C$253,$N9,$D$3:$D$253,R$2)</f>
        <v>10.5</v>
      </c>
      <c r="W9">
        <f t="shared" si="7"/>
        <v>17.817654028436021</v>
      </c>
      <c r="X9">
        <f t="shared" si="8"/>
        <v>4.615277777777778</v>
      </c>
      <c r="Y9">
        <f t="shared" si="9"/>
        <v>8.35358695652174</v>
      </c>
      <c r="Z9">
        <f t="shared" si="10"/>
        <v>4.5928571428571434</v>
      </c>
      <c r="AA9">
        <f>SUMIFS($F$3:$F$253,$C$3:$C$253,$N9)</f>
        <v>2209.5000000000005</v>
      </c>
      <c r="AB9">
        <f>SUMIFS($F$3:$F$253,$C$3:$C$253,$N9,$D$3:$D$253,P$2)</f>
        <v>540</v>
      </c>
      <c r="AC9">
        <f>SUMIFS($F$3:$F$253,$C$3:$C$253,$N9,$D$3:$D$253,Q$2)</f>
        <v>1144.8</v>
      </c>
      <c r="AD9">
        <f>SUMIFS($F$3:$F$253,$C$3:$C$253,$N9,$D$3:$D$253,R$2)</f>
        <v>524.69999999999993</v>
      </c>
      <c r="AE9">
        <f>AVERAGEIFS($I$3:$I$253,$C$3:$C$253,$N9)</f>
        <v>16.285714285714285</v>
      </c>
      <c r="AF9">
        <f>AVERAGEIFS($I$3:$I$253,$C$3:$C$253,$N9,$D$3:$D$253,P$2)</f>
        <v>18</v>
      </c>
      <c r="AG9">
        <f>AVERAGEIFS($I$3:$I$253,$C$3:$C$253,$N9,$D$3:$D$253,Q$2)</f>
        <v>16.428571428571427</v>
      </c>
      <c r="AH9">
        <f>AVERAGEIFS($I$3:$I$253,$C$3:$C$253,$N9,$D$3:$D$253,R$2)</f>
        <v>14.75</v>
      </c>
      <c r="AI9">
        <f t="shared" si="11"/>
        <v>16.958881578947373</v>
      </c>
      <c r="AJ9">
        <f t="shared" si="12"/>
        <v>3.75</v>
      </c>
      <c r="AK9">
        <f t="shared" si="13"/>
        <v>8.7104347826086954</v>
      </c>
      <c r="AL9">
        <f t="shared" si="14"/>
        <v>4.4466101694915245</v>
      </c>
      <c r="AM9">
        <f>SUMIFS($G$3:$G$253,$C$3:$C$253,$N9)</f>
        <v>1769.8</v>
      </c>
      <c r="AN9">
        <f>SUMIFS($G$3:$G$253,$C$3:$C$253,$N9,$D$3:$D$253,P$2)</f>
        <v>459.6</v>
      </c>
      <c r="AO9">
        <f>SUMIFS($G$3:$G$253,$C$3:$C$253,$N9,$D$3:$D$253,Q$2)</f>
        <v>874.2</v>
      </c>
      <c r="AP9">
        <f>SUMIFS($G$3:$G$253,$C$3:$C$253,$N9,$D$3:$D$253,R$2)</f>
        <v>435.99999999999994</v>
      </c>
      <c r="AQ9">
        <f>AVERAGEIFS($J$3:$J$253,$C$3:$C$253,$N9)</f>
        <v>14.285714285714286</v>
      </c>
      <c r="AR9">
        <f>AVERAGEIFS($J$3:$J$253,$C$3:$C$253,$N9,$D$3:$D$253,P$2)</f>
        <v>16</v>
      </c>
      <c r="AS9">
        <f>AVERAGEIFS($J$3:$J$253,$C$3:$C$253,$N9,$D$3:$D$253,Q$2)</f>
        <v>14</v>
      </c>
      <c r="AT9">
        <f>AVERAGEIFS($J$3:$J$253,$C$3:$C$253,$N9,$D$3:$D$253,R$2)</f>
        <v>13.5</v>
      </c>
      <c r="AU9">
        <f t="shared" si="15"/>
        <v>15.485749999999999</v>
      </c>
      <c r="AV9">
        <f t="shared" si="16"/>
        <v>3.5906250000000002</v>
      </c>
      <c r="AW9">
        <f t="shared" si="17"/>
        <v>7.8053571428571429</v>
      </c>
      <c r="AX9">
        <f t="shared" si="18"/>
        <v>4.0370370370370363</v>
      </c>
    </row>
    <row r="10" spans="1:50" x14ac:dyDescent="0.45">
      <c r="A10">
        <v>1204063</v>
      </c>
      <c r="B10" t="str">
        <f>_xlfn.XLOOKUP(A10,monthly_work_hours!A:A,monthly_work_hours!B:B)</f>
        <v>김주호</v>
      </c>
      <c r="C10" t="str">
        <f>_xlfn.XLOOKUP(A10,monthly_work_hours!A:A,monthly_work_hours!E:E)</f>
        <v>SL품질보증팀</v>
      </c>
      <c r="D10" t="str">
        <f>_xlfn.XLOOKUP(A10,monthly_work_hours!A:A,monthly_work_hours!F:F)</f>
        <v>책임</v>
      </c>
      <c r="E10">
        <f>SUMIFS(monthly_work_hours!$M:$M,monthly_work_hours!$A:$A,'FTE 계산'!$A10,monthly_work_hours!$H:$H,'FTE 계산'!E$2)</f>
        <v>7</v>
      </c>
      <c r="F10">
        <f>SUMIFS(monthly_work_hours!$M:$M,monthly_work_hours!$A:$A,'FTE 계산'!$A10,monthly_work_hours!$H:$H,'FTE 계산'!F$2)</f>
        <v>0.4</v>
      </c>
      <c r="G10">
        <f>SUMIFS(monthly_work_hours!$M:$M,monthly_work_hours!$A:$A,'FTE 계산'!$A10,monthly_work_hours!$H:$H,'FTE 계산'!G$2)</f>
        <v>22.8</v>
      </c>
      <c r="H10">
        <f>(SUMIFS(monthly_work_hours!$I:$I,monthly_work_hours!$A:$A,'FTE 계산'!$A10,monthly_work_hours!$H:$H,'FTE 계산'!H$2)) - (SUMIFS(monthly_work_hours!$L:$L,monthly_work_hours!$A:$A,'FTE 계산'!$A10,monthly_work_hours!$H:$H,'FTE 계산'!H$2))</f>
        <v>2</v>
      </c>
      <c r="I10">
        <f>(SUMIFS(monthly_work_hours!$I:$I,monthly_work_hours!$A:$A,'FTE 계산'!$A10,monthly_work_hours!$H:$H,'FTE 계산'!I$2)) - (SUMIFS(monthly_work_hours!$L:$L,monthly_work_hours!$A:$A,'FTE 계산'!$A10,monthly_work_hours!$H:$H,'FTE 계산'!I$2))</f>
        <v>4</v>
      </c>
      <c r="J10">
        <f>(SUMIFS(monthly_work_hours!$I:$I,monthly_work_hours!$A:$A,'FTE 계산'!$A10,monthly_work_hours!$H:$H,'FTE 계산'!J$2)) - (SUMIFS(monthly_work_hours!$L:$L,monthly_work_hours!$A:$A,'FTE 계산'!$A10,monthly_work_hours!$H:$H,'FTE 계산'!J$2))</f>
        <v>4</v>
      </c>
      <c r="N10" t="s">
        <v>737</v>
      </c>
      <c r="O10">
        <f>SUMIFS($E$3:$E$253,$C$3:$C$253,$N10)</f>
        <v>1073.8</v>
      </c>
      <c r="P10">
        <f>SUMIFS($E$3:$E$253,$C$3:$C$253,$N10,$D$3:$D$253,P$2)</f>
        <v>293.10000000000002</v>
      </c>
      <c r="Q10">
        <f>SUMIFS($E$3:$E$253,$C$3:$C$253,$N10,$D$3:$D$253,Q$2)</f>
        <v>635.4</v>
      </c>
      <c r="R10">
        <f>SUMIFS($E$3:$E$253,$C$3:$C$253,$N10,$D$3:$D$253,R$2)</f>
        <v>145.30000000000001</v>
      </c>
      <c r="S10">
        <f>AVERAGEIFS($H$3:$H$253,$C$3:$C$253,$N10)</f>
        <v>16.571428571428573</v>
      </c>
      <c r="T10">
        <f>AVERAGEIFS($H$3:$H$253,$C$3:$C$253,$N10,$D$3:$D$253,P$2)</f>
        <v>16.5</v>
      </c>
      <c r="U10">
        <f>AVERAGEIFS($H$3:$H$253,$C$3:$C$253,$N10,$D$3:$D$253,Q$2)</f>
        <v>16.5</v>
      </c>
      <c r="V10">
        <f>AVERAGEIFS($H$3:$H$253,$C$3:$C$253,$N10,$D$3:$D$253,R$2)</f>
        <v>17</v>
      </c>
      <c r="W10">
        <f t="shared" si="7"/>
        <v>8.0997844827586203</v>
      </c>
      <c r="X10">
        <f t="shared" si="8"/>
        <v>2.2204545454545457</v>
      </c>
      <c r="Y10">
        <f t="shared" si="9"/>
        <v>4.8136363636363635</v>
      </c>
      <c r="Z10">
        <f t="shared" si="10"/>
        <v>1.0683823529411764</v>
      </c>
      <c r="AA10">
        <f>SUMIFS($F$3:$F$253,$C$3:$C$253,$N10)</f>
        <v>936.7</v>
      </c>
      <c r="AB10">
        <f>SUMIFS($F$3:$F$253,$C$3:$C$253,$N10,$D$3:$D$253,P$2)</f>
        <v>291.2</v>
      </c>
      <c r="AC10">
        <f>SUMIFS($F$3:$F$253,$C$3:$C$253,$N10,$D$3:$D$253,Q$2)</f>
        <v>499.6</v>
      </c>
      <c r="AD10">
        <f>SUMIFS($F$3:$F$253,$C$3:$C$253,$N10,$D$3:$D$253,R$2)</f>
        <v>145.9</v>
      </c>
      <c r="AE10">
        <f>AVERAGEIFS($I$3:$I$253,$C$3:$C$253,$N10)</f>
        <v>14.285714285714286</v>
      </c>
      <c r="AF10">
        <f>AVERAGEIFS($I$3:$I$253,$C$3:$C$253,$N10,$D$3:$D$253,P$2)</f>
        <v>17</v>
      </c>
      <c r="AG10">
        <f>AVERAGEIFS($I$3:$I$253,$C$3:$C$253,$N10,$D$3:$D$253,Q$2)</f>
        <v>12.25</v>
      </c>
      <c r="AH10">
        <f>AVERAGEIFS($I$3:$I$253,$C$3:$C$253,$N10,$D$3:$D$253,R$2)</f>
        <v>17</v>
      </c>
      <c r="AI10">
        <f t="shared" si="11"/>
        <v>8.1961250000000003</v>
      </c>
      <c r="AJ10">
        <f t="shared" si="12"/>
        <v>2.1411764705882352</v>
      </c>
      <c r="AK10">
        <f t="shared" si="13"/>
        <v>5.0979591836734697</v>
      </c>
      <c r="AL10">
        <f t="shared" si="14"/>
        <v>1.0727941176470588</v>
      </c>
      <c r="AM10">
        <f>SUMIFS($G$3:$G$253,$C$3:$C$253,$N10)</f>
        <v>739.7</v>
      </c>
      <c r="AN10">
        <f>SUMIFS($G$3:$G$253,$C$3:$C$253,$N10,$D$3:$D$253,P$2)</f>
        <v>237.6</v>
      </c>
      <c r="AO10">
        <f>SUMIFS($G$3:$G$253,$C$3:$C$253,$N10,$D$3:$D$253,Q$2)</f>
        <v>364.29999999999995</v>
      </c>
      <c r="AP10">
        <f>SUMIFS($G$3:$G$253,$C$3:$C$253,$N10,$D$3:$D$253,R$2)</f>
        <v>137.80000000000001</v>
      </c>
      <c r="AQ10">
        <f>AVERAGEIFS($J$3:$J$253,$C$3:$C$253,$N10)</f>
        <v>12.428571428571429</v>
      </c>
      <c r="AR10">
        <f>AVERAGEIFS($J$3:$J$253,$C$3:$C$253,$N10,$D$3:$D$253,P$2)</f>
        <v>14.5</v>
      </c>
      <c r="AS10">
        <f>AVERAGEIFS($J$3:$J$253,$C$3:$C$253,$N10,$D$3:$D$253,Q$2)</f>
        <v>10.5</v>
      </c>
      <c r="AT10">
        <f>AVERAGEIFS($J$3:$J$253,$C$3:$C$253,$N10,$D$3:$D$253,R$2)</f>
        <v>16</v>
      </c>
      <c r="AU10">
        <f t="shared" si="15"/>
        <v>7.4395114942528737</v>
      </c>
      <c r="AV10">
        <f t="shared" si="16"/>
        <v>2.0482758620689654</v>
      </c>
      <c r="AW10">
        <f t="shared" si="17"/>
        <v>4.3369047619047612</v>
      </c>
      <c r="AX10">
        <f t="shared" si="18"/>
        <v>1.0765625000000001</v>
      </c>
    </row>
    <row r="11" spans="1:50" x14ac:dyDescent="0.45">
      <c r="A11">
        <v>1204106</v>
      </c>
      <c r="B11" t="str">
        <f>_xlfn.XLOOKUP(A11,monthly_work_hours!A:A,monthly_work_hours!B:B)</f>
        <v>김영준</v>
      </c>
      <c r="C11" t="str">
        <f>_xlfn.XLOOKUP(A11,monthly_work_hours!A:A,monthly_work_hours!E:E)</f>
        <v>선행개발실</v>
      </c>
      <c r="D11" t="str">
        <f>_xlfn.XLOOKUP(A11,monthly_work_hours!A:A,monthly_work_hours!F:F)</f>
        <v>책임</v>
      </c>
      <c r="E11">
        <f>SUMIFS(monthly_work_hours!$M:$M,monthly_work_hours!$A:$A,'FTE 계산'!$A11,monthly_work_hours!$H:$H,'FTE 계산'!E$2)</f>
        <v>218.9</v>
      </c>
      <c r="F11">
        <f>SUMIFS(monthly_work_hours!$M:$M,monthly_work_hours!$A:$A,'FTE 계산'!$A11,monthly_work_hours!$H:$H,'FTE 계산'!F$2)</f>
        <v>160.1</v>
      </c>
      <c r="G11">
        <f>SUMIFS(monthly_work_hours!$M:$M,monthly_work_hours!$A:$A,'FTE 계산'!$A11,monthly_work_hours!$H:$H,'FTE 계산'!G$2)</f>
        <v>133</v>
      </c>
      <c r="H11">
        <f>(SUMIFS(monthly_work_hours!$I:$I,monthly_work_hours!$A:$A,'FTE 계산'!$A11,monthly_work_hours!$H:$H,'FTE 계산'!H$2)) - (SUMIFS(monthly_work_hours!$L:$L,monthly_work_hours!$A:$A,'FTE 계산'!$A11,monthly_work_hours!$H:$H,'FTE 계산'!H$2))</f>
        <v>14</v>
      </c>
      <c r="I11">
        <f>(SUMIFS(monthly_work_hours!$I:$I,monthly_work_hours!$A:$A,'FTE 계산'!$A11,monthly_work_hours!$H:$H,'FTE 계산'!I$2)) - (SUMIFS(monthly_work_hours!$L:$L,monthly_work_hours!$A:$A,'FTE 계산'!$A11,monthly_work_hours!$H:$H,'FTE 계산'!I$2))</f>
        <v>16</v>
      </c>
      <c r="J11">
        <f>(SUMIFS(monthly_work_hours!$I:$I,monthly_work_hours!$A:$A,'FTE 계산'!$A11,monthly_work_hours!$H:$H,'FTE 계산'!J$2)) - (SUMIFS(monthly_work_hours!$L:$L,monthly_work_hours!$A:$A,'FTE 계산'!$A11,monthly_work_hours!$H:$H,'FTE 계산'!J$2))</f>
        <v>15</v>
      </c>
      <c r="N11" t="s">
        <v>741</v>
      </c>
      <c r="O11">
        <f>SUMIFS($E$3:$E$253,$C$3:$C$253,$N11)</f>
        <v>2529.1999999999998</v>
      </c>
      <c r="P11">
        <f>SUMIFS($E$3:$E$253,$C$3:$C$253,$N11,$D$3:$D$253,P$2)</f>
        <v>288.39999999999998</v>
      </c>
      <c r="Q11">
        <f>SUMIFS($E$3:$E$253,$C$3:$C$253,$N11,$D$3:$D$253,Q$2)</f>
        <v>849.7</v>
      </c>
      <c r="R11">
        <f>SUMIFS($E$3:$E$253,$C$3:$C$253,$N11,$D$3:$D$253,R$2)</f>
        <v>1391.1000000000001</v>
      </c>
      <c r="S11">
        <f>AVERAGEIFS($H$3:$H$253,$C$3:$C$253,$N11)</f>
        <v>13.363636363636363</v>
      </c>
      <c r="T11">
        <f>AVERAGEIFS($H$3:$H$253,$C$3:$C$253,$N11,$D$3:$D$253,P$2)</f>
        <v>8.5</v>
      </c>
      <c r="U11">
        <f>AVERAGEIFS($H$3:$H$253,$C$3:$C$253,$N11,$D$3:$D$253,Q$2)</f>
        <v>18.5</v>
      </c>
      <c r="V11">
        <f>AVERAGEIFS($H$3:$H$253,$C$3:$C$253,$N11,$D$3:$D$253,R$2)</f>
        <v>13.285714285714286</v>
      </c>
      <c r="W11">
        <f t="shared" si="7"/>
        <v>23.657482993197277</v>
      </c>
      <c r="X11">
        <f t="shared" si="8"/>
        <v>4.2411764705882353</v>
      </c>
      <c r="Y11">
        <f t="shared" si="9"/>
        <v>5.7412162162162161</v>
      </c>
      <c r="Z11">
        <f t="shared" si="10"/>
        <v>13.088306451612905</v>
      </c>
      <c r="AA11">
        <f>SUMIFS($F$3:$F$253,$C$3:$C$253,$N11)</f>
        <v>2628.3</v>
      </c>
      <c r="AB11">
        <f>SUMIFS($F$3:$F$253,$C$3:$C$253,$N11,$D$3:$D$253,P$2)</f>
        <v>366.5</v>
      </c>
      <c r="AC11">
        <f>SUMIFS($F$3:$F$253,$C$3:$C$253,$N11,$D$3:$D$253,Q$2)</f>
        <v>866.2</v>
      </c>
      <c r="AD11">
        <f>SUMIFS($F$3:$F$253,$C$3:$C$253,$N11,$D$3:$D$253,R$2)</f>
        <v>1395.6</v>
      </c>
      <c r="AE11">
        <f>AVERAGEIFS($I$3:$I$253,$C$3:$C$253,$N11)</f>
        <v>15.090909090909092</v>
      </c>
      <c r="AF11">
        <f>AVERAGEIFS($I$3:$I$253,$C$3:$C$253,$N11,$D$3:$D$253,P$2)</f>
        <v>17</v>
      </c>
      <c r="AG11">
        <f>AVERAGEIFS($I$3:$I$253,$C$3:$C$253,$N11,$D$3:$D$253,Q$2)</f>
        <v>20</v>
      </c>
      <c r="AH11">
        <f>AVERAGEIFS($I$3:$I$253,$C$3:$C$253,$N11,$D$3:$D$253,R$2)</f>
        <v>13.142857142857142</v>
      </c>
      <c r="AI11">
        <f t="shared" si="11"/>
        <v>21.770557228915663</v>
      </c>
      <c r="AJ11">
        <f t="shared" si="12"/>
        <v>2.6948529411764706</v>
      </c>
      <c r="AK11">
        <f t="shared" si="13"/>
        <v>5.4137500000000003</v>
      </c>
      <c r="AL11">
        <f t="shared" si="14"/>
        <v>13.273369565217392</v>
      </c>
      <c r="AM11">
        <f>SUMIFS($G$3:$G$253,$C$3:$C$253,$N11)</f>
        <v>2220.8999999999996</v>
      </c>
      <c r="AN11">
        <f>SUMIFS($G$3:$G$253,$C$3:$C$253,$N11,$D$3:$D$253,P$2)</f>
        <v>314.89999999999998</v>
      </c>
      <c r="AO11">
        <f>SUMIFS($G$3:$G$253,$C$3:$C$253,$N11,$D$3:$D$253,Q$2)</f>
        <v>724.2</v>
      </c>
      <c r="AP11">
        <f>SUMIFS($G$3:$G$253,$C$3:$C$253,$N11,$D$3:$D$253,R$2)</f>
        <v>1181.8</v>
      </c>
      <c r="AQ11">
        <f>AVERAGEIFS($J$3:$J$253,$C$3:$C$253,$N11)</f>
        <v>13.181818181818182</v>
      </c>
      <c r="AR11">
        <f>AVERAGEIFS($J$3:$J$253,$C$3:$C$253,$N11,$D$3:$D$253,P$2)</f>
        <v>14.5</v>
      </c>
      <c r="AS11">
        <f>AVERAGEIFS($J$3:$J$253,$C$3:$C$253,$N11,$D$3:$D$253,Q$2)</f>
        <v>16.5</v>
      </c>
      <c r="AT11">
        <f>AVERAGEIFS($J$3:$J$253,$C$3:$C$253,$N11,$D$3:$D$253,R$2)</f>
        <v>11.857142857142858</v>
      </c>
      <c r="AU11">
        <f t="shared" si="15"/>
        <v>21.060258620689652</v>
      </c>
      <c r="AV11">
        <f t="shared" si="16"/>
        <v>2.7146551724137931</v>
      </c>
      <c r="AW11">
        <f t="shared" si="17"/>
        <v>5.4863636363636363</v>
      </c>
      <c r="AX11">
        <f t="shared" si="18"/>
        <v>12.458734939759035</v>
      </c>
    </row>
    <row r="12" spans="1:50" x14ac:dyDescent="0.45">
      <c r="A12">
        <v>1204115</v>
      </c>
      <c r="B12" t="str">
        <f>_xlfn.XLOOKUP(A12,monthly_work_hours!A:A,monthly_work_hours!B:B)</f>
        <v>이용재</v>
      </c>
      <c r="C12" t="str">
        <f>_xlfn.XLOOKUP(A12,monthly_work_hours!A:A,monthly_work_hours!E:E)</f>
        <v>FL생산기술팀</v>
      </c>
      <c r="D12" t="str">
        <f>_xlfn.XLOOKUP(A12,monthly_work_hours!A:A,monthly_work_hours!F:F)</f>
        <v>책임</v>
      </c>
      <c r="E12">
        <f>SUMIFS(monthly_work_hours!$M:$M,monthly_work_hours!$A:$A,'FTE 계산'!$A12,monthly_work_hours!$H:$H,'FTE 계산'!E$2)</f>
        <v>172.1</v>
      </c>
      <c r="F12">
        <f>SUMIFS(monthly_work_hours!$M:$M,monthly_work_hours!$A:$A,'FTE 계산'!$A12,monthly_work_hours!$H:$H,'FTE 계산'!F$2)</f>
        <v>174</v>
      </c>
      <c r="G12">
        <f>SUMIFS(monthly_work_hours!$M:$M,monthly_work_hours!$A:$A,'FTE 계산'!$A12,monthly_work_hours!$H:$H,'FTE 계산'!G$2)</f>
        <v>146.6</v>
      </c>
      <c r="H12">
        <f>(SUMIFS(monthly_work_hours!$I:$I,monthly_work_hours!$A:$A,'FTE 계산'!$A12,monthly_work_hours!$H:$H,'FTE 계산'!H$2)) - (SUMIFS(monthly_work_hours!$L:$L,monthly_work_hours!$A:$A,'FTE 계산'!$A12,monthly_work_hours!$H:$H,'FTE 계산'!H$2))</f>
        <v>18</v>
      </c>
      <c r="I12">
        <f>(SUMIFS(monthly_work_hours!$I:$I,monthly_work_hours!$A:$A,'FTE 계산'!$A12,monthly_work_hours!$H:$H,'FTE 계산'!I$2)) - (SUMIFS(monthly_work_hours!$L:$L,monthly_work_hours!$A:$A,'FTE 계산'!$A12,monthly_work_hours!$H:$H,'FTE 계산'!I$2))</f>
        <v>18</v>
      </c>
      <c r="J12">
        <f>(SUMIFS(monthly_work_hours!$I:$I,monthly_work_hours!$A:$A,'FTE 계산'!$A12,monthly_work_hours!$H:$H,'FTE 계산'!J$2)) - (SUMIFS(monthly_work_hours!$L:$L,monthly_work_hours!$A:$A,'FTE 계산'!$A12,monthly_work_hours!$H:$H,'FTE 계산'!J$2))</f>
        <v>16</v>
      </c>
      <c r="N12" t="s">
        <v>885</v>
      </c>
      <c r="O12">
        <f>SUMIFS($E$3:$E$253,$C$3:$C$253,$N12)</f>
        <v>1175.6999999999998</v>
      </c>
      <c r="P12">
        <f>SUMIFS($E$3:$E$253,$C$3:$C$253,$N12,$D$3:$D$253,P$2)</f>
        <v>332.1</v>
      </c>
      <c r="Q12">
        <f>SUMIFS($E$3:$E$253,$C$3:$C$253,$N12,$D$3:$D$253,Q$2)</f>
        <v>675.1</v>
      </c>
      <c r="R12">
        <f>SUMIFS($E$3:$E$253,$C$3:$C$253,$N12,$D$3:$D$253,R$2)</f>
        <v>168.5</v>
      </c>
      <c r="S12">
        <f>AVERAGEIFS($H$3:$H$253,$C$3:$C$253,$N12)</f>
        <v>18.428571428571427</v>
      </c>
      <c r="T12">
        <f>AVERAGEIFS($H$3:$H$253,$C$3:$C$253,$N12,$D$3:$D$253,P$2)</f>
        <v>18.5</v>
      </c>
      <c r="U12">
        <f>AVERAGEIFS($H$3:$H$253,$C$3:$C$253,$N12,$D$3:$D$253,Q$2)</f>
        <v>18.5</v>
      </c>
      <c r="V12">
        <f>AVERAGEIFS($H$3:$H$253,$C$3:$C$253,$N12,$D$3:$D$253,R$2)</f>
        <v>18</v>
      </c>
      <c r="W12">
        <f t="shared" si="7"/>
        <v>7.9747093023255804</v>
      </c>
      <c r="X12">
        <f t="shared" si="8"/>
        <v>2.243918918918919</v>
      </c>
      <c r="Y12">
        <f t="shared" si="9"/>
        <v>4.561486486486487</v>
      </c>
      <c r="Z12">
        <f t="shared" si="10"/>
        <v>1.1701388888888888</v>
      </c>
      <c r="AA12">
        <f>SUMIFS($F$3:$F$253,$C$3:$C$253,$N12)</f>
        <v>1141.8</v>
      </c>
      <c r="AB12">
        <f>SUMIFS($F$3:$F$253,$C$3:$C$253,$N12,$D$3:$D$253,P$2)</f>
        <v>337.1</v>
      </c>
      <c r="AC12">
        <f>SUMIFS($F$3:$F$253,$C$3:$C$253,$N12,$D$3:$D$253,Q$2)</f>
        <v>649</v>
      </c>
      <c r="AD12">
        <f>SUMIFS($F$3:$F$253,$C$3:$C$253,$N12,$D$3:$D$253,R$2)</f>
        <v>155.69999999999999</v>
      </c>
      <c r="AE12">
        <f>AVERAGEIFS($I$3:$I$253,$C$3:$C$253,$N12)</f>
        <v>17.857142857142858</v>
      </c>
      <c r="AF12">
        <f>AVERAGEIFS($I$3:$I$253,$C$3:$C$253,$N12,$D$3:$D$253,P$2)</f>
        <v>18</v>
      </c>
      <c r="AG12">
        <f>AVERAGEIFS($I$3:$I$253,$C$3:$C$253,$N12,$D$3:$D$253,Q$2)</f>
        <v>18</v>
      </c>
      <c r="AH12">
        <f>AVERAGEIFS($I$3:$I$253,$C$3:$C$253,$N12,$D$3:$D$253,R$2)</f>
        <v>17</v>
      </c>
      <c r="AI12">
        <f t="shared" si="11"/>
        <v>7.9925999999999995</v>
      </c>
      <c r="AJ12">
        <f t="shared" si="12"/>
        <v>2.3409722222222222</v>
      </c>
      <c r="AK12">
        <f t="shared" si="13"/>
        <v>4.5069444444444446</v>
      </c>
      <c r="AL12">
        <f t="shared" si="14"/>
        <v>1.1448529411764705</v>
      </c>
      <c r="AM12">
        <f>SUMIFS($G$3:$G$253,$C$3:$C$253,$N12)</f>
        <v>973</v>
      </c>
      <c r="AN12">
        <f>SUMIFS($G$3:$G$253,$C$3:$C$253,$N12,$D$3:$D$253,P$2)</f>
        <v>282.10000000000002</v>
      </c>
      <c r="AO12">
        <f>SUMIFS($G$3:$G$253,$C$3:$C$253,$N12,$D$3:$D$253,Q$2)</f>
        <v>551.29999999999995</v>
      </c>
      <c r="AP12">
        <f>SUMIFS($G$3:$G$253,$C$3:$C$253,$N12,$D$3:$D$253,R$2)</f>
        <v>139.6</v>
      </c>
      <c r="AQ12">
        <f>AVERAGEIFS($J$3:$J$253,$C$3:$C$253,$N12)</f>
        <v>15.857142857142858</v>
      </c>
      <c r="AR12">
        <f>AVERAGEIFS($J$3:$J$253,$C$3:$C$253,$N12,$D$3:$D$253,P$2)</f>
        <v>15.5</v>
      </c>
      <c r="AS12">
        <f>AVERAGEIFS($J$3:$J$253,$C$3:$C$253,$N12,$D$3:$D$253,Q$2)</f>
        <v>16</v>
      </c>
      <c r="AT12">
        <f>AVERAGEIFS($J$3:$J$253,$C$3:$C$253,$N12,$D$3:$D$253,R$2)</f>
        <v>16</v>
      </c>
      <c r="AU12">
        <f t="shared" si="15"/>
        <v>7.670045045045045</v>
      </c>
      <c r="AV12">
        <f t="shared" si="16"/>
        <v>2.2750000000000004</v>
      </c>
      <c r="AW12">
        <f t="shared" si="17"/>
        <v>4.3070312499999996</v>
      </c>
      <c r="AX12">
        <f t="shared" si="18"/>
        <v>1.090625</v>
      </c>
    </row>
    <row r="13" spans="1:50" x14ac:dyDescent="0.45">
      <c r="A13">
        <v>1205081</v>
      </c>
      <c r="B13" t="str">
        <f>_xlfn.XLOOKUP(A13,monthly_work_hours!A:A,monthly_work_hours!B:B)</f>
        <v>이호진</v>
      </c>
      <c r="C13" t="e">
        <f>_xlfn.XLOOKUP(A13,monthly_work_hours!A:A,monthly_work_hours!E:E)</f>
        <v>#N/A</v>
      </c>
      <c r="D13" t="str">
        <f>_xlfn.XLOOKUP(A13,monthly_work_hours!A:A,monthly_work_hours!F:F)</f>
        <v>기능주임</v>
      </c>
      <c r="E13">
        <f>SUMIFS(monthly_work_hours!$M:$M,monthly_work_hours!$A:$A,'FTE 계산'!$A13,monthly_work_hours!$H:$H,'FTE 계산'!E$2)</f>
        <v>0</v>
      </c>
      <c r="F13">
        <f>SUMIFS(monthly_work_hours!$M:$M,monthly_work_hours!$A:$A,'FTE 계산'!$A13,monthly_work_hours!$H:$H,'FTE 계산'!F$2)</f>
        <v>0</v>
      </c>
      <c r="G13">
        <f>SUMIFS(monthly_work_hours!$M:$M,monthly_work_hours!$A:$A,'FTE 계산'!$A13,monthly_work_hours!$H:$H,'FTE 계산'!G$2)</f>
        <v>0</v>
      </c>
      <c r="H13">
        <f>(SUMIFS(monthly_work_hours!$I:$I,monthly_work_hours!$A:$A,'FTE 계산'!$A13,monthly_work_hours!$H:$H,'FTE 계산'!H$2)) - (SUMIFS(monthly_work_hours!$L:$L,monthly_work_hours!$A:$A,'FTE 계산'!$A13,monthly_work_hours!$H:$H,'FTE 계산'!H$2))</f>
        <v>0</v>
      </c>
      <c r="I13">
        <f>(SUMIFS(monthly_work_hours!$I:$I,monthly_work_hours!$A:$A,'FTE 계산'!$A13,monthly_work_hours!$H:$H,'FTE 계산'!I$2)) - (SUMIFS(monthly_work_hours!$L:$L,monthly_work_hours!$A:$A,'FTE 계산'!$A13,monthly_work_hours!$H:$H,'FTE 계산'!I$2))</f>
        <v>1</v>
      </c>
      <c r="J13">
        <f>(SUMIFS(monthly_work_hours!$I:$I,monthly_work_hours!$A:$A,'FTE 계산'!$A13,monthly_work_hours!$H:$H,'FTE 계산'!J$2)) - (SUMIFS(monthly_work_hours!$L:$L,monthly_work_hours!$A:$A,'FTE 계산'!$A13,monthly_work_hours!$H:$H,'FTE 계산'!J$2))</f>
        <v>0</v>
      </c>
      <c r="N13" t="s">
        <v>922</v>
      </c>
      <c r="O13">
        <f>SUMIFS($E$3:$E$253,$C$3:$C$253,$N13)</f>
        <v>1191.8</v>
      </c>
      <c r="P13">
        <f>SUMIFS($E$3:$E$253,$C$3:$C$253,$N13,$D$3:$D$253,P$2)</f>
        <v>329.2</v>
      </c>
      <c r="Q13">
        <f>SUMIFS($E$3:$E$253,$C$3:$C$253,$N13,$D$3:$D$253,Q$2)</f>
        <v>678.7</v>
      </c>
      <c r="R13">
        <f>SUMIFS($E$3:$E$253,$C$3:$C$253,$N13,$D$3:$D$253,R$2)</f>
        <v>183.9</v>
      </c>
      <c r="S13">
        <f>AVERAGEIFS($H$3:$H$253,$C$3:$C$253,$N13)</f>
        <v>17.857142857142858</v>
      </c>
      <c r="T13">
        <f>AVERAGEIFS($H$3:$H$253,$C$3:$C$253,$N13,$D$3:$D$253,P$2)</f>
        <v>16.5</v>
      </c>
      <c r="U13">
        <f>AVERAGEIFS($H$3:$H$253,$C$3:$C$253,$N13,$D$3:$D$253,Q$2)</f>
        <v>18.25</v>
      </c>
      <c r="V13">
        <f>AVERAGEIFS($H$3:$H$253,$C$3:$C$253,$N13,$D$3:$D$253,R$2)</f>
        <v>19</v>
      </c>
      <c r="W13">
        <f t="shared" si="7"/>
        <v>8.3425999999999991</v>
      </c>
      <c r="X13">
        <f t="shared" si="8"/>
        <v>2.4939393939393937</v>
      </c>
      <c r="Y13">
        <f t="shared" si="9"/>
        <v>4.6486301369863021</v>
      </c>
      <c r="Z13">
        <f t="shared" si="10"/>
        <v>1.2098684210526316</v>
      </c>
      <c r="AA13">
        <f>SUMIFS($F$3:$F$253,$C$3:$C$253,$N13)</f>
        <v>1211.3999999999999</v>
      </c>
      <c r="AB13">
        <f>SUMIFS($F$3:$F$253,$C$3:$C$253,$N13,$D$3:$D$253,P$2)</f>
        <v>362</v>
      </c>
      <c r="AC13">
        <f>SUMIFS($F$3:$F$253,$C$3:$C$253,$N13,$D$3:$D$253,Q$2)</f>
        <v>672.1</v>
      </c>
      <c r="AD13">
        <f>SUMIFS($F$3:$F$253,$C$3:$C$253,$N13,$D$3:$D$253,R$2)</f>
        <v>177.3</v>
      </c>
      <c r="AE13">
        <f>AVERAGEIFS($I$3:$I$253,$C$3:$C$253,$N13)</f>
        <v>18.142857142857142</v>
      </c>
      <c r="AF13">
        <f>AVERAGEIFS($I$3:$I$253,$C$3:$C$253,$N13,$D$3:$D$253,P$2)</f>
        <v>19</v>
      </c>
      <c r="AG13">
        <f>AVERAGEIFS($I$3:$I$253,$C$3:$C$253,$N13,$D$3:$D$253,Q$2)</f>
        <v>17.5</v>
      </c>
      <c r="AH13">
        <f>AVERAGEIFS($I$3:$I$253,$C$3:$C$253,$N13,$D$3:$D$253,R$2)</f>
        <v>19</v>
      </c>
      <c r="AI13">
        <f t="shared" si="11"/>
        <v>8.3462598425196841</v>
      </c>
      <c r="AJ13">
        <f t="shared" si="12"/>
        <v>2.3815789473684212</v>
      </c>
      <c r="AK13">
        <f t="shared" si="13"/>
        <v>4.8007142857142862</v>
      </c>
      <c r="AL13">
        <f t="shared" si="14"/>
        <v>1.1664473684210528</v>
      </c>
      <c r="AM13">
        <f>SUMIFS($G$3:$G$253,$C$3:$C$253,$N13)</f>
        <v>1029.0999999999999</v>
      </c>
      <c r="AN13">
        <f>SUMIFS($G$3:$G$253,$C$3:$C$253,$N13,$D$3:$D$253,P$2)</f>
        <v>303.39999999999998</v>
      </c>
      <c r="AO13">
        <f>SUMIFS($G$3:$G$253,$C$3:$C$253,$N13,$D$3:$D$253,Q$2)</f>
        <v>579</v>
      </c>
      <c r="AP13">
        <f>SUMIFS($G$3:$G$253,$C$3:$C$253,$N13,$D$3:$D$253,R$2)</f>
        <v>146.69999999999999</v>
      </c>
      <c r="AQ13">
        <f>AVERAGEIFS($J$3:$J$253,$C$3:$C$253,$N13)</f>
        <v>15.571428571428571</v>
      </c>
      <c r="AR13">
        <f>AVERAGEIFS($J$3:$J$253,$C$3:$C$253,$N13,$D$3:$D$253,P$2)</f>
        <v>16</v>
      </c>
      <c r="AS13">
        <f>AVERAGEIFS($J$3:$J$253,$C$3:$C$253,$N13,$D$3:$D$253,Q$2)</f>
        <v>15.25</v>
      </c>
      <c r="AT13">
        <f>AVERAGEIFS($J$3:$J$253,$C$3:$C$253,$N13,$D$3:$D$253,R$2)</f>
        <v>16</v>
      </c>
      <c r="AU13">
        <f t="shared" si="15"/>
        <v>8.2611238532110089</v>
      </c>
      <c r="AV13">
        <f t="shared" si="16"/>
        <v>2.3703124999999998</v>
      </c>
      <c r="AW13">
        <f t="shared" si="17"/>
        <v>4.7459016393442619</v>
      </c>
      <c r="AX13">
        <f t="shared" si="18"/>
        <v>1.1460937499999999</v>
      </c>
    </row>
    <row r="14" spans="1:50" x14ac:dyDescent="0.45">
      <c r="A14">
        <v>1205094</v>
      </c>
      <c r="B14" t="str">
        <f>_xlfn.XLOOKUP(A14,monthly_work_hours!A:A,monthly_work_hours!B:B)</f>
        <v>강동현</v>
      </c>
      <c r="C14" t="str">
        <f>_xlfn.XLOOKUP(A14,monthly_work_hours!A:A,monthly_work_hours!E:E)</f>
        <v>FL개발팀</v>
      </c>
      <c r="D14" t="str">
        <f>_xlfn.XLOOKUP(A14,monthly_work_hours!A:A,monthly_work_hours!F:F)</f>
        <v>책임</v>
      </c>
      <c r="E14">
        <f>SUMIFS(monthly_work_hours!$M:$M,monthly_work_hours!$A:$A,'FTE 계산'!$A14,monthly_work_hours!$H:$H,'FTE 계산'!E$2)</f>
        <v>283.60000000000002</v>
      </c>
      <c r="F14">
        <f>SUMIFS(monthly_work_hours!$M:$M,monthly_work_hours!$A:$A,'FTE 계산'!$A14,monthly_work_hours!$H:$H,'FTE 계산'!F$2)</f>
        <v>165.9</v>
      </c>
      <c r="G14">
        <f>SUMIFS(monthly_work_hours!$M:$M,monthly_work_hours!$A:$A,'FTE 계산'!$A14,monthly_work_hours!$H:$H,'FTE 계산'!G$2)</f>
        <v>151.80000000000001</v>
      </c>
      <c r="H14">
        <f>(SUMIFS(monthly_work_hours!$I:$I,monthly_work_hours!$A:$A,'FTE 계산'!$A14,monthly_work_hours!$H:$H,'FTE 계산'!H$2)) - (SUMIFS(monthly_work_hours!$L:$L,monthly_work_hours!$A:$A,'FTE 계산'!$A14,monthly_work_hours!$H:$H,'FTE 계산'!H$2))</f>
        <v>19</v>
      </c>
      <c r="I14">
        <f>(SUMIFS(monthly_work_hours!$I:$I,monthly_work_hours!$A:$A,'FTE 계산'!$A14,monthly_work_hours!$H:$H,'FTE 계산'!I$2)) - (SUMIFS(monthly_work_hours!$L:$L,monthly_work_hours!$A:$A,'FTE 계산'!$A14,monthly_work_hours!$H:$H,'FTE 계산'!I$2))</f>
        <v>16</v>
      </c>
      <c r="J14">
        <f>(SUMIFS(monthly_work_hours!$I:$I,monthly_work_hours!$A:$A,'FTE 계산'!$A14,monthly_work_hours!$H:$H,'FTE 계산'!J$2)) - (SUMIFS(monthly_work_hours!$L:$L,monthly_work_hours!$A:$A,'FTE 계산'!$A14,monthly_work_hours!$H:$H,'FTE 계산'!J$2))</f>
        <v>16</v>
      </c>
      <c r="N14" t="s">
        <v>909</v>
      </c>
      <c r="O14">
        <f>SUMIFS($E$3:$E$253,$C$3:$C$253,$N14)</f>
        <v>2093.2999999999997</v>
      </c>
      <c r="P14">
        <f>SUMIFS($E$3:$E$253,$C$3:$C$253,$N14,$D$3:$D$253,P$2)</f>
        <v>779.50000000000011</v>
      </c>
      <c r="Q14">
        <f>SUMIFS($E$3:$E$253,$C$3:$C$253,$N14,$D$3:$D$253,Q$2)</f>
        <v>1152.5</v>
      </c>
      <c r="R14">
        <f>SUMIFS($E$3:$E$253,$C$3:$C$253,$N14,$D$3:$D$253,R$2)</f>
        <v>161.30000000000001</v>
      </c>
      <c r="S14">
        <f>AVERAGEIFS($H$3:$H$253,$C$3:$C$253,$N14)</f>
        <v>17.90909090909091</v>
      </c>
      <c r="T14">
        <f>AVERAGEIFS($H$3:$H$253,$C$3:$C$253,$N14,$D$3:$D$253,P$2)</f>
        <v>18.5</v>
      </c>
      <c r="U14">
        <f>AVERAGEIFS($H$3:$H$253,$C$3:$C$253,$N14,$D$3:$D$253,Q$2)</f>
        <v>17.333333333333332</v>
      </c>
      <c r="V14">
        <f>AVERAGEIFS($H$3:$H$253,$C$3:$C$253,$N14,$D$3:$D$253,R$2)</f>
        <v>19</v>
      </c>
      <c r="W14">
        <f t="shared" si="7"/>
        <v>14.610596446700505</v>
      </c>
      <c r="X14">
        <f t="shared" si="8"/>
        <v>5.266891891891893</v>
      </c>
      <c r="Y14">
        <f t="shared" si="9"/>
        <v>8.3112980769230766</v>
      </c>
      <c r="Z14">
        <f t="shared" si="10"/>
        <v>1.0611842105263158</v>
      </c>
      <c r="AA14">
        <f>SUMIFS($F$3:$F$253,$C$3:$C$253,$N14)</f>
        <v>2411.9</v>
      </c>
      <c r="AB14">
        <f>SUMIFS($F$3:$F$253,$C$3:$C$253,$N14,$D$3:$D$253,P$2)</f>
        <v>773.6</v>
      </c>
      <c r="AC14">
        <f>SUMIFS($F$3:$F$253,$C$3:$C$253,$N14,$D$3:$D$253,Q$2)</f>
        <v>1478.1000000000001</v>
      </c>
      <c r="AD14">
        <f>SUMIFS($F$3:$F$253,$C$3:$C$253,$N14,$D$3:$D$253,R$2)</f>
        <v>160.19999999999999</v>
      </c>
      <c r="AE14">
        <f>AVERAGEIFS($I$3:$I$253,$C$3:$C$253,$N14)</f>
        <v>18</v>
      </c>
      <c r="AF14">
        <f>AVERAGEIFS($I$3:$I$253,$C$3:$C$253,$N14,$D$3:$D$253,P$2)</f>
        <v>18.25</v>
      </c>
      <c r="AG14">
        <f>AVERAGEIFS($I$3:$I$253,$C$3:$C$253,$N14,$D$3:$D$253,Q$2)</f>
        <v>17.833333333333332</v>
      </c>
      <c r="AH14">
        <f>AVERAGEIFS($I$3:$I$253,$C$3:$C$253,$N14,$D$3:$D$253,R$2)</f>
        <v>18</v>
      </c>
      <c r="AI14">
        <f t="shared" si="11"/>
        <v>16.749305555555555</v>
      </c>
      <c r="AJ14">
        <f t="shared" si="12"/>
        <v>5.2986301369863016</v>
      </c>
      <c r="AK14">
        <f t="shared" si="13"/>
        <v>10.360514018691591</v>
      </c>
      <c r="AL14">
        <f t="shared" si="14"/>
        <v>1.1124999999999998</v>
      </c>
      <c r="AM14">
        <f>SUMIFS($G$3:$G$253,$C$3:$C$253,$N14)</f>
        <v>1948.9</v>
      </c>
      <c r="AN14">
        <f>SUMIFS($G$3:$G$253,$C$3:$C$253,$N14,$D$3:$D$253,P$2)</f>
        <v>632</v>
      </c>
      <c r="AO14">
        <f>SUMIFS($G$3:$G$253,$C$3:$C$253,$N14,$D$3:$D$253,Q$2)</f>
        <v>1191.0999999999999</v>
      </c>
      <c r="AP14">
        <f>SUMIFS($G$3:$G$253,$C$3:$C$253,$N14,$D$3:$D$253,R$2)</f>
        <v>125.8</v>
      </c>
      <c r="AQ14">
        <f>AVERAGEIFS($J$3:$J$253,$C$3:$C$253,$N14)</f>
        <v>15.545454545454545</v>
      </c>
      <c r="AR14">
        <f>AVERAGEIFS($J$3:$J$253,$C$3:$C$253,$N14,$D$3:$D$253,P$2)</f>
        <v>15.75</v>
      </c>
      <c r="AS14">
        <f>AVERAGEIFS($J$3:$J$253,$C$3:$C$253,$N14,$D$3:$D$253,Q$2)</f>
        <v>15.833333333333334</v>
      </c>
      <c r="AT14">
        <f>AVERAGEIFS($J$3:$J$253,$C$3:$C$253,$N14,$D$3:$D$253,R$2)</f>
        <v>13</v>
      </c>
      <c r="AU14">
        <f t="shared" si="15"/>
        <v>15.670979532163743</v>
      </c>
      <c r="AV14">
        <f t="shared" si="16"/>
        <v>5.0158730158730158</v>
      </c>
      <c r="AW14">
        <f t="shared" si="17"/>
        <v>9.4034210526315771</v>
      </c>
      <c r="AX14">
        <f t="shared" si="18"/>
        <v>1.2096153846153845</v>
      </c>
    </row>
    <row r="15" spans="1:50" x14ac:dyDescent="0.45">
      <c r="A15">
        <v>1205105</v>
      </c>
      <c r="B15" t="str">
        <f>_xlfn.XLOOKUP(A15,monthly_work_hours!A:A,monthly_work_hours!B:B)</f>
        <v>엄중호</v>
      </c>
      <c r="C15" t="e">
        <f>_xlfn.XLOOKUP(A15,monthly_work_hours!A:A,monthly_work_hours!E:E)</f>
        <v>#N/A</v>
      </c>
      <c r="D15" t="str">
        <f>_xlfn.XLOOKUP(A15,monthly_work_hours!A:A,monthly_work_hours!F:F)</f>
        <v>기능주임</v>
      </c>
      <c r="E15">
        <f>SUMIFS(monthly_work_hours!$M:$M,monthly_work_hours!$A:$A,'FTE 계산'!$A15,monthly_work_hours!$H:$H,'FTE 계산'!E$2)</f>
        <v>103.6</v>
      </c>
      <c r="F15">
        <f>SUMIFS(monthly_work_hours!$M:$M,monthly_work_hours!$A:$A,'FTE 계산'!$A15,monthly_work_hours!$H:$H,'FTE 계산'!F$2)</f>
        <v>95.7</v>
      </c>
      <c r="G15">
        <f>SUMIFS(monthly_work_hours!$M:$M,monthly_work_hours!$A:$A,'FTE 계산'!$A15,monthly_work_hours!$H:$H,'FTE 계산'!G$2)</f>
        <v>97.8</v>
      </c>
      <c r="H15">
        <f>(SUMIFS(monthly_work_hours!$I:$I,monthly_work_hours!$A:$A,'FTE 계산'!$A15,monthly_work_hours!$H:$H,'FTE 계산'!H$2)) - (SUMIFS(monthly_work_hours!$L:$L,monthly_work_hours!$A:$A,'FTE 계산'!$A15,monthly_work_hours!$H:$H,'FTE 계산'!H$2))</f>
        <v>20</v>
      </c>
      <c r="I15">
        <f>(SUMIFS(monthly_work_hours!$I:$I,monthly_work_hours!$A:$A,'FTE 계산'!$A15,monthly_work_hours!$H:$H,'FTE 계산'!I$2)) - (SUMIFS(monthly_work_hours!$L:$L,monthly_work_hours!$A:$A,'FTE 계산'!$A15,monthly_work_hours!$H:$H,'FTE 계산'!I$2))</f>
        <v>19</v>
      </c>
      <c r="J15">
        <f>(SUMIFS(monthly_work_hours!$I:$I,monthly_work_hours!$A:$A,'FTE 계산'!$A15,monthly_work_hours!$H:$H,'FTE 계산'!J$2)) - (SUMIFS(monthly_work_hours!$L:$L,monthly_work_hours!$A:$A,'FTE 계산'!$A15,monthly_work_hours!$H:$H,'FTE 계산'!J$2))</f>
        <v>17</v>
      </c>
      <c r="N15" t="s">
        <v>931</v>
      </c>
      <c r="O15">
        <f>SUMIFS($E$3:$E$253,$C$3:$C$253,$N15)</f>
        <v>1015.5</v>
      </c>
      <c r="P15">
        <f>SUMIFS($E$3:$E$253,$C$3:$C$253,$N15,$D$3:$D$253,P$2)</f>
        <v>337.1</v>
      </c>
      <c r="Q15">
        <f>SUMIFS($E$3:$E$253,$C$3:$C$253,$N15,$D$3:$D$253,Q$2)</f>
        <v>678.40000000000009</v>
      </c>
      <c r="R15">
        <f>SUMIFS($E$3:$E$253,$C$3:$C$253,$N15,$D$3:$D$253,R$2)</f>
        <v>0</v>
      </c>
      <c r="S15">
        <f>AVERAGEIFS($H$3:$H$253,$C$3:$C$253,$N15)</f>
        <v>17</v>
      </c>
      <c r="T15">
        <f>AVERAGEIFS($H$3:$H$253,$C$3:$C$253,$N15,$D$3:$D$253,P$2)</f>
        <v>16</v>
      </c>
      <c r="U15">
        <f>AVERAGEIFS($H$3:$H$253,$C$3:$C$253,$N15,$D$3:$D$253,Q$2)</f>
        <v>17.5</v>
      </c>
      <c r="V15" t="e">
        <f>AVERAGEIFS($H$3:$H$253,$C$3:$C$253,$N15,$D$3:$D$253,R$2)</f>
        <v>#DIV/0!</v>
      </c>
      <c r="W15">
        <f t="shared" si="7"/>
        <v>7.4669117647058822</v>
      </c>
      <c r="X15">
        <f t="shared" si="8"/>
        <v>2.6335937500000002</v>
      </c>
      <c r="Y15">
        <f t="shared" si="9"/>
        <v>4.8457142857142861</v>
      </c>
      <c r="Z15" t="str">
        <f t="shared" si="10"/>
        <v>-</v>
      </c>
      <c r="AA15">
        <f>SUMIFS($F$3:$F$253,$C$3:$C$253,$N15)</f>
        <v>1099.0999999999999</v>
      </c>
      <c r="AB15">
        <f>SUMIFS($F$3:$F$253,$C$3:$C$253,$N15,$D$3:$D$253,P$2)</f>
        <v>363.79999999999995</v>
      </c>
      <c r="AC15">
        <f>SUMIFS($F$3:$F$253,$C$3:$C$253,$N15,$D$3:$D$253,Q$2)</f>
        <v>735.3</v>
      </c>
      <c r="AD15">
        <f>SUMIFS($F$3:$F$253,$C$3:$C$253,$N15,$D$3:$D$253,R$2)</f>
        <v>0</v>
      </c>
      <c r="AE15">
        <f>AVERAGEIFS($I$3:$I$253,$C$3:$C$253,$N15)</f>
        <v>18.666666666666668</v>
      </c>
      <c r="AF15">
        <f>AVERAGEIFS($I$3:$I$253,$C$3:$C$253,$N15,$D$3:$D$253,P$2)</f>
        <v>19</v>
      </c>
      <c r="AG15">
        <f>AVERAGEIFS($I$3:$I$253,$C$3:$C$253,$N15,$D$3:$D$253,Q$2)</f>
        <v>18.5</v>
      </c>
      <c r="AH15" t="e">
        <f>AVERAGEIFS($I$3:$I$253,$C$3:$C$253,$N15,$D$3:$D$253,R$2)</f>
        <v>#DIV/0!</v>
      </c>
      <c r="AI15">
        <f t="shared" si="11"/>
        <v>7.360044642857142</v>
      </c>
      <c r="AJ15">
        <f t="shared" si="12"/>
        <v>2.3934210526315787</v>
      </c>
      <c r="AK15">
        <f t="shared" si="13"/>
        <v>4.9682432432432426</v>
      </c>
      <c r="AL15" t="str">
        <f t="shared" si="14"/>
        <v>-</v>
      </c>
      <c r="AM15">
        <f>SUMIFS($G$3:$G$253,$C$3:$C$253,$N15)</f>
        <v>882.8</v>
      </c>
      <c r="AN15">
        <f>SUMIFS($G$3:$G$253,$C$3:$C$253,$N15,$D$3:$D$253,P$2)</f>
        <v>284.3</v>
      </c>
      <c r="AO15">
        <f>SUMIFS($G$3:$G$253,$C$3:$C$253,$N15,$D$3:$D$253,Q$2)</f>
        <v>598.5</v>
      </c>
      <c r="AP15">
        <f>SUMIFS($G$3:$G$253,$C$3:$C$253,$N15,$D$3:$D$253,R$2)</f>
        <v>0</v>
      </c>
      <c r="AQ15">
        <f>AVERAGEIFS($J$3:$J$253,$C$3:$C$253,$N15)</f>
        <v>15.666666666666666</v>
      </c>
      <c r="AR15">
        <f>AVERAGEIFS($J$3:$J$253,$C$3:$C$253,$N15,$D$3:$D$253,P$2)</f>
        <v>16</v>
      </c>
      <c r="AS15">
        <f>AVERAGEIFS($J$3:$J$253,$C$3:$C$253,$N15,$D$3:$D$253,Q$2)</f>
        <v>15.5</v>
      </c>
      <c r="AT15" t="e">
        <f>AVERAGEIFS($J$3:$J$253,$C$3:$C$253,$N15,$D$3:$D$253,R$2)</f>
        <v>#DIV/0!</v>
      </c>
      <c r="AU15">
        <f t="shared" si="15"/>
        <v>7.0436170212765958</v>
      </c>
      <c r="AV15">
        <f t="shared" si="16"/>
        <v>2.2210937500000001</v>
      </c>
      <c r="AW15">
        <f t="shared" si="17"/>
        <v>4.8266129032258061</v>
      </c>
      <c r="AX15" t="str">
        <f t="shared" si="18"/>
        <v>-</v>
      </c>
    </row>
    <row r="16" spans="1:50" x14ac:dyDescent="0.45">
      <c r="A16">
        <v>1205115</v>
      </c>
      <c r="B16" t="str">
        <f>_xlfn.XLOOKUP(A16,monthly_work_hours!A:A,monthly_work_hours!B:B)</f>
        <v>김욱진</v>
      </c>
      <c r="C16" t="str">
        <f>_xlfn.XLOOKUP(A16,monthly_work_hours!A:A,monthly_work_hours!E:E)</f>
        <v>SL생산기술팀</v>
      </c>
      <c r="D16" t="str">
        <f>_xlfn.XLOOKUP(A16,monthly_work_hours!A:A,monthly_work_hours!F:F)</f>
        <v>책임</v>
      </c>
      <c r="E16">
        <f>SUMIFS(monthly_work_hours!$M:$M,monthly_work_hours!$A:$A,'FTE 계산'!$A16,monthly_work_hours!$H:$H,'FTE 계산'!E$2)</f>
        <v>164.9</v>
      </c>
      <c r="F16">
        <f>SUMIFS(monthly_work_hours!$M:$M,monthly_work_hours!$A:$A,'FTE 계산'!$A16,monthly_work_hours!$H:$H,'FTE 계산'!F$2)</f>
        <v>166.3</v>
      </c>
      <c r="G16">
        <f>SUMIFS(monthly_work_hours!$M:$M,monthly_work_hours!$A:$A,'FTE 계산'!$A16,monthly_work_hours!$H:$H,'FTE 계산'!G$2)</f>
        <v>120.1</v>
      </c>
      <c r="H16">
        <f>(SUMIFS(monthly_work_hours!$I:$I,monthly_work_hours!$A:$A,'FTE 계산'!$A16,monthly_work_hours!$H:$H,'FTE 계산'!H$2)) - (SUMIFS(monthly_work_hours!$L:$L,monthly_work_hours!$A:$A,'FTE 계산'!$A16,monthly_work_hours!$H:$H,'FTE 계산'!H$2))</f>
        <v>17</v>
      </c>
      <c r="I16">
        <f>(SUMIFS(monthly_work_hours!$I:$I,monthly_work_hours!$A:$A,'FTE 계산'!$A16,monthly_work_hours!$H:$H,'FTE 계산'!I$2)) - (SUMIFS(monthly_work_hours!$L:$L,monthly_work_hours!$A:$A,'FTE 계산'!$A16,monthly_work_hours!$H:$H,'FTE 계산'!I$2))</f>
        <v>17</v>
      </c>
      <c r="J16">
        <f>(SUMIFS(monthly_work_hours!$I:$I,monthly_work_hours!$A:$A,'FTE 계산'!$A16,monthly_work_hours!$H:$H,'FTE 계산'!J$2)) - (SUMIFS(monthly_work_hours!$L:$L,monthly_work_hours!$A:$A,'FTE 계산'!$A16,monthly_work_hours!$H:$H,'FTE 계산'!J$2))</f>
        <v>13</v>
      </c>
      <c r="N16" t="s">
        <v>962</v>
      </c>
      <c r="O16">
        <f>SUMIFS($E$3:$E$253,$C$3:$C$253,$N16)</f>
        <v>2489.0000000000005</v>
      </c>
      <c r="P16">
        <f>SUMIFS($E$3:$E$253,$C$3:$C$253,$N16,$D$3:$D$253,P$2)</f>
        <v>609.6</v>
      </c>
      <c r="Q16">
        <f>SUMIFS($E$3:$E$253,$C$3:$C$253,$N16,$D$3:$D$253,Q$2)</f>
        <v>1064.0999999999999</v>
      </c>
      <c r="R16">
        <f>SUMIFS($E$3:$E$253,$C$3:$C$253,$N16,$D$3:$D$253,R$2)</f>
        <v>815.3</v>
      </c>
      <c r="S16">
        <f>AVERAGEIFS($H$3:$H$253,$C$3:$C$253,$N16)</f>
        <v>17.153846153846153</v>
      </c>
      <c r="T16">
        <f>AVERAGEIFS($H$3:$H$253,$C$3:$C$253,$N16,$D$3:$D$253,P$2)</f>
        <v>17.333333333333332</v>
      </c>
      <c r="U16">
        <f>AVERAGEIFS($H$3:$H$253,$C$3:$C$253,$N16,$D$3:$D$253,Q$2)</f>
        <v>16.333333333333332</v>
      </c>
      <c r="V16">
        <f>AVERAGEIFS($H$3:$H$253,$C$3:$C$253,$N16,$D$3:$D$253,R$2)</f>
        <v>18.25</v>
      </c>
      <c r="W16">
        <f t="shared" si="7"/>
        <v>18.137331838565025</v>
      </c>
      <c r="X16">
        <f t="shared" si="8"/>
        <v>4.3961538461538465</v>
      </c>
      <c r="Y16">
        <f t="shared" si="9"/>
        <v>8.1436224489795919</v>
      </c>
      <c r="Z16">
        <f t="shared" si="10"/>
        <v>5.5842465753424655</v>
      </c>
      <c r="AA16">
        <f>SUMIFS($F$3:$F$253,$C$3:$C$253,$N16)</f>
        <v>2369.7000000000003</v>
      </c>
      <c r="AB16">
        <f>SUMIFS($F$3:$F$253,$C$3:$C$253,$N16,$D$3:$D$253,P$2)</f>
        <v>596</v>
      </c>
      <c r="AC16">
        <f>SUMIFS($F$3:$F$253,$C$3:$C$253,$N16,$D$3:$D$253,Q$2)</f>
        <v>1117.9000000000001</v>
      </c>
      <c r="AD16">
        <f>SUMIFS($F$3:$F$253,$C$3:$C$253,$N16,$D$3:$D$253,R$2)</f>
        <v>655.8</v>
      </c>
      <c r="AE16">
        <f>AVERAGEIFS($I$3:$I$253,$C$3:$C$253,$N16)</f>
        <v>16.615384615384617</v>
      </c>
      <c r="AF16">
        <f>AVERAGEIFS($I$3:$I$253,$C$3:$C$253,$N16,$D$3:$D$253,P$2)</f>
        <v>17.666666666666668</v>
      </c>
      <c r="AG16">
        <f>AVERAGEIFS($I$3:$I$253,$C$3:$C$253,$N16,$D$3:$D$253,Q$2)</f>
        <v>17</v>
      </c>
      <c r="AH16">
        <f>AVERAGEIFS($I$3:$I$253,$C$3:$C$253,$N16,$D$3:$D$253,R$2)</f>
        <v>15.25</v>
      </c>
      <c r="AI16">
        <f t="shared" si="11"/>
        <v>17.827604166666667</v>
      </c>
      <c r="AJ16">
        <f t="shared" si="12"/>
        <v>4.2169811320754711</v>
      </c>
      <c r="AK16">
        <f t="shared" si="13"/>
        <v>8.2198529411764714</v>
      </c>
      <c r="AL16">
        <f t="shared" si="14"/>
        <v>5.3754098360655735</v>
      </c>
      <c r="AM16">
        <f>SUMIFS($G$3:$G$253,$C$3:$C$253,$N16)</f>
        <v>2081.1</v>
      </c>
      <c r="AN16">
        <f>SUMIFS($G$3:$G$253,$C$3:$C$253,$N16,$D$3:$D$253,P$2)</f>
        <v>497.59999999999997</v>
      </c>
      <c r="AO16">
        <f>SUMIFS($G$3:$G$253,$C$3:$C$253,$N16,$D$3:$D$253,Q$2)</f>
        <v>1067.1000000000001</v>
      </c>
      <c r="AP16">
        <f>SUMIFS($G$3:$G$253,$C$3:$C$253,$N16,$D$3:$D$253,R$2)</f>
        <v>516.4</v>
      </c>
      <c r="AQ16">
        <f>AVERAGEIFS($J$3:$J$253,$C$3:$C$253,$N16)</f>
        <v>14.153846153846153</v>
      </c>
      <c r="AR16">
        <f>AVERAGEIFS($J$3:$J$253,$C$3:$C$253,$N16,$D$3:$D$253,P$2)</f>
        <v>14.333333333333334</v>
      </c>
      <c r="AS16">
        <f>AVERAGEIFS($J$3:$J$253,$C$3:$C$253,$N16,$D$3:$D$253,Q$2)</f>
        <v>15.5</v>
      </c>
      <c r="AT16">
        <f>AVERAGEIFS($J$3:$J$253,$C$3:$C$253,$N16,$D$3:$D$253,R$2)</f>
        <v>12</v>
      </c>
      <c r="AU16">
        <f t="shared" si="15"/>
        <v>18.379279891304346</v>
      </c>
      <c r="AV16">
        <f t="shared" si="16"/>
        <v>4.3395348837209298</v>
      </c>
      <c r="AW16">
        <f t="shared" si="17"/>
        <v>8.6056451612903242</v>
      </c>
      <c r="AX16">
        <f t="shared" si="18"/>
        <v>5.3791666666666664</v>
      </c>
    </row>
    <row r="17" spans="1:50" x14ac:dyDescent="0.45">
      <c r="A17">
        <v>1206003</v>
      </c>
      <c r="B17" t="str">
        <f>_xlfn.XLOOKUP(A17,monthly_work_hours!A:A,monthly_work_hours!B:B)</f>
        <v>김동건</v>
      </c>
      <c r="C17" t="str">
        <f>_xlfn.XLOOKUP(A17,monthly_work_hours!A:A,monthly_work_hours!E:E)</f>
        <v>FL개발팀</v>
      </c>
      <c r="D17" t="str">
        <f>_xlfn.XLOOKUP(A17,monthly_work_hours!A:A,monthly_work_hours!F:F)</f>
        <v>책임</v>
      </c>
      <c r="E17">
        <f>SUMIFS(monthly_work_hours!$M:$M,monthly_work_hours!$A:$A,'FTE 계산'!$A17,monthly_work_hours!$H:$H,'FTE 계산'!E$2)</f>
        <v>205.5</v>
      </c>
      <c r="F17">
        <f>SUMIFS(monthly_work_hours!$M:$M,monthly_work_hours!$A:$A,'FTE 계산'!$A17,monthly_work_hours!$H:$H,'FTE 계산'!F$2)</f>
        <v>198.1</v>
      </c>
      <c r="G17">
        <f>SUMIFS(monthly_work_hours!$M:$M,monthly_work_hours!$A:$A,'FTE 계산'!$A17,monthly_work_hours!$H:$H,'FTE 계산'!G$2)</f>
        <v>158</v>
      </c>
      <c r="H17">
        <f>(SUMIFS(monthly_work_hours!$I:$I,monthly_work_hours!$A:$A,'FTE 계산'!$A17,monthly_work_hours!$H:$H,'FTE 계산'!H$2)) - (SUMIFS(monthly_work_hours!$L:$L,monthly_work_hours!$A:$A,'FTE 계산'!$A17,monthly_work_hours!$H:$H,'FTE 계산'!H$2))</f>
        <v>18</v>
      </c>
      <c r="I17">
        <f>(SUMIFS(monthly_work_hours!$I:$I,monthly_work_hours!$A:$A,'FTE 계산'!$A17,monthly_work_hours!$H:$H,'FTE 계산'!I$2)) - (SUMIFS(monthly_work_hours!$L:$L,monthly_work_hours!$A:$A,'FTE 계산'!$A17,monthly_work_hours!$H:$H,'FTE 계산'!I$2))</f>
        <v>19</v>
      </c>
      <c r="J17">
        <f>(SUMIFS(monthly_work_hours!$I:$I,monthly_work_hours!$A:$A,'FTE 계산'!$A17,monthly_work_hours!$H:$H,'FTE 계산'!J$2)) - (SUMIFS(monthly_work_hours!$L:$L,monthly_work_hours!$A:$A,'FTE 계산'!$A17,monthly_work_hours!$H:$H,'FTE 계산'!J$2))</f>
        <v>16</v>
      </c>
      <c r="N17" t="s">
        <v>940</v>
      </c>
      <c r="O17">
        <f>SUMIFS($E$3:$E$253,$C$3:$C$253,$N17)</f>
        <v>970</v>
      </c>
      <c r="P17">
        <f>SUMIFS($E$3:$E$253,$C$3:$C$253,$N17,$D$3:$D$253,P$2)</f>
        <v>403.1</v>
      </c>
      <c r="Q17">
        <f>SUMIFS($E$3:$E$253,$C$3:$C$253,$N17,$D$3:$D$253,Q$2)</f>
        <v>170.5</v>
      </c>
      <c r="R17">
        <f>SUMIFS($E$3:$E$253,$C$3:$C$253,$N17,$D$3:$D$253,R$2)</f>
        <v>396.4</v>
      </c>
      <c r="S17">
        <f>AVERAGEIFS($H$3:$H$253,$C$3:$C$253,$N17)</f>
        <v>15</v>
      </c>
      <c r="T17">
        <f>AVERAGEIFS($H$3:$H$253,$C$3:$C$253,$N17,$D$3:$D$253,P$2)</f>
        <v>18.5</v>
      </c>
      <c r="U17">
        <f>AVERAGEIFS($H$3:$H$253,$C$3:$C$253,$N17,$D$3:$D$253,Q$2)</f>
        <v>18</v>
      </c>
      <c r="V17">
        <f>AVERAGEIFS($H$3:$H$253,$C$3:$C$253,$N17,$D$3:$D$253,R$2)</f>
        <v>11.666666666666666</v>
      </c>
      <c r="W17">
        <f t="shared" si="7"/>
        <v>8.0833333333333339</v>
      </c>
      <c r="X17">
        <f t="shared" si="8"/>
        <v>2.7236486486486489</v>
      </c>
      <c r="Y17">
        <f t="shared" si="9"/>
        <v>1.1840277777777777</v>
      </c>
      <c r="Z17">
        <f t="shared" si="10"/>
        <v>4.2471428571428573</v>
      </c>
      <c r="AA17">
        <f>SUMIFS($F$3:$F$253,$C$3:$C$253,$N17)</f>
        <v>1202</v>
      </c>
      <c r="AB17">
        <f>SUMIFS($F$3:$F$253,$C$3:$C$253,$N17,$D$3:$D$253,P$2)</f>
        <v>443.8</v>
      </c>
      <c r="AC17">
        <f>SUMIFS($F$3:$F$253,$C$3:$C$253,$N17,$D$3:$D$253,Q$2)</f>
        <v>191.9</v>
      </c>
      <c r="AD17">
        <f>SUMIFS($F$3:$F$253,$C$3:$C$253,$N17,$D$3:$D$253,R$2)</f>
        <v>566.29999999999995</v>
      </c>
      <c r="AE17">
        <f>AVERAGEIFS($I$3:$I$253,$C$3:$C$253,$N17)</f>
        <v>18.833333333333332</v>
      </c>
      <c r="AF17">
        <f>AVERAGEIFS($I$3:$I$253,$C$3:$C$253,$N17,$D$3:$D$253,P$2)</f>
        <v>19.5</v>
      </c>
      <c r="AG17">
        <f>AVERAGEIFS($I$3:$I$253,$C$3:$C$253,$N17,$D$3:$D$253,Q$2)</f>
        <v>19</v>
      </c>
      <c r="AH17">
        <f>AVERAGEIFS($I$3:$I$253,$C$3:$C$253,$N17,$D$3:$D$253,R$2)</f>
        <v>18.333333333333332</v>
      </c>
      <c r="AI17">
        <f t="shared" si="11"/>
        <v>7.9778761061946906</v>
      </c>
      <c r="AJ17">
        <f t="shared" si="12"/>
        <v>2.844871794871795</v>
      </c>
      <c r="AK17">
        <f t="shared" si="13"/>
        <v>1.2625</v>
      </c>
      <c r="AL17">
        <f t="shared" si="14"/>
        <v>3.8611363636363634</v>
      </c>
      <c r="AM17">
        <f>SUMIFS($G$3:$G$253,$C$3:$C$253,$N17)</f>
        <v>897.7</v>
      </c>
      <c r="AN17">
        <f>SUMIFS($G$3:$G$253,$C$3:$C$253,$N17,$D$3:$D$253,P$2)</f>
        <v>356.4</v>
      </c>
      <c r="AO17">
        <f>SUMIFS($G$3:$G$253,$C$3:$C$253,$N17,$D$3:$D$253,Q$2)</f>
        <v>133</v>
      </c>
      <c r="AP17">
        <f>SUMIFS($G$3:$G$253,$C$3:$C$253,$N17,$D$3:$D$253,R$2)</f>
        <v>408.3</v>
      </c>
      <c r="AQ17">
        <f>AVERAGEIFS($J$3:$J$253,$C$3:$C$253,$N17)</f>
        <v>14.833333333333334</v>
      </c>
      <c r="AR17">
        <f>AVERAGEIFS($J$3:$J$253,$C$3:$C$253,$N17,$D$3:$D$253,P$2)</f>
        <v>16</v>
      </c>
      <c r="AS17">
        <f>AVERAGEIFS($J$3:$J$253,$C$3:$C$253,$N17,$D$3:$D$253,Q$2)</f>
        <v>15</v>
      </c>
      <c r="AT17">
        <f>AVERAGEIFS($J$3:$J$253,$C$3:$C$253,$N17,$D$3:$D$253,R$2)</f>
        <v>14</v>
      </c>
      <c r="AU17">
        <f t="shared" si="15"/>
        <v>7.5648876404494381</v>
      </c>
      <c r="AV17">
        <f t="shared" si="16"/>
        <v>2.7843749999999998</v>
      </c>
      <c r="AW17">
        <f t="shared" si="17"/>
        <v>1.1083333333333334</v>
      </c>
      <c r="AX17">
        <f t="shared" si="18"/>
        <v>3.6455357142857143</v>
      </c>
    </row>
    <row r="18" spans="1:50" x14ac:dyDescent="0.45">
      <c r="A18">
        <v>1207010</v>
      </c>
      <c r="B18" t="str">
        <f>_xlfn.XLOOKUP(A18,monthly_work_hours!A:A,monthly_work_hours!B:B)</f>
        <v>박승규</v>
      </c>
      <c r="C18" t="str">
        <f>_xlfn.XLOOKUP(A18,monthly_work_hours!A:A,monthly_work_hours!E:E)</f>
        <v>SL구매팀</v>
      </c>
      <c r="D18" t="str">
        <f>_xlfn.XLOOKUP(A18,monthly_work_hours!A:A,monthly_work_hours!F:F)</f>
        <v>책임</v>
      </c>
      <c r="E18">
        <f>SUMIFS(monthly_work_hours!$M:$M,monthly_work_hours!$A:$A,'FTE 계산'!$A18,monthly_work_hours!$H:$H,'FTE 계산'!E$2)</f>
        <v>159.19999999999999</v>
      </c>
      <c r="F18">
        <f>SUMIFS(monthly_work_hours!$M:$M,monthly_work_hours!$A:$A,'FTE 계산'!$A18,monthly_work_hours!$H:$H,'FTE 계산'!F$2)</f>
        <v>168.8</v>
      </c>
      <c r="G18">
        <f>SUMIFS(monthly_work_hours!$M:$M,monthly_work_hours!$A:$A,'FTE 계산'!$A18,monthly_work_hours!$H:$H,'FTE 계산'!G$2)</f>
        <v>139.4</v>
      </c>
      <c r="H18">
        <f>(SUMIFS(monthly_work_hours!$I:$I,monthly_work_hours!$A:$A,'FTE 계산'!$A18,monthly_work_hours!$H:$H,'FTE 계산'!H$2)) - (SUMIFS(monthly_work_hours!$L:$L,monthly_work_hours!$A:$A,'FTE 계산'!$A18,monthly_work_hours!$H:$H,'FTE 계산'!H$2))</f>
        <v>16</v>
      </c>
      <c r="I18">
        <f>(SUMIFS(monthly_work_hours!$I:$I,monthly_work_hours!$A:$A,'FTE 계산'!$A18,monthly_work_hours!$H:$H,'FTE 계산'!I$2)) - (SUMIFS(monthly_work_hours!$L:$L,monthly_work_hours!$A:$A,'FTE 계산'!$A18,monthly_work_hours!$H:$H,'FTE 계산'!I$2))</f>
        <v>18</v>
      </c>
      <c r="J18">
        <f>(SUMIFS(monthly_work_hours!$I:$I,monthly_work_hours!$A:$A,'FTE 계산'!$A18,monthly_work_hours!$H:$H,'FTE 계산'!J$2)) - (SUMIFS(monthly_work_hours!$L:$L,monthly_work_hours!$A:$A,'FTE 계산'!$A18,monthly_work_hours!$H:$H,'FTE 계산'!J$2))</f>
        <v>15</v>
      </c>
      <c r="N18" t="s">
        <v>743</v>
      </c>
      <c r="O18">
        <f>SUMIFS($E$3:$E$253,$C$3:$C$253,$N18)</f>
        <v>2216.4</v>
      </c>
      <c r="P18">
        <f>SUMIFS($E$3:$E$253,$C$3:$C$253,$N18,$D$3:$D$253,P$2)</f>
        <v>1534.6</v>
      </c>
      <c r="Q18">
        <f>SUMIFS($E$3:$E$253,$C$3:$C$253,$N18,$D$3:$D$253,Q$2)</f>
        <v>568.4</v>
      </c>
      <c r="R18">
        <f>SUMIFS($E$3:$E$253,$C$3:$C$253,$N18,$D$3:$D$253,R$2)</f>
        <v>113.4</v>
      </c>
      <c r="S18">
        <f>AVERAGEIFS($H$3:$H$253,$C$3:$C$253,$N18)</f>
        <v>18.8</v>
      </c>
      <c r="T18">
        <f>AVERAGEIFS($H$3:$H$253,$C$3:$C$253,$N18,$D$3:$D$253,P$2)</f>
        <v>20.333333333333332</v>
      </c>
      <c r="U18">
        <f>AVERAGEIFS($H$3:$H$253,$C$3:$C$253,$N18,$D$3:$D$253,Q$2)</f>
        <v>21</v>
      </c>
      <c r="V18">
        <f>AVERAGEIFS($H$3:$H$253,$C$3:$C$253,$N18,$D$3:$D$253,R$2)</f>
        <v>12</v>
      </c>
      <c r="W18">
        <f t="shared" si="7"/>
        <v>14.736702127659575</v>
      </c>
      <c r="X18">
        <f t="shared" si="8"/>
        <v>9.4340163934426222</v>
      </c>
      <c r="Y18">
        <f t="shared" si="9"/>
        <v>3.3833333333333333</v>
      </c>
      <c r="Z18">
        <f t="shared" si="10"/>
        <v>1.1812500000000001</v>
      </c>
      <c r="AA18">
        <f>SUMIFS($F$3:$F$253,$C$3:$C$253,$N18)</f>
        <v>2013</v>
      </c>
      <c r="AB18">
        <f>SUMIFS($F$3:$F$253,$C$3:$C$253,$N18,$D$3:$D$253,P$2)</f>
        <v>1451.6999999999998</v>
      </c>
      <c r="AC18">
        <f>SUMIFS($F$3:$F$253,$C$3:$C$253,$N18,$D$3:$D$253,Q$2)</f>
        <v>477.9</v>
      </c>
      <c r="AD18">
        <f>SUMIFS($F$3:$F$253,$C$3:$C$253,$N18,$D$3:$D$253,R$2)</f>
        <v>83.4</v>
      </c>
      <c r="AE18">
        <f>AVERAGEIFS($I$3:$I$253,$C$3:$C$253,$N18)</f>
        <v>17.8</v>
      </c>
      <c r="AF18">
        <f>AVERAGEIFS($I$3:$I$253,$C$3:$C$253,$N18,$D$3:$D$253,P$2)</f>
        <v>19.666666666666668</v>
      </c>
      <c r="AG18">
        <f>AVERAGEIFS($I$3:$I$253,$C$3:$C$253,$N18,$D$3:$D$253,Q$2)</f>
        <v>20</v>
      </c>
      <c r="AH18">
        <f>AVERAGEIFS($I$3:$I$253,$C$3:$C$253,$N18,$D$3:$D$253,R$2)</f>
        <v>10</v>
      </c>
      <c r="AI18">
        <f t="shared" si="11"/>
        <v>14.136235955056179</v>
      </c>
      <c r="AJ18">
        <f t="shared" si="12"/>
        <v>9.2269067796610145</v>
      </c>
      <c r="AK18">
        <f t="shared" si="13"/>
        <v>2.9868749999999999</v>
      </c>
      <c r="AL18">
        <f t="shared" si="14"/>
        <v>1.0425</v>
      </c>
      <c r="AM18">
        <f>SUMIFS($G$3:$G$253,$C$3:$C$253,$N18)</f>
        <v>1462.8999999999999</v>
      </c>
      <c r="AN18">
        <f>SUMIFS($G$3:$G$253,$C$3:$C$253,$N18,$D$3:$D$253,P$2)</f>
        <v>940.6</v>
      </c>
      <c r="AO18">
        <f>SUMIFS($G$3:$G$253,$C$3:$C$253,$N18,$D$3:$D$253,Q$2)</f>
        <v>489.5</v>
      </c>
      <c r="AP18">
        <f>SUMIFS($G$3:$G$253,$C$3:$C$253,$N18,$D$3:$D$253,R$2)</f>
        <v>32.799999999999997</v>
      </c>
      <c r="AQ18">
        <f>AVERAGEIFS($J$3:$J$253,$C$3:$C$253,$N18)</f>
        <v>13.6</v>
      </c>
      <c r="AR18">
        <f>AVERAGEIFS($J$3:$J$253,$C$3:$C$253,$N18,$D$3:$D$253,P$2)</f>
        <v>16</v>
      </c>
      <c r="AS18">
        <f>AVERAGEIFS($J$3:$J$253,$C$3:$C$253,$N18,$D$3:$D$253,Q$2)</f>
        <v>16</v>
      </c>
      <c r="AT18">
        <f>AVERAGEIFS($J$3:$J$253,$C$3:$C$253,$N18,$D$3:$D$253,R$2)</f>
        <v>4</v>
      </c>
      <c r="AU18">
        <f t="shared" si="15"/>
        <v>13.445772058823529</v>
      </c>
      <c r="AV18">
        <f t="shared" si="16"/>
        <v>7.3484375000000002</v>
      </c>
      <c r="AW18">
        <f t="shared" si="17"/>
        <v>3.82421875</v>
      </c>
      <c r="AX18">
        <f t="shared" si="18"/>
        <v>1.0249999999999999</v>
      </c>
    </row>
    <row r="19" spans="1:50" x14ac:dyDescent="0.45">
      <c r="A19">
        <v>1207036</v>
      </c>
      <c r="B19" t="str">
        <f>_xlfn.XLOOKUP(A19,monthly_work_hours!A:A,monthly_work_hours!B:B)</f>
        <v>우승윤</v>
      </c>
      <c r="C19" t="str">
        <f>_xlfn.XLOOKUP(A19,monthly_work_hours!A:A,monthly_work_hours!E:E)</f>
        <v>선행개발팀</v>
      </c>
      <c r="D19" t="str">
        <f>_xlfn.XLOOKUP(A19,monthly_work_hours!A:A,monthly_work_hours!F:F)</f>
        <v>책임</v>
      </c>
      <c r="E19">
        <f>SUMIFS(monthly_work_hours!$M:$M,monthly_work_hours!$A:$A,'FTE 계산'!$A19,monthly_work_hours!$H:$H,'FTE 계산'!E$2)</f>
        <v>152.69999999999999</v>
      </c>
      <c r="F19">
        <f>SUMIFS(monthly_work_hours!$M:$M,monthly_work_hours!$A:$A,'FTE 계산'!$A19,monthly_work_hours!$H:$H,'FTE 계산'!F$2)</f>
        <v>142.6</v>
      </c>
      <c r="G19">
        <f>SUMIFS(monthly_work_hours!$M:$M,monthly_work_hours!$A:$A,'FTE 계산'!$A19,monthly_work_hours!$H:$H,'FTE 계산'!G$2)</f>
        <v>103.4</v>
      </c>
      <c r="H19">
        <f>(SUMIFS(monthly_work_hours!$I:$I,monthly_work_hours!$A:$A,'FTE 계산'!$A19,monthly_work_hours!$H:$H,'FTE 계산'!H$2)) - (SUMIFS(monthly_work_hours!$L:$L,monthly_work_hours!$A:$A,'FTE 계산'!$A19,monthly_work_hours!$H:$H,'FTE 계산'!H$2))</f>
        <v>16</v>
      </c>
      <c r="I19">
        <f>(SUMIFS(monthly_work_hours!$I:$I,monthly_work_hours!$A:$A,'FTE 계산'!$A19,monthly_work_hours!$H:$H,'FTE 계산'!I$2)) - (SUMIFS(monthly_work_hours!$L:$L,monthly_work_hours!$A:$A,'FTE 계산'!$A19,monthly_work_hours!$H:$H,'FTE 계산'!I$2))</f>
        <v>18</v>
      </c>
      <c r="J19">
        <f>(SUMIFS(monthly_work_hours!$I:$I,monthly_work_hours!$A:$A,'FTE 계산'!$A19,monthly_work_hours!$H:$H,'FTE 계산'!J$2)) - (SUMIFS(monthly_work_hours!$L:$L,monthly_work_hours!$A:$A,'FTE 계산'!$A19,monthly_work_hours!$H:$H,'FTE 계산'!J$2))</f>
        <v>13</v>
      </c>
      <c r="N19" t="s">
        <v>830</v>
      </c>
      <c r="O19">
        <f>SUMIFS($E$3:$E$253,$C$3:$C$253,$N19)</f>
        <v>1018.4</v>
      </c>
      <c r="P19">
        <f>SUMIFS($E$3:$E$253,$C$3:$C$253,$N19,$D$3:$D$253,P$2)</f>
        <v>360.4</v>
      </c>
      <c r="Q19">
        <f>SUMIFS($E$3:$E$253,$C$3:$C$253,$N19,$D$3:$D$253,Q$2)</f>
        <v>379.6</v>
      </c>
      <c r="R19">
        <f>SUMIFS($E$3:$E$253,$C$3:$C$253,$N19,$D$3:$D$253,R$2)</f>
        <v>278.39999999999998</v>
      </c>
      <c r="S19">
        <f>AVERAGEIFS($H$3:$H$253,$C$3:$C$253,$N19)</f>
        <v>17</v>
      </c>
      <c r="T19">
        <f>AVERAGEIFS($H$3:$H$253,$C$3:$C$253,$N19,$D$3:$D$253,P$2)</f>
        <v>18.5</v>
      </c>
      <c r="U19">
        <f>AVERAGEIFS($H$3:$H$253,$C$3:$C$253,$N19,$D$3:$D$253,Q$2)</f>
        <v>18.5</v>
      </c>
      <c r="V19">
        <f>AVERAGEIFS($H$3:$H$253,$C$3:$C$253,$N19,$D$3:$D$253,R$2)</f>
        <v>14</v>
      </c>
      <c r="W19">
        <f t="shared" si="7"/>
        <v>7.4882352941176471</v>
      </c>
      <c r="X19">
        <f t="shared" si="8"/>
        <v>2.4351351351351349</v>
      </c>
      <c r="Y19">
        <f t="shared" si="9"/>
        <v>2.5648648648648651</v>
      </c>
      <c r="Z19">
        <f t="shared" si="10"/>
        <v>2.4857142857142853</v>
      </c>
      <c r="AA19">
        <f>SUMIFS($F$3:$F$253,$C$3:$C$253,$N19)</f>
        <v>1019.6999999999999</v>
      </c>
      <c r="AB19">
        <f>SUMIFS($F$3:$F$253,$C$3:$C$253,$N19,$D$3:$D$253,P$2)</f>
        <v>343.8</v>
      </c>
      <c r="AC19">
        <f>SUMIFS($F$3:$F$253,$C$3:$C$253,$N19,$D$3:$D$253,Q$2)</f>
        <v>321.5</v>
      </c>
      <c r="AD19">
        <f>SUMIFS($F$3:$F$253,$C$3:$C$253,$N19,$D$3:$D$253,R$2)</f>
        <v>354.4</v>
      </c>
      <c r="AE19">
        <f>AVERAGEIFS($I$3:$I$253,$C$3:$C$253,$N19)</f>
        <v>17.333333333333332</v>
      </c>
      <c r="AF19">
        <f>AVERAGEIFS($I$3:$I$253,$C$3:$C$253,$N19,$D$3:$D$253,P$2)</f>
        <v>17</v>
      </c>
      <c r="AG19">
        <f>AVERAGEIFS($I$3:$I$253,$C$3:$C$253,$N19,$D$3:$D$253,Q$2)</f>
        <v>16.5</v>
      </c>
      <c r="AH19">
        <f>AVERAGEIFS($I$3:$I$253,$C$3:$C$253,$N19,$D$3:$D$253,R$2)</f>
        <v>18.5</v>
      </c>
      <c r="AI19">
        <f t="shared" si="11"/>
        <v>7.3536057692307688</v>
      </c>
      <c r="AJ19">
        <f t="shared" si="12"/>
        <v>2.5279411764705881</v>
      </c>
      <c r="AK19">
        <f t="shared" si="13"/>
        <v>2.4356060606060606</v>
      </c>
      <c r="AL19">
        <f t="shared" si="14"/>
        <v>2.3945945945945946</v>
      </c>
      <c r="AM19">
        <f>SUMIFS($G$3:$G$253,$C$3:$C$253,$N19)</f>
        <v>832.9</v>
      </c>
      <c r="AN19">
        <f>SUMIFS($G$3:$G$253,$C$3:$C$253,$N19,$D$3:$D$253,P$2)</f>
        <v>290.39999999999998</v>
      </c>
      <c r="AO19">
        <f>SUMIFS($G$3:$G$253,$C$3:$C$253,$N19,$D$3:$D$253,Q$2)</f>
        <v>262.60000000000002</v>
      </c>
      <c r="AP19">
        <f>SUMIFS($G$3:$G$253,$C$3:$C$253,$N19,$D$3:$D$253,R$2)</f>
        <v>279.89999999999998</v>
      </c>
      <c r="AQ19">
        <f>AVERAGEIFS($J$3:$J$253,$C$3:$C$253,$N19)</f>
        <v>15.333333333333334</v>
      </c>
      <c r="AR19">
        <f>AVERAGEIFS($J$3:$J$253,$C$3:$C$253,$N19,$D$3:$D$253,P$2)</f>
        <v>15.5</v>
      </c>
      <c r="AS19">
        <f>AVERAGEIFS($J$3:$J$253,$C$3:$C$253,$N19,$D$3:$D$253,Q$2)</f>
        <v>15</v>
      </c>
      <c r="AT19">
        <f>AVERAGEIFS($J$3:$J$253,$C$3:$C$253,$N19,$D$3:$D$253,R$2)</f>
        <v>15.5</v>
      </c>
      <c r="AU19">
        <f t="shared" si="15"/>
        <v>6.7899456521739125</v>
      </c>
      <c r="AV19">
        <f t="shared" si="16"/>
        <v>2.3419354838709676</v>
      </c>
      <c r="AW19">
        <f t="shared" si="17"/>
        <v>2.1883333333333335</v>
      </c>
      <c r="AX19">
        <f t="shared" si="18"/>
        <v>2.2572580645161286</v>
      </c>
    </row>
    <row r="20" spans="1:50" x14ac:dyDescent="0.45">
      <c r="A20">
        <v>1207078</v>
      </c>
      <c r="B20" t="str">
        <f>_xlfn.XLOOKUP(A20,monthly_work_hours!A:A,monthly_work_hours!B:B)</f>
        <v>이경우</v>
      </c>
      <c r="C20" t="str">
        <f>_xlfn.XLOOKUP(A20,monthly_work_hours!A:A,monthly_work_hours!E:E)</f>
        <v>구매원가팀</v>
      </c>
      <c r="D20" t="str">
        <f>_xlfn.XLOOKUP(A20,monthly_work_hours!A:A,monthly_work_hours!F:F)</f>
        <v>책임</v>
      </c>
      <c r="E20">
        <f>SUMIFS(monthly_work_hours!$M:$M,monthly_work_hours!$A:$A,'FTE 계산'!$A20,monthly_work_hours!$H:$H,'FTE 계산'!E$2)</f>
        <v>187.4</v>
      </c>
      <c r="F20">
        <f>SUMIFS(monthly_work_hours!$M:$M,monthly_work_hours!$A:$A,'FTE 계산'!$A20,monthly_work_hours!$H:$H,'FTE 계산'!F$2)</f>
        <v>187.7</v>
      </c>
      <c r="G20">
        <f>SUMIFS(monthly_work_hours!$M:$M,monthly_work_hours!$A:$A,'FTE 계산'!$A20,monthly_work_hours!$H:$H,'FTE 계산'!G$2)</f>
        <v>160.6</v>
      </c>
      <c r="H20">
        <f>(SUMIFS(monthly_work_hours!$I:$I,monthly_work_hours!$A:$A,'FTE 계산'!$A20,monthly_work_hours!$H:$H,'FTE 계산'!H$2)) - (SUMIFS(monthly_work_hours!$L:$L,monthly_work_hours!$A:$A,'FTE 계산'!$A20,monthly_work_hours!$H:$H,'FTE 계산'!H$2))</f>
        <v>18</v>
      </c>
      <c r="I20">
        <f>(SUMIFS(monthly_work_hours!$I:$I,monthly_work_hours!$A:$A,'FTE 계산'!$A20,monthly_work_hours!$H:$H,'FTE 계산'!I$2)) - (SUMIFS(monthly_work_hours!$L:$L,monthly_work_hours!$A:$A,'FTE 계산'!$A20,monthly_work_hours!$H:$H,'FTE 계산'!I$2))</f>
        <v>19</v>
      </c>
      <c r="J20">
        <f>(SUMIFS(monthly_work_hours!$I:$I,monthly_work_hours!$A:$A,'FTE 계산'!$A20,monthly_work_hours!$H:$H,'FTE 계산'!J$2)) - (SUMIFS(monthly_work_hours!$L:$L,monthly_work_hours!$A:$A,'FTE 계산'!$A20,monthly_work_hours!$H:$H,'FTE 계산'!J$2))</f>
        <v>16</v>
      </c>
      <c r="N20" t="s">
        <v>956</v>
      </c>
      <c r="O20">
        <f>SUMIFS($E$3:$E$253,$C$3:$C$253,$N20)</f>
        <v>2146.5</v>
      </c>
      <c r="P20">
        <f>SUMIFS($E$3:$E$253,$C$3:$C$253,$N20,$D$3:$D$253,P$2)</f>
        <v>353.3</v>
      </c>
      <c r="Q20">
        <f>SUMIFS($E$3:$E$253,$C$3:$C$253,$N20,$D$3:$D$253,Q$2)</f>
        <v>1416.5</v>
      </c>
      <c r="R20">
        <f>SUMIFS($E$3:$E$253,$C$3:$C$253,$N20,$D$3:$D$253,R$2)</f>
        <v>376.70000000000005</v>
      </c>
      <c r="S20">
        <f>AVERAGEIFS($H$3:$H$253,$C$3:$C$253,$N20)</f>
        <v>16.076923076923077</v>
      </c>
      <c r="T20">
        <f>AVERAGEIFS($H$3:$H$253,$C$3:$C$253,$N20,$D$3:$D$253,P$2)</f>
        <v>17</v>
      </c>
      <c r="U20">
        <f>AVERAGEIFS($H$3:$H$253,$C$3:$C$253,$N20,$D$3:$D$253,Q$2)</f>
        <v>15.333333333333334</v>
      </c>
      <c r="V20">
        <f>AVERAGEIFS($H$3:$H$253,$C$3:$C$253,$N20,$D$3:$D$253,R$2)</f>
        <v>18.5</v>
      </c>
      <c r="W20">
        <f t="shared" si="7"/>
        <v>16.689294258373206</v>
      </c>
      <c r="X20">
        <f t="shared" si="8"/>
        <v>2.5977941176470587</v>
      </c>
      <c r="Y20">
        <f t="shared" si="9"/>
        <v>11.547554347826086</v>
      </c>
      <c r="Z20">
        <f t="shared" si="10"/>
        <v>2.5452702702702705</v>
      </c>
      <c r="AA20">
        <f>SUMIFS($F$3:$F$253,$C$3:$C$253,$N20)</f>
        <v>1870.6</v>
      </c>
      <c r="AB20">
        <f>SUMIFS($F$3:$F$253,$C$3:$C$253,$N20,$D$3:$D$253,P$2)</f>
        <v>161</v>
      </c>
      <c r="AC20">
        <f>SUMIFS($F$3:$F$253,$C$3:$C$253,$N20,$D$3:$D$253,Q$2)</f>
        <v>1333.6</v>
      </c>
      <c r="AD20">
        <f>SUMIFS($F$3:$F$253,$C$3:$C$253,$N20,$D$3:$D$253,R$2)</f>
        <v>376</v>
      </c>
      <c r="AE20">
        <f>AVERAGEIFS($I$3:$I$253,$C$3:$C$253,$N20)</f>
        <v>15.615384615384615</v>
      </c>
      <c r="AF20">
        <f>AVERAGEIFS($I$3:$I$253,$C$3:$C$253,$N20,$D$3:$D$253,P$2)</f>
        <v>7.5</v>
      </c>
      <c r="AG20">
        <f>AVERAGEIFS($I$3:$I$253,$C$3:$C$253,$N20,$D$3:$D$253,Q$2)</f>
        <v>16.777777777777779</v>
      </c>
      <c r="AH20">
        <f>AVERAGEIFS($I$3:$I$253,$C$3:$C$253,$N20,$D$3:$D$253,R$2)</f>
        <v>18.5</v>
      </c>
      <c r="AI20">
        <f t="shared" si="11"/>
        <v>14.974014778325122</v>
      </c>
      <c r="AJ20">
        <f t="shared" si="12"/>
        <v>2.6833333333333331</v>
      </c>
      <c r="AK20">
        <f t="shared" si="13"/>
        <v>9.9357615894039721</v>
      </c>
      <c r="AL20">
        <f t="shared" si="14"/>
        <v>2.5405405405405403</v>
      </c>
      <c r="AM20">
        <f>SUMIFS($G$3:$G$253,$C$3:$C$253,$N20)</f>
        <v>1547.8</v>
      </c>
      <c r="AN20">
        <f>SUMIFS($G$3:$G$253,$C$3:$C$253,$N20,$D$3:$D$253,P$2)</f>
        <v>144.9</v>
      </c>
      <c r="AO20">
        <f>SUMIFS($G$3:$G$253,$C$3:$C$253,$N20,$D$3:$D$253,Q$2)</f>
        <v>1112.6999999999998</v>
      </c>
      <c r="AP20">
        <f>SUMIFS($G$3:$G$253,$C$3:$C$253,$N20,$D$3:$D$253,R$2)</f>
        <v>290.20000000000005</v>
      </c>
      <c r="AQ20">
        <f>AVERAGEIFS($J$3:$J$253,$C$3:$C$253,$N20)</f>
        <v>13.461538461538462</v>
      </c>
      <c r="AR20">
        <f>AVERAGEIFS($J$3:$J$253,$C$3:$C$253,$N20,$D$3:$D$253,P$2)</f>
        <v>7</v>
      </c>
      <c r="AS20">
        <f>AVERAGEIFS($J$3:$J$253,$C$3:$C$253,$N20,$D$3:$D$253,Q$2)</f>
        <v>14.444444444444445</v>
      </c>
      <c r="AT20">
        <f>AVERAGEIFS($J$3:$J$253,$C$3:$C$253,$N20,$D$3:$D$253,R$2)</f>
        <v>15.5</v>
      </c>
      <c r="AU20">
        <f t="shared" si="15"/>
        <v>14.372428571428571</v>
      </c>
      <c r="AV20">
        <f t="shared" si="16"/>
        <v>2.5874999999999999</v>
      </c>
      <c r="AW20">
        <f t="shared" si="17"/>
        <v>9.6291346153846131</v>
      </c>
      <c r="AX20">
        <f t="shared" si="18"/>
        <v>2.3403225806451617</v>
      </c>
    </row>
    <row r="21" spans="1:50" x14ac:dyDescent="0.45">
      <c r="A21">
        <v>1207092</v>
      </c>
      <c r="B21" t="str">
        <f>_xlfn.XLOOKUP(A21,monthly_work_hours!A:A,monthly_work_hours!B:B)</f>
        <v>이재식</v>
      </c>
      <c r="C21" t="str">
        <f>_xlfn.XLOOKUP(A21,monthly_work_hours!A:A,monthly_work_hours!E:E)</f>
        <v>SCM팀</v>
      </c>
      <c r="D21" t="str">
        <f>_xlfn.XLOOKUP(A21,monthly_work_hours!A:A,monthly_work_hours!F:F)</f>
        <v>책임</v>
      </c>
      <c r="E21">
        <f>SUMIFS(monthly_work_hours!$M:$M,monthly_work_hours!$A:$A,'FTE 계산'!$A21,monthly_work_hours!$H:$H,'FTE 계산'!E$2)</f>
        <v>200</v>
      </c>
      <c r="F21">
        <f>SUMIFS(monthly_work_hours!$M:$M,monthly_work_hours!$A:$A,'FTE 계산'!$A21,monthly_work_hours!$H:$H,'FTE 계산'!F$2)</f>
        <v>189.8</v>
      </c>
      <c r="G21">
        <f>SUMIFS(monthly_work_hours!$M:$M,monthly_work_hours!$A:$A,'FTE 계산'!$A21,monthly_work_hours!$H:$H,'FTE 계산'!G$2)</f>
        <v>150.5</v>
      </c>
      <c r="H21">
        <f>(SUMIFS(monthly_work_hours!$I:$I,monthly_work_hours!$A:$A,'FTE 계산'!$A21,monthly_work_hours!$H:$H,'FTE 계산'!H$2)) - (SUMIFS(monthly_work_hours!$L:$L,monthly_work_hours!$A:$A,'FTE 계산'!$A21,monthly_work_hours!$H:$H,'FTE 계산'!H$2))</f>
        <v>18</v>
      </c>
      <c r="I21">
        <f>(SUMIFS(monthly_work_hours!$I:$I,monthly_work_hours!$A:$A,'FTE 계산'!$A21,monthly_work_hours!$H:$H,'FTE 계산'!I$2)) - (SUMIFS(monthly_work_hours!$L:$L,monthly_work_hours!$A:$A,'FTE 계산'!$A21,monthly_work_hours!$H:$H,'FTE 계산'!I$2))</f>
        <v>18</v>
      </c>
      <c r="J21">
        <f>(SUMIFS(monthly_work_hours!$I:$I,monthly_work_hours!$A:$A,'FTE 계산'!$A21,monthly_work_hours!$H:$H,'FTE 계산'!J$2)) - (SUMIFS(monthly_work_hours!$L:$L,monthly_work_hours!$A:$A,'FTE 계산'!$A21,monthly_work_hours!$H:$H,'FTE 계산'!J$2))</f>
        <v>15</v>
      </c>
      <c r="N21" t="s">
        <v>835</v>
      </c>
      <c r="O21">
        <f>SUMIFS($E$3:$E$253,$C$3:$C$253,$N21)</f>
        <v>837.6</v>
      </c>
      <c r="P21">
        <f>SUMIFS($E$3:$E$253,$C$3:$C$253,$N21,$D$3:$D$253,P$2)</f>
        <v>9.3000000000000007</v>
      </c>
      <c r="Q21">
        <f>SUMIFS($E$3:$E$253,$C$3:$C$253,$N21,$D$3:$D$253,Q$2)</f>
        <v>676.4</v>
      </c>
      <c r="R21">
        <f>SUMIFS($E$3:$E$253,$C$3:$C$253,$N21,$D$3:$D$253,R$2)</f>
        <v>151.9</v>
      </c>
      <c r="S21">
        <f>AVERAGEIFS($H$3:$H$253,$C$3:$C$253,$N21)</f>
        <v>14.142857142857142</v>
      </c>
      <c r="T21">
        <f>AVERAGEIFS($H$3:$H$253,$C$3:$C$253,$N21,$D$3:$D$253,P$2)</f>
        <v>3</v>
      </c>
      <c r="U21">
        <f>AVERAGEIFS($H$3:$H$253,$C$3:$C$253,$N21,$D$3:$D$253,Q$2)</f>
        <v>15.8</v>
      </c>
      <c r="V21">
        <f>AVERAGEIFS($H$3:$H$253,$C$3:$C$253,$N21,$D$3:$D$253,R$2)</f>
        <v>17</v>
      </c>
      <c r="W21">
        <f t="shared" si="7"/>
        <v>7.4030303030303033</v>
      </c>
      <c r="X21">
        <f t="shared" si="8"/>
        <v>0.38750000000000001</v>
      </c>
      <c r="Y21">
        <f t="shared" si="9"/>
        <v>5.3512658227848098</v>
      </c>
      <c r="Z21">
        <f t="shared" si="10"/>
        <v>1.1169117647058824</v>
      </c>
      <c r="AA21">
        <f>SUMIFS($F$3:$F$253,$C$3:$C$253,$N21)</f>
        <v>926.9</v>
      </c>
      <c r="AB21">
        <f>SUMIFS($F$3:$F$253,$C$3:$C$253,$N21,$D$3:$D$253,P$2)</f>
        <v>50.6</v>
      </c>
      <c r="AC21">
        <f>SUMIFS($F$3:$F$253,$C$3:$C$253,$N21,$D$3:$D$253,Q$2)</f>
        <v>712.50000000000011</v>
      </c>
      <c r="AD21">
        <f>SUMIFS($F$3:$F$253,$C$3:$C$253,$N21,$D$3:$D$253,R$2)</f>
        <v>163.80000000000001</v>
      </c>
      <c r="AE21">
        <f>AVERAGEIFS($I$3:$I$253,$C$3:$C$253,$N21)</f>
        <v>15.571428571428571</v>
      </c>
      <c r="AF21">
        <f>AVERAGEIFS($I$3:$I$253,$C$3:$C$253,$N21,$D$3:$D$253,P$2)</f>
        <v>8</v>
      </c>
      <c r="AG21">
        <f>AVERAGEIFS($I$3:$I$253,$C$3:$C$253,$N21,$D$3:$D$253,Q$2)</f>
        <v>16.600000000000001</v>
      </c>
      <c r="AH21">
        <f>AVERAGEIFS($I$3:$I$253,$C$3:$C$253,$N21,$D$3:$D$253,R$2)</f>
        <v>18</v>
      </c>
      <c r="AI21">
        <f t="shared" si="11"/>
        <v>7.4407110091743123</v>
      </c>
      <c r="AJ21">
        <f t="shared" si="12"/>
        <v>0.79062500000000002</v>
      </c>
      <c r="AK21">
        <f t="shared" si="13"/>
        <v>5.365210843373494</v>
      </c>
      <c r="AL21">
        <f t="shared" si="14"/>
        <v>1.1375000000000002</v>
      </c>
      <c r="AM21">
        <f>SUMIFS($G$3:$G$253,$C$3:$C$253,$N21)</f>
        <v>735.8</v>
      </c>
      <c r="AN21">
        <f>SUMIFS($G$3:$G$253,$C$3:$C$253,$N21,$D$3:$D$253,P$2)</f>
        <v>89.2</v>
      </c>
      <c r="AO21">
        <f>SUMIFS($G$3:$G$253,$C$3:$C$253,$N21,$D$3:$D$253,Q$2)</f>
        <v>508.20000000000005</v>
      </c>
      <c r="AP21">
        <f>SUMIFS($G$3:$G$253,$C$3:$C$253,$N21,$D$3:$D$253,R$2)</f>
        <v>138.4</v>
      </c>
      <c r="AQ21">
        <f>AVERAGEIFS($J$3:$J$253,$C$3:$C$253,$N21)</f>
        <v>13.285714285714286</v>
      </c>
      <c r="AR21">
        <f>AVERAGEIFS($J$3:$J$253,$C$3:$C$253,$N21,$D$3:$D$253,P$2)</f>
        <v>11</v>
      </c>
      <c r="AS21">
        <f>AVERAGEIFS($J$3:$J$253,$C$3:$C$253,$N21,$D$3:$D$253,Q$2)</f>
        <v>13.2</v>
      </c>
      <c r="AT21">
        <f>AVERAGEIFS($J$3:$J$253,$C$3:$C$253,$N21,$D$3:$D$253,R$2)</f>
        <v>16</v>
      </c>
      <c r="AU21">
        <f t="shared" si="15"/>
        <v>6.9228494623655905</v>
      </c>
      <c r="AV21">
        <f t="shared" si="16"/>
        <v>1.0136363636363637</v>
      </c>
      <c r="AW21">
        <f t="shared" si="17"/>
        <v>4.8125000000000009</v>
      </c>
      <c r="AX21">
        <f t="shared" si="18"/>
        <v>1.08125</v>
      </c>
    </row>
    <row r="22" spans="1:50" x14ac:dyDescent="0.45">
      <c r="A22">
        <v>1208016</v>
      </c>
      <c r="B22" t="str">
        <f>_xlfn.XLOOKUP(A22,monthly_work_hours!A:A,monthly_work_hours!B:B)</f>
        <v>황권식</v>
      </c>
      <c r="C22" t="str">
        <f>_xlfn.XLOOKUP(A22,monthly_work_hours!A:A,monthly_work_hours!E:E)</f>
        <v>FL설계팀</v>
      </c>
      <c r="D22" t="str">
        <f>_xlfn.XLOOKUP(A22,monthly_work_hours!A:A,monthly_work_hours!F:F)</f>
        <v>책임</v>
      </c>
      <c r="E22">
        <f>SUMIFS(monthly_work_hours!$M:$M,monthly_work_hours!$A:$A,'FTE 계산'!$A22,monthly_work_hours!$H:$H,'FTE 계산'!E$2)</f>
        <v>0</v>
      </c>
      <c r="F22">
        <f>SUMIFS(monthly_work_hours!$M:$M,monthly_work_hours!$A:$A,'FTE 계산'!$A22,monthly_work_hours!$H:$H,'FTE 계산'!F$2)</f>
        <v>146.6</v>
      </c>
      <c r="G22">
        <f>SUMIFS(monthly_work_hours!$M:$M,monthly_work_hours!$A:$A,'FTE 계산'!$A22,monthly_work_hours!$H:$H,'FTE 계산'!G$2)</f>
        <v>140.6</v>
      </c>
      <c r="H22">
        <f>(SUMIFS(monthly_work_hours!$I:$I,monthly_work_hours!$A:$A,'FTE 계산'!$A22,monthly_work_hours!$H:$H,'FTE 계산'!H$2)) - (SUMIFS(monthly_work_hours!$L:$L,monthly_work_hours!$A:$A,'FTE 계산'!$A22,monthly_work_hours!$H:$H,'FTE 계산'!H$2))</f>
        <v>0</v>
      </c>
      <c r="I22">
        <f>(SUMIFS(monthly_work_hours!$I:$I,monthly_work_hours!$A:$A,'FTE 계산'!$A22,monthly_work_hours!$H:$H,'FTE 계산'!I$2)) - (SUMIFS(monthly_work_hours!$L:$L,monthly_work_hours!$A:$A,'FTE 계산'!$A22,monthly_work_hours!$H:$H,'FTE 계산'!I$2))</f>
        <v>16</v>
      </c>
      <c r="J22">
        <f>(SUMIFS(monthly_work_hours!$I:$I,monthly_work_hours!$A:$A,'FTE 계산'!$A22,monthly_work_hours!$H:$H,'FTE 계산'!J$2)) - (SUMIFS(monthly_work_hours!$L:$L,monthly_work_hours!$A:$A,'FTE 계산'!$A22,monthly_work_hours!$H:$H,'FTE 계산'!J$2))</f>
        <v>14</v>
      </c>
      <c r="N22" t="s">
        <v>1013</v>
      </c>
      <c r="O22">
        <f>SUMIFS($E$3:$E$253,$C$3:$C$253,$N22)</f>
        <v>722.99999999999989</v>
      </c>
      <c r="P22">
        <f>SUMIFS($E$3:$E$253,$C$3:$C$253,$N22,$D$3:$D$253,P$2)</f>
        <v>183.8</v>
      </c>
      <c r="Q22">
        <f>SUMIFS($E$3:$E$253,$C$3:$C$253,$N22,$D$3:$D$253,Q$2)</f>
        <v>351.5</v>
      </c>
      <c r="R22">
        <f>SUMIFS($E$3:$E$253,$C$3:$C$253,$N22,$D$3:$D$253,R$2)</f>
        <v>187.7</v>
      </c>
      <c r="S22">
        <f>AVERAGEIFS($H$3:$H$253,$C$3:$C$253,$N22)</f>
        <v>19</v>
      </c>
      <c r="T22">
        <f>AVERAGEIFS($H$3:$H$253,$C$3:$C$253,$N22,$D$3:$D$253,P$2)</f>
        <v>19</v>
      </c>
      <c r="U22">
        <f>AVERAGEIFS($H$3:$H$253,$C$3:$C$253,$N22,$D$3:$D$253,Q$2)</f>
        <v>19</v>
      </c>
      <c r="V22">
        <f>AVERAGEIFS($H$3:$H$253,$C$3:$C$253,$N22,$D$3:$D$253,R$2)</f>
        <v>19</v>
      </c>
      <c r="W22">
        <f t="shared" si="7"/>
        <v>4.7565789473684204</v>
      </c>
      <c r="X22">
        <f t="shared" si="8"/>
        <v>1.2092105263157895</v>
      </c>
      <c r="Y22">
        <f t="shared" si="9"/>
        <v>2.3125</v>
      </c>
      <c r="Z22">
        <f t="shared" si="10"/>
        <v>1.2348684210526315</v>
      </c>
      <c r="AA22">
        <f>SUMIFS($F$3:$F$253,$C$3:$C$253,$N22)</f>
        <v>719.7</v>
      </c>
      <c r="AB22">
        <f>SUMIFS($F$3:$F$253,$C$3:$C$253,$N22,$D$3:$D$253,P$2)</f>
        <v>143.80000000000001</v>
      </c>
      <c r="AC22">
        <f>SUMIFS($F$3:$F$253,$C$3:$C$253,$N22,$D$3:$D$253,Q$2)</f>
        <v>407.9</v>
      </c>
      <c r="AD22">
        <f>SUMIFS($F$3:$F$253,$C$3:$C$253,$N22,$D$3:$D$253,R$2)</f>
        <v>168</v>
      </c>
      <c r="AE22">
        <f>AVERAGEIFS($I$3:$I$253,$C$3:$C$253,$N22)</f>
        <v>17</v>
      </c>
      <c r="AF22">
        <f>AVERAGEIFS($I$3:$I$253,$C$3:$C$253,$N22,$D$3:$D$253,P$2)</f>
        <v>14</v>
      </c>
      <c r="AG22">
        <f>AVERAGEIFS($I$3:$I$253,$C$3:$C$253,$N22,$D$3:$D$253,Q$2)</f>
        <v>18.5</v>
      </c>
      <c r="AH22">
        <f>AVERAGEIFS($I$3:$I$253,$C$3:$C$253,$N22,$D$3:$D$253,R$2)</f>
        <v>17</v>
      </c>
      <c r="AI22">
        <f t="shared" si="11"/>
        <v>5.2919117647058824</v>
      </c>
      <c r="AJ22">
        <f t="shared" si="12"/>
        <v>1.2839285714285715</v>
      </c>
      <c r="AK22">
        <f t="shared" si="13"/>
        <v>2.756081081081081</v>
      </c>
      <c r="AL22">
        <f t="shared" si="14"/>
        <v>1.2352941176470589</v>
      </c>
      <c r="AM22">
        <f>SUMIFS($G$3:$G$253,$C$3:$C$253,$N22)</f>
        <v>592.40000000000009</v>
      </c>
      <c r="AN22">
        <f>SUMIFS($G$3:$G$253,$C$3:$C$253,$N22,$D$3:$D$253,P$2)</f>
        <v>156.30000000000001</v>
      </c>
      <c r="AO22">
        <f>SUMIFS($G$3:$G$253,$C$3:$C$253,$N22,$D$3:$D$253,Q$2)</f>
        <v>288.20000000000005</v>
      </c>
      <c r="AP22">
        <f>SUMIFS($G$3:$G$253,$C$3:$C$253,$N22,$D$3:$D$253,R$2)</f>
        <v>147.9</v>
      </c>
      <c r="AQ22">
        <f>AVERAGEIFS($J$3:$J$253,$C$3:$C$253,$N22)</f>
        <v>15.75</v>
      </c>
      <c r="AR22">
        <f>AVERAGEIFS($J$3:$J$253,$C$3:$C$253,$N22,$D$3:$D$253,P$2)</f>
        <v>16</v>
      </c>
      <c r="AS22">
        <f>AVERAGEIFS($J$3:$J$253,$C$3:$C$253,$N22,$D$3:$D$253,Q$2)</f>
        <v>15.5</v>
      </c>
      <c r="AT22">
        <f>AVERAGEIFS($J$3:$J$253,$C$3:$C$253,$N22,$D$3:$D$253,R$2)</f>
        <v>16</v>
      </c>
      <c r="AU22">
        <f t="shared" si="15"/>
        <v>4.7015873015873026</v>
      </c>
      <c r="AV22">
        <f t="shared" si="16"/>
        <v>1.2210937500000001</v>
      </c>
      <c r="AW22">
        <f t="shared" si="17"/>
        <v>2.3241935483870972</v>
      </c>
      <c r="AX22">
        <f t="shared" si="18"/>
        <v>1.15546875</v>
      </c>
    </row>
    <row r="23" spans="1:50" x14ac:dyDescent="0.45">
      <c r="A23">
        <v>1208044</v>
      </c>
      <c r="B23" t="str">
        <f>_xlfn.XLOOKUP(A23,monthly_work_hours!A:A,monthly_work_hours!B:B)</f>
        <v>박종철</v>
      </c>
      <c r="C23" t="str">
        <f>_xlfn.XLOOKUP(A23,monthly_work_hours!A:A,monthly_work_hours!E:E)</f>
        <v>품질경영팀</v>
      </c>
      <c r="D23" t="str">
        <f>_xlfn.XLOOKUP(A23,monthly_work_hours!A:A,monthly_work_hours!F:F)</f>
        <v>책임</v>
      </c>
      <c r="E23">
        <f>SUMIFS(monthly_work_hours!$M:$M,monthly_work_hours!$A:$A,'FTE 계산'!$A23,monthly_work_hours!$H:$H,'FTE 계산'!E$2)</f>
        <v>171.2</v>
      </c>
      <c r="F23">
        <f>SUMIFS(monthly_work_hours!$M:$M,monthly_work_hours!$A:$A,'FTE 계산'!$A23,monthly_work_hours!$H:$H,'FTE 계산'!F$2)</f>
        <v>172.5</v>
      </c>
      <c r="G23">
        <f>SUMIFS(monthly_work_hours!$M:$M,monthly_work_hours!$A:$A,'FTE 계산'!$A23,monthly_work_hours!$H:$H,'FTE 계산'!G$2)</f>
        <v>131.19999999999999</v>
      </c>
      <c r="H23">
        <f>(SUMIFS(monthly_work_hours!$I:$I,monthly_work_hours!$A:$A,'FTE 계산'!$A23,monthly_work_hours!$H:$H,'FTE 계산'!H$2)) - (SUMIFS(monthly_work_hours!$L:$L,monthly_work_hours!$A:$A,'FTE 계산'!$A23,monthly_work_hours!$H:$H,'FTE 계산'!H$2))</f>
        <v>20</v>
      </c>
      <c r="I23">
        <f>(SUMIFS(monthly_work_hours!$I:$I,monthly_work_hours!$A:$A,'FTE 계산'!$A23,monthly_work_hours!$H:$H,'FTE 계산'!I$2)) - (SUMIFS(monthly_work_hours!$L:$L,monthly_work_hours!$A:$A,'FTE 계산'!$A23,monthly_work_hours!$H:$H,'FTE 계산'!I$2))</f>
        <v>19</v>
      </c>
      <c r="J23">
        <f>(SUMIFS(monthly_work_hours!$I:$I,monthly_work_hours!$A:$A,'FTE 계산'!$A23,monthly_work_hours!$H:$H,'FTE 계산'!J$2)) - (SUMIFS(monthly_work_hours!$L:$L,monthly_work_hours!$A:$A,'FTE 계산'!$A23,monthly_work_hours!$H:$H,'FTE 계산'!J$2))</f>
        <v>15</v>
      </c>
      <c r="N23" t="s">
        <v>1036</v>
      </c>
      <c r="O23">
        <f>SUMIFS($E$3:$E$253,$C$3:$C$253,$N23)</f>
        <v>701</v>
      </c>
      <c r="P23">
        <f>SUMIFS($E$3:$E$253,$C$3:$C$253,$N23,$D$3:$D$253,P$2)</f>
        <v>189.1</v>
      </c>
      <c r="Q23">
        <f>SUMIFS($E$3:$E$253,$C$3:$C$253,$N23,$D$3:$D$253,Q$2)</f>
        <v>169</v>
      </c>
      <c r="R23">
        <f>SUMIFS($E$3:$E$253,$C$3:$C$253,$N23,$D$3:$D$253,R$2)</f>
        <v>342.9</v>
      </c>
      <c r="S23">
        <f>AVERAGEIFS($H$3:$H$253,$C$3:$C$253,$N23)</f>
        <v>18.25</v>
      </c>
      <c r="T23">
        <f>AVERAGEIFS($H$3:$H$253,$C$3:$C$253,$N23,$D$3:$D$253,P$2)</f>
        <v>18</v>
      </c>
      <c r="U23">
        <f>AVERAGEIFS($H$3:$H$253,$C$3:$C$253,$N23,$D$3:$D$253,Q$2)</f>
        <v>18</v>
      </c>
      <c r="V23">
        <f>AVERAGEIFS($H$3:$H$253,$C$3:$C$253,$N23,$D$3:$D$253,R$2)</f>
        <v>18.5</v>
      </c>
      <c r="W23">
        <f t="shared" si="7"/>
        <v>4.8013698630136989</v>
      </c>
      <c r="X23">
        <f t="shared" si="8"/>
        <v>1.3131944444444443</v>
      </c>
      <c r="Y23">
        <f t="shared" si="9"/>
        <v>1.1736111111111112</v>
      </c>
      <c r="Z23">
        <f t="shared" si="10"/>
        <v>2.3168918918918919</v>
      </c>
      <c r="AA23">
        <f>SUMIFS($F$3:$F$253,$C$3:$C$253,$N23)</f>
        <v>692.5</v>
      </c>
      <c r="AB23">
        <f>SUMIFS($F$3:$F$253,$C$3:$C$253,$N23,$D$3:$D$253,P$2)</f>
        <v>177</v>
      </c>
      <c r="AC23">
        <f>SUMIFS($F$3:$F$253,$C$3:$C$253,$N23,$D$3:$D$253,Q$2)</f>
        <v>170.9</v>
      </c>
      <c r="AD23">
        <f>SUMIFS($F$3:$F$253,$C$3:$C$253,$N23,$D$3:$D$253,R$2)</f>
        <v>344.6</v>
      </c>
      <c r="AE23">
        <f>AVERAGEIFS($I$3:$I$253,$C$3:$C$253,$N23)</f>
        <v>18.5</v>
      </c>
      <c r="AF23">
        <f>AVERAGEIFS($I$3:$I$253,$C$3:$C$253,$N23,$D$3:$D$253,P$2)</f>
        <v>18</v>
      </c>
      <c r="AG23">
        <f>AVERAGEIFS($I$3:$I$253,$C$3:$C$253,$N23,$D$3:$D$253,Q$2)</f>
        <v>18</v>
      </c>
      <c r="AH23">
        <f>AVERAGEIFS($I$3:$I$253,$C$3:$C$253,$N23,$D$3:$D$253,R$2)</f>
        <v>19</v>
      </c>
      <c r="AI23">
        <f t="shared" si="11"/>
        <v>4.6790540540540544</v>
      </c>
      <c r="AJ23">
        <f t="shared" si="12"/>
        <v>1.2291666666666667</v>
      </c>
      <c r="AK23">
        <f t="shared" si="13"/>
        <v>1.1868055555555557</v>
      </c>
      <c r="AL23">
        <f t="shared" si="14"/>
        <v>2.267105263157895</v>
      </c>
      <c r="AM23">
        <f>SUMIFS($G$3:$G$253,$C$3:$C$253,$N23)</f>
        <v>655.8</v>
      </c>
      <c r="AN23">
        <f>SUMIFS($G$3:$G$253,$C$3:$C$253,$N23,$D$3:$D$253,P$2)</f>
        <v>145.19999999999999</v>
      </c>
      <c r="AO23">
        <f>SUMIFS($G$3:$G$253,$C$3:$C$253,$N23,$D$3:$D$253,Q$2)</f>
        <v>131.69999999999999</v>
      </c>
      <c r="AP23">
        <f>SUMIFS($G$3:$G$253,$C$3:$C$253,$N23,$D$3:$D$253,R$2)</f>
        <v>378.9</v>
      </c>
      <c r="AQ23">
        <f>AVERAGEIFS($J$3:$J$253,$C$3:$C$253,$N23)</f>
        <v>15.75</v>
      </c>
      <c r="AR23">
        <f>AVERAGEIFS($J$3:$J$253,$C$3:$C$253,$N23,$D$3:$D$253,P$2)</f>
        <v>16</v>
      </c>
      <c r="AS23">
        <f>AVERAGEIFS($J$3:$J$253,$C$3:$C$253,$N23,$D$3:$D$253,Q$2)</f>
        <v>16</v>
      </c>
      <c r="AT23">
        <f>AVERAGEIFS($J$3:$J$253,$C$3:$C$253,$N23,$D$3:$D$253,R$2)</f>
        <v>15.5</v>
      </c>
      <c r="AU23">
        <f t="shared" si="15"/>
        <v>5.204761904761904</v>
      </c>
      <c r="AV23">
        <f t="shared" si="16"/>
        <v>1.1343749999999999</v>
      </c>
      <c r="AW23">
        <f t="shared" si="17"/>
        <v>1.0289062499999999</v>
      </c>
      <c r="AX23">
        <f t="shared" si="18"/>
        <v>3.0556451612903226</v>
      </c>
    </row>
    <row r="24" spans="1:50" x14ac:dyDescent="0.45">
      <c r="A24">
        <v>1208052</v>
      </c>
      <c r="B24" t="str">
        <f>_xlfn.XLOOKUP(A24,monthly_work_hours!A:A,monthly_work_hours!B:B)</f>
        <v>양영주</v>
      </c>
      <c r="C24" t="str">
        <f>_xlfn.XLOOKUP(A24,monthly_work_hours!A:A,monthly_work_hours!E:E)</f>
        <v>B/H사업팀</v>
      </c>
      <c r="D24" t="str">
        <f>_xlfn.XLOOKUP(A24,monthly_work_hours!A:A,monthly_work_hours!F:F)</f>
        <v>책임</v>
      </c>
      <c r="E24">
        <f>SUMIFS(monthly_work_hours!$M:$M,monthly_work_hours!$A:$A,'FTE 계산'!$A24,monthly_work_hours!$H:$H,'FTE 계산'!E$2)</f>
        <v>134.6</v>
      </c>
      <c r="F24">
        <f>SUMIFS(monthly_work_hours!$M:$M,monthly_work_hours!$A:$A,'FTE 계산'!$A24,monthly_work_hours!$H:$H,'FTE 계산'!F$2)</f>
        <v>171.6</v>
      </c>
      <c r="G24">
        <f>SUMIFS(monthly_work_hours!$M:$M,monthly_work_hours!$A:$A,'FTE 계산'!$A24,monthly_work_hours!$H:$H,'FTE 계산'!G$2)</f>
        <v>146.80000000000001</v>
      </c>
      <c r="H24">
        <f>(SUMIFS(monthly_work_hours!$I:$I,monthly_work_hours!$A:$A,'FTE 계산'!$A24,monthly_work_hours!$H:$H,'FTE 계산'!H$2)) - (SUMIFS(monthly_work_hours!$L:$L,monthly_work_hours!$A:$A,'FTE 계산'!$A24,monthly_work_hours!$H:$H,'FTE 계산'!H$2))</f>
        <v>14</v>
      </c>
      <c r="I24">
        <f>(SUMIFS(monthly_work_hours!$I:$I,monthly_work_hours!$A:$A,'FTE 계산'!$A24,monthly_work_hours!$H:$H,'FTE 계산'!I$2)) - (SUMIFS(monthly_work_hours!$L:$L,monthly_work_hours!$A:$A,'FTE 계산'!$A24,monthly_work_hours!$H:$H,'FTE 계산'!I$2))</f>
        <v>19</v>
      </c>
      <c r="J24">
        <f>(SUMIFS(monthly_work_hours!$I:$I,monthly_work_hours!$A:$A,'FTE 계산'!$A24,monthly_work_hours!$H:$H,'FTE 계산'!J$2)) - (SUMIFS(monthly_work_hours!$L:$L,monthly_work_hours!$A:$A,'FTE 계산'!$A24,monthly_work_hours!$H:$H,'FTE 계산'!J$2))</f>
        <v>16</v>
      </c>
      <c r="N24" t="s">
        <v>739</v>
      </c>
      <c r="O24">
        <f>SUMIFS($E$3:$E$253,$C$3:$C$253,$N24)</f>
        <v>1452.6</v>
      </c>
      <c r="P24">
        <f>SUMIFS($E$3:$E$253,$C$3:$C$253,$N24,$D$3:$D$253,P$2)</f>
        <v>18.2</v>
      </c>
      <c r="Q24">
        <f>SUMIFS($E$3:$E$253,$C$3:$C$253,$N24,$D$3:$D$253,Q$2)</f>
        <v>1151.3</v>
      </c>
      <c r="R24">
        <f>SUMIFS($E$3:$E$253,$C$3:$C$253,$N24,$D$3:$D$253,R$2)</f>
        <v>283.10000000000002</v>
      </c>
      <c r="S24">
        <f>AVERAGEIFS($H$3:$H$253,$C$3:$C$253,$N24)</f>
        <v>9.3000000000000007</v>
      </c>
      <c r="T24">
        <f>AVERAGEIFS($H$3:$H$253,$C$3:$C$253,$N24,$D$3:$D$253,P$2)</f>
        <v>2</v>
      </c>
      <c r="U24">
        <f>AVERAGEIFS($H$3:$H$253,$C$3:$C$253,$N24,$D$3:$D$253,Q$2)</f>
        <v>8.5714285714285712</v>
      </c>
      <c r="V24">
        <f>AVERAGEIFS($H$3:$H$253,$C$3:$C$253,$N24,$D$3:$D$253,R$2)</f>
        <v>15.5</v>
      </c>
      <c r="W24">
        <f t="shared" si="7"/>
        <v>19.524193548387093</v>
      </c>
      <c r="X24">
        <f t="shared" si="8"/>
        <v>1.1375</v>
      </c>
      <c r="Y24">
        <f t="shared" si="9"/>
        <v>16.789791666666666</v>
      </c>
      <c r="Z24">
        <f t="shared" si="10"/>
        <v>2.2830645161290324</v>
      </c>
      <c r="AA24">
        <f>SUMIFS($F$3:$F$253,$C$3:$C$253,$N24)</f>
        <v>1031.9000000000001</v>
      </c>
      <c r="AB24">
        <f>SUMIFS($F$3:$F$253,$C$3:$C$253,$N24,$D$3:$D$253,P$2)</f>
        <v>67.900000000000006</v>
      </c>
      <c r="AC24">
        <f>SUMIFS($F$3:$F$253,$C$3:$C$253,$N24,$D$3:$D$253,Q$2)</f>
        <v>633.5</v>
      </c>
      <c r="AD24">
        <f>SUMIFS($F$3:$F$253,$C$3:$C$253,$N24,$D$3:$D$253,R$2)</f>
        <v>330.5</v>
      </c>
      <c r="AE24">
        <f>AVERAGEIFS($I$3:$I$253,$C$3:$C$253,$N24)</f>
        <v>10.1</v>
      </c>
      <c r="AF24">
        <f>AVERAGEIFS($I$3:$I$253,$C$3:$C$253,$N24,$D$3:$D$253,P$2)</f>
        <v>7</v>
      </c>
      <c r="AG24">
        <f>AVERAGEIFS($I$3:$I$253,$C$3:$C$253,$N24,$D$3:$D$253,Q$2)</f>
        <v>8.2857142857142865</v>
      </c>
      <c r="AH24">
        <f>AVERAGEIFS($I$3:$I$253,$C$3:$C$253,$N24,$D$3:$D$253,R$2)</f>
        <v>18</v>
      </c>
      <c r="AI24">
        <f t="shared" si="11"/>
        <v>12.771039603960398</v>
      </c>
      <c r="AJ24">
        <f t="shared" si="12"/>
        <v>1.2125000000000001</v>
      </c>
      <c r="AK24">
        <f t="shared" si="13"/>
        <v>9.557112068965516</v>
      </c>
      <c r="AL24">
        <f t="shared" si="14"/>
        <v>2.2951388888888888</v>
      </c>
      <c r="AM24">
        <f>SUMIFS($G$3:$G$253,$C$3:$C$253,$N24)</f>
        <v>616.6</v>
      </c>
      <c r="AN24">
        <f>SUMIFS($G$3:$G$253,$C$3:$C$253,$N24,$D$3:$D$253,P$2)</f>
        <v>43.6</v>
      </c>
      <c r="AO24">
        <f>SUMIFS($G$3:$G$253,$C$3:$C$253,$N24,$D$3:$D$253,Q$2)</f>
        <v>338.6</v>
      </c>
      <c r="AP24">
        <f>SUMIFS($G$3:$G$253,$C$3:$C$253,$N24,$D$3:$D$253,R$2)</f>
        <v>234.4</v>
      </c>
      <c r="AQ24">
        <f>AVERAGEIFS($J$3:$J$253,$C$3:$C$253,$N24)</f>
        <v>7</v>
      </c>
      <c r="AR24">
        <f>AVERAGEIFS($J$3:$J$253,$C$3:$C$253,$N24,$D$3:$D$253,P$2)</f>
        <v>5</v>
      </c>
      <c r="AS24">
        <f>AVERAGEIFS($J$3:$J$253,$C$3:$C$253,$N24,$D$3:$D$253,Q$2)</f>
        <v>5.2857142857142856</v>
      </c>
      <c r="AT24">
        <f>AVERAGEIFS($J$3:$J$253,$C$3:$C$253,$N24,$D$3:$D$253,R$2)</f>
        <v>14</v>
      </c>
      <c r="AU24">
        <f t="shared" si="15"/>
        <v>11.010714285714286</v>
      </c>
      <c r="AV24">
        <f t="shared" si="16"/>
        <v>1.0900000000000001</v>
      </c>
      <c r="AW24">
        <f t="shared" si="17"/>
        <v>8.0074324324324326</v>
      </c>
      <c r="AX24">
        <f t="shared" si="18"/>
        <v>2.092857142857143</v>
      </c>
    </row>
    <row r="25" spans="1:50" x14ac:dyDescent="0.45">
      <c r="A25">
        <v>1208073</v>
      </c>
      <c r="B25" t="str">
        <f>_xlfn.XLOOKUP(A25,monthly_work_hours!A:A,monthly_work_hours!B:B)</f>
        <v>장길수</v>
      </c>
      <c r="C25" t="str">
        <f>_xlfn.XLOOKUP(A25,monthly_work_hours!A:A,monthly_work_hours!E:E)</f>
        <v>관체사업팀</v>
      </c>
      <c r="D25" t="str">
        <f>_xlfn.XLOOKUP(A25,monthly_work_hours!A:A,monthly_work_hours!F:F)</f>
        <v>책임</v>
      </c>
      <c r="E25">
        <f>SUMIFS(monthly_work_hours!$M:$M,monthly_work_hours!$A:$A,'FTE 계산'!$A25,monthly_work_hours!$H:$H,'FTE 계산'!E$2)</f>
        <v>188</v>
      </c>
      <c r="F25">
        <f>SUMIFS(monthly_work_hours!$M:$M,monthly_work_hours!$A:$A,'FTE 계산'!$A25,monthly_work_hours!$H:$H,'FTE 계산'!F$2)</f>
        <v>174.4</v>
      </c>
      <c r="G25">
        <f>SUMIFS(monthly_work_hours!$M:$M,monthly_work_hours!$A:$A,'FTE 계산'!$A25,monthly_work_hours!$H:$H,'FTE 계산'!G$2)</f>
        <v>137.6</v>
      </c>
      <c r="H25">
        <f>(SUMIFS(monthly_work_hours!$I:$I,monthly_work_hours!$A:$A,'FTE 계산'!$A25,monthly_work_hours!$H:$H,'FTE 계산'!H$2)) - (SUMIFS(monthly_work_hours!$L:$L,monthly_work_hours!$A:$A,'FTE 계산'!$A25,monthly_work_hours!$H:$H,'FTE 계산'!H$2))</f>
        <v>18</v>
      </c>
      <c r="I25">
        <f>(SUMIFS(monthly_work_hours!$I:$I,monthly_work_hours!$A:$A,'FTE 계산'!$A25,monthly_work_hours!$H:$H,'FTE 계산'!I$2)) - (SUMIFS(monthly_work_hours!$L:$L,monthly_work_hours!$A:$A,'FTE 계산'!$A25,monthly_work_hours!$H:$H,'FTE 계산'!I$2))</f>
        <v>17</v>
      </c>
      <c r="J25">
        <f>(SUMIFS(monthly_work_hours!$I:$I,monthly_work_hours!$A:$A,'FTE 계산'!$A25,monthly_work_hours!$H:$H,'FTE 계산'!J$2)) - (SUMIFS(monthly_work_hours!$L:$L,monthly_work_hours!$A:$A,'FTE 계산'!$A25,monthly_work_hours!$H:$H,'FTE 계산'!J$2))</f>
        <v>15</v>
      </c>
      <c r="N25" t="s">
        <v>1001</v>
      </c>
      <c r="O25">
        <f>SUMIFS($E$3:$E$253,$C$3:$C$253,$N25)</f>
        <v>1165.1999999999998</v>
      </c>
      <c r="P25">
        <f>SUMIFS($E$3:$E$253,$C$3:$C$253,$N25,$D$3:$D$253,P$2)</f>
        <v>420.20000000000005</v>
      </c>
      <c r="Q25">
        <f>SUMIFS($E$3:$E$253,$C$3:$C$253,$N25,$D$3:$D$253,Q$2)</f>
        <v>369.4</v>
      </c>
      <c r="R25">
        <f>SUMIFS($E$3:$E$253,$C$3:$C$253,$N25,$D$3:$D$253,R$2)</f>
        <v>375.6</v>
      </c>
      <c r="S25">
        <f>AVERAGEIFS($H$3:$H$253,$C$3:$C$253,$N25)</f>
        <v>18.833333333333332</v>
      </c>
      <c r="T25">
        <f>AVERAGEIFS($H$3:$H$253,$C$3:$C$253,$N25,$D$3:$D$253,P$2)</f>
        <v>19</v>
      </c>
      <c r="U25">
        <f>AVERAGEIFS($H$3:$H$253,$C$3:$C$253,$N25,$D$3:$D$253,Q$2)</f>
        <v>18.5</v>
      </c>
      <c r="V25">
        <f>AVERAGEIFS($H$3:$H$253,$C$3:$C$253,$N25,$D$3:$D$253,R$2)</f>
        <v>19</v>
      </c>
      <c r="W25">
        <f t="shared" si="7"/>
        <v>7.7336283185840697</v>
      </c>
      <c r="X25">
        <f t="shared" si="8"/>
        <v>2.7644736842105266</v>
      </c>
      <c r="Y25">
        <f t="shared" si="9"/>
        <v>2.4959459459459459</v>
      </c>
      <c r="Z25">
        <f t="shared" si="10"/>
        <v>2.4710526315789476</v>
      </c>
      <c r="AA25">
        <f>SUMIFS($F$3:$F$253,$C$3:$C$253,$N25)</f>
        <v>1350.9999999999998</v>
      </c>
      <c r="AB25">
        <f>SUMIFS($F$3:$F$253,$C$3:$C$253,$N25,$D$3:$D$253,P$2)</f>
        <v>457.5</v>
      </c>
      <c r="AC25">
        <f>SUMIFS($F$3:$F$253,$C$3:$C$253,$N25,$D$3:$D$253,Q$2)</f>
        <v>468.4</v>
      </c>
      <c r="AD25">
        <f>SUMIFS($F$3:$F$253,$C$3:$C$253,$N25,$D$3:$D$253,R$2)</f>
        <v>425.1</v>
      </c>
      <c r="AE25">
        <f>AVERAGEIFS($I$3:$I$253,$C$3:$C$253,$N25)</f>
        <v>22</v>
      </c>
      <c r="AF25">
        <f>AVERAGEIFS($I$3:$I$253,$C$3:$C$253,$N25,$D$3:$D$253,P$2)</f>
        <v>23</v>
      </c>
      <c r="AG25">
        <f>AVERAGEIFS($I$3:$I$253,$C$3:$C$253,$N25,$D$3:$D$253,Q$2)</f>
        <v>22.5</v>
      </c>
      <c r="AH25">
        <f>AVERAGEIFS($I$3:$I$253,$C$3:$C$253,$N25,$D$3:$D$253,R$2)</f>
        <v>20.5</v>
      </c>
      <c r="AI25">
        <f t="shared" si="11"/>
        <v>7.6761363636363624</v>
      </c>
      <c r="AJ25">
        <f t="shared" si="12"/>
        <v>2.4864130434782608</v>
      </c>
      <c r="AK25">
        <f t="shared" si="13"/>
        <v>2.6022222222222222</v>
      </c>
      <c r="AL25">
        <f t="shared" si="14"/>
        <v>2.5920731707317075</v>
      </c>
      <c r="AM25">
        <f>SUMIFS($G$3:$G$253,$C$3:$C$253,$N25)</f>
        <v>899</v>
      </c>
      <c r="AN25">
        <f>SUMIFS($G$3:$G$253,$C$3:$C$253,$N25,$D$3:$D$253,P$2)</f>
        <v>337.79999999999995</v>
      </c>
      <c r="AO25">
        <f>SUMIFS($G$3:$G$253,$C$3:$C$253,$N25,$D$3:$D$253,Q$2)</f>
        <v>275.3</v>
      </c>
      <c r="AP25">
        <f>SUMIFS($G$3:$G$253,$C$3:$C$253,$N25,$D$3:$D$253,R$2)</f>
        <v>285.89999999999998</v>
      </c>
      <c r="AQ25">
        <f>AVERAGEIFS($J$3:$J$253,$C$3:$C$253,$N25)</f>
        <v>16.166666666666668</v>
      </c>
      <c r="AR25">
        <f>AVERAGEIFS($J$3:$J$253,$C$3:$C$253,$N25,$D$3:$D$253,P$2)</f>
        <v>17</v>
      </c>
      <c r="AS25">
        <f>AVERAGEIFS($J$3:$J$253,$C$3:$C$253,$N25,$D$3:$D$253,Q$2)</f>
        <v>15.5</v>
      </c>
      <c r="AT25">
        <f>AVERAGEIFS($J$3:$J$253,$C$3:$C$253,$N25,$D$3:$D$253,R$2)</f>
        <v>16</v>
      </c>
      <c r="AU25">
        <f t="shared" si="15"/>
        <v>6.9510309278350508</v>
      </c>
      <c r="AV25">
        <f t="shared" si="16"/>
        <v>2.4838235294117643</v>
      </c>
      <c r="AW25">
        <f t="shared" si="17"/>
        <v>2.2201612903225807</v>
      </c>
      <c r="AX25">
        <f t="shared" si="18"/>
        <v>2.2335937499999998</v>
      </c>
    </row>
    <row r="26" spans="1:50" x14ac:dyDescent="0.45">
      <c r="A26">
        <v>1208077</v>
      </c>
      <c r="B26" t="str">
        <f>_xlfn.XLOOKUP(A26,monthly_work_hours!A:A,monthly_work_hours!B:B)</f>
        <v>이동구</v>
      </c>
      <c r="C26" t="str">
        <f>_xlfn.XLOOKUP(A26,monthly_work_hours!A:A,monthly_work_hours!E:E)</f>
        <v>열관리사업팀</v>
      </c>
      <c r="D26" t="str">
        <f>_xlfn.XLOOKUP(A26,monthly_work_hours!A:A,monthly_work_hours!F:F)</f>
        <v>책임</v>
      </c>
      <c r="E26">
        <f>SUMIFS(monthly_work_hours!$M:$M,monthly_work_hours!$A:$A,'FTE 계산'!$A26,monthly_work_hours!$H:$H,'FTE 계산'!E$2)</f>
        <v>148.1</v>
      </c>
      <c r="F26">
        <f>SUMIFS(monthly_work_hours!$M:$M,monthly_work_hours!$A:$A,'FTE 계산'!$A26,monthly_work_hours!$H:$H,'FTE 계산'!F$2)</f>
        <v>199.6</v>
      </c>
      <c r="G26">
        <f>SUMIFS(monthly_work_hours!$M:$M,monthly_work_hours!$A:$A,'FTE 계산'!$A26,monthly_work_hours!$H:$H,'FTE 계산'!G$2)</f>
        <v>134</v>
      </c>
      <c r="H26">
        <f>(SUMIFS(monthly_work_hours!$I:$I,monthly_work_hours!$A:$A,'FTE 계산'!$A26,monthly_work_hours!$H:$H,'FTE 계산'!H$2)) - (SUMIFS(monthly_work_hours!$L:$L,monthly_work_hours!$A:$A,'FTE 계산'!$A26,monthly_work_hours!$H:$H,'FTE 계산'!H$2))</f>
        <v>15</v>
      </c>
      <c r="I26">
        <f>(SUMIFS(monthly_work_hours!$I:$I,monthly_work_hours!$A:$A,'FTE 계산'!$A26,monthly_work_hours!$H:$H,'FTE 계산'!I$2)) - (SUMIFS(monthly_work_hours!$L:$L,monthly_work_hours!$A:$A,'FTE 계산'!$A26,monthly_work_hours!$H:$H,'FTE 계산'!I$2))</f>
        <v>18</v>
      </c>
      <c r="J26">
        <f>(SUMIFS(monthly_work_hours!$I:$I,monthly_work_hours!$A:$A,'FTE 계산'!$A26,monthly_work_hours!$H:$H,'FTE 계산'!J$2)) - (SUMIFS(monthly_work_hours!$L:$L,monthly_work_hours!$A:$A,'FTE 계산'!$A26,monthly_work_hours!$H:$H,'FTE 계산'!J$2))</f>
        <v>16</v>
      </c>
      <c r="N26" t="s">
        <v>1010</v>
      </c>
      <c r="O26">
        <f>SUMIFS($E$3:$E$253,$C$3:$C$253,$N26)</f>
        <v>1894.1999999999998</v>
      </c>
      <c r="P26">
        <f>SUMIFS($E$3:$E$253,$C$3:$C$253,$N26,$D$3:$D$253,P$2)</f>
        <v>361</v>
      </c>
      <c r="Q26">
        <f>SUMIFS($E$3:$E$253,$C$3:$C$253,$N26,$D$3:$D$253,Q$2)</f>
        <v>881.59999999999991</v>
      </c>
      <c r="R26">
        <f>SUMIFS($E$3:$E$253,$C$3:$C$253,$N26,$D$3:$D$253,R$2)</f>
        <v>651.6</v>
      </c>
      <c r="S26">
        <f>AVERAGEIFS($H$3:$H$253,$C$3:$C$253,$N26)</f>
        <v>18.2</v>
      </c>
      <c r="T26">
        <f>AVERAGEIFS($H$3:$H$253,$C$3:$C$253,$N26,$D$3:$D$253,P$2)</f>
        <v>19</v>
      </c>
      <c r="U26">
        <f>AVERAGEIFS($H$3:$H$253,$C$3:$C$253,$N26,$D$3:$D$253,Q$2)</f>
        <v>18</v>
      </c>
      <c r="V26">
        <f>AVERAGEIFS($H$3:$H$253,$C$3:$C$253,$N26,$D$3:$D$253,R$2)</f>
        <v>18</v>
      </c>
      <c r="W26">
        <f t="shared" si="7"/>
        <v>13.009615384615383</v>
      </c>
      <c r="X26">
        <f t="shared" si="8"/>
        <v>2.375</v>
      </c>
      <c r="Y26">
        <f t="shared" si="9"/>
        <v>6.1222222222222218</v>
      </c>
      <c r="Z26">
        <f t="shared" si="10"/>
        <v>4.5250000000000004</v>
      </c>
      <c r="AA26">
        <f>SUMIFS($F$3:$F$253,$C$3:$C$253,$N26)</f>
        <v>1946.1000000000001</v>
      </c>
      <c r="AB26">
        <f>SUMIFS($F$3:$F$253,$C$3:$C$253,$N26,$D$3:$D$253,P$2)</f>
        <v>352.6</v>
      </c>
      <c r="AC26">
        <f>SUMIFS($F$3:$F$253,$C$3:$C$253,$N26,$D$3:$D$253,Q$2)</f>
        <v>922.90000000000009</v>
      </c>
      <c r="AD26">
        <f>SUMIFS($F$3:$F$253,$C$3:$C$253,$N26,$D$3:$D$253,R$2)</f>
        <v>670.59999999999991</v>
      </c>
      <c r="AE26">
        <f>AVERAGEIFS($I$3:$I$253,$C$3:$C$253,$N26)</f>
        <v>19.3</v>
      </c>
      <c r="AF26">
        <f>AVERAGEIFS($I$3:$I$253,$C$3:$C$253,$N26,$D$3:$D$253,P$2)</f>
        <v>19.5</v>
      </c>
      <c r="AG26">
        <f>AVERAGEIFS($I$3:$I$253,$C$3:$C$253,$N26,$D$3:$D$253,Q$2)</f>
        <v>18.600000000000001</v>
      </c>
      <c r="AH26">
        <f>AVERAGEIFS($I$3:$I$253,$C$3:$C$253,$N26,$D$3:$D$253,R$2)</f>
        <v>20.333333333333332</v>
      </c>
      <c r="AI26">
        <f t="shared" si="11"/>
        <v>12.604274611398964</v>
      </c>
      <c r="AJ26">
        <f t="shared" si="12"/>
        <v>2.2602564102564102</v>
      </c>
      <c r="AK26">
        <f t="shared" si="13"/>
        <v>6.202284946236559</v>
      </c>
      <c r="AL26">
        <f t="shared" si="14"/>
        <v>4.122540983606557</v>
      </c>
      <c r="AM26">
        <f>SUMIFS($G$3:$G$253,$C$3:$C$253,$N26)</f>
        <v>1431.6000000000001</v>
      </c>
      <c r="AN26">
        <f>SUMIFS($G$3:$G$253,$C$3:$C$253,$N26,$D$3:$D$253,P$2)</f>
        <v>307.89999999999998</v>
      </c>
      <c r="AO26">
        <f>SUMIFS($G$3:$G$253,$C$3:$C$253,$N26,$D$3:$D$253,Q$2)</f>
        <v>701.7</v>
      </c>
      <c r="AP26">
        <f>SUMIFS($G$3:$G$253,$C$3:$C$253,$N26,$D$3:$D$253,R$2)</f>
        <v>422</v>
      </c>
      <c r="AQ26">
        <f>AVERAGEIFS($J$3:$J$253,$C$3:$C$253,$N26)</f>
        <v>15.2</v>
      </c>
      <c r="AR26">
        <f>AVERAGEIFS($J$3:$J$253,$C$3:$C$253,$N26,$D$3:$D$253,P$2)</f>
        <v>16.5</v>
      </c>
      <c r="AS26">
        <f>AVERAGEIFS($J$3:$J$253,$C$3:$C$253,$N26,$D$3:$D$253,Q$2)</f>
        <v>15.4</v>
      </c>
      <c r="AT26">
        <f>AVERAGEIFS($J$3:$J$253,$C$3:$C$253,$N26,$D$3:$D$253,R$2)</f>
        <v>14</v>
      </c>
      <c r="AU26">
        <f t="shared" si="15"/>
        <v>11.773026315789476</v>
      </c>
      <c r="AV26">
        <f t="shared" si="16"/>
        <v>2.3325757575757575</v>
      </c>
      <c r="AW26">
        <f t="shared" si="17"/>
        <v>5.695616883116883</v>
      </c>
      <c r="AX26">
        <f t="shared" si="18"/>
        <v>3.7678571428571428</v>
      </c>
    </row>
    <row r="27" spans="1:50" x14ac:dyDescent="0.45">
      <c r="A27">
        <v>1209035</v>
      </c>
      <c r="B27" t="str">
        <f>_xlfn.XLOOKUP(A27,monthly_work_hours!A:A,monthly_work_hours!B:B)</f>
        <v>김석수</v>
      </c>
      <c r="C27" t="e">
        <f>_xlfn.XLOOKUP(A27,monthly_work_hours!A:A,monthly_work_hours!E:E)</f>
        <v>#N/A</v>
      </c>
      <c r="D27" t="str">
        <f>_xlfn.XLOOKUP(A27,monthly_work_hours!A:A,monthly_work_hours!F:F)</f>
        <v>기능대리</v>
      </c>
      <c r="E27">
        <f>SUMIFS(monthly_work_hours!$M:$M,monthly_work_hours!$A:$A,'FTE 계산'!$A27,monthly_work_hours!$H:$H,'FTE 계산'!E$2)</f>
        <v>197.8</v>
      </c>
      <c r="F27">
        <f>SUMIFS(monthly_work_hours!$M:$M,monthly_work_hours!$A:$A,'FTE 계산'!$A27,monthly_work_hours!$H:$H,'FTE 계산'!F$2)</f>
        <v>250.4</v>
      </c>
      <c r="G27">
        <f>SUMIFS(monthly_work_hours!$M:$M,monthly_work_hours!$A:$A,'FTE 계산'!$A27,monthly_work_hours!$H:$H,'FTE 계산'!G$2)</f>
        <v>58.6</v>
      </c>
      <c r="H27">
        <f>(SUMIFS(monthly_work_hours!$I:$I,monthly_work_hours!$A:$A,'FTE 계산'!$A27,monthly_work_hours!$H:$H,'FTE 계산'!H$2)) - (SUMIFS(monthly_work_hours!$L:$L,monthly_work_hours!$A:$A,'FTE 계산'!$A27,monthly_work_hours!$H:$H,'FTE 계산'!H$2))</f>
        <v>18</v>
      </c>
      <c r="I27">
        <f>(SUMIFS(monthly_work_hours!$I:$I,monthly_work_hours!$A:$A,'FTE 계산'!$A27,monthly_work_hours!$H:$H,'FTE 계산'!I$2)) - (SUMIFS(monthly_work_hours!$L:$L,monthly_work_hours!$A:$A,'FTE 계산'!$A27,monthly_work_hours!$H:$H,'FTE 계산'!I$2))</f>
        <v>17</v>
      </c>
      <c r="J27">
        <f>(SUMIFS(monthly_work_hours!$I:$I,monthly_work_hours!$A:$A,'FTE 계산'!$A27,monthly_work_hours!$H:$H,'FTE 계산'!J$2)) - (SUMIFS(monthly_work_hours!$L:$L,monthly_work_hours!$A:$A,'FTE 계산'!$A27,monthly_work_hours!$H:$H,'FTE 계산'!J$2))</f>
        <v>13</v>
      </c>
      <c r="N27" t="s">
        <v>823</v>
      </c>
      <c r="O27">
        <f>SUMIFS($E$3:$E$253,$C$3:$C$253,$N27)</f>
        <v>993.4</v>
      </c>
      <c r="P27">
        <f>SUMIFS($E$3:$E$253,$C$3:$C$253,$N27,$D$3:$D$253,P$2)</f>
        <v>165.7</v>
      </c>
      <c r="Q27">
        <f>SUMIFS($E$3:$E$253,$C$3:$C$253,$N27,$D$3:$D$253,Q$2)</f>
        <v>665.3</v>
      </c>
      <c r="R27">
        <f>SUMIFS($E$3:$E$253,$C$3:$C$253,$N27,$D$3:$D$253,R$2)</f>
        <v>162.4</v>
      </c>
      <c r="S27">
        <f>AVERAGEIFS($H$3:$H$253,$C$3:$C$253,$N27)</f>
        <v>13.625</v>
      </c>
      <c r="T27">
        <f>AVERAGEIFS($H$3:$H$253,$C$3:$C$253,$N27,$D$3:$D$253,P$2)</f>
        <v>19</v>
      </c>
      <c r="U27">
        <f>AVERAGEIFS($H$3:$H$253,$C$3:$C$253,$N27,$D$3:$D$253,Q$2)</f>
        <v>12.166666666666666</v>
      </c>
      <c r="V27">
        <f>AVERAGEIFS($H$3:$H$253,$C$3:$C$253,$N27,$D$3:$D$253,R$2)</f>
        <v>17</v>
      </c>
      <c r="W27">
        <f t="shared" si="7"/>
        <v>9.1137614678899084</v>
      </c>
      <c r="X27">
        <f t="shared" si="8"/>
        <v>1.0901315789473685</v>
      </c>
      <c r="Y27">
        <f t="shared" si="9"/>
        <v>6.8352739726027396</v>
      </c>
      <c r="Z27">
        <f t="shared" si="10"/>
        <v>1.1941176470588235</v>
      </c>
      <c r="AA27">
        <f>SUMIFS($F$3:$F$253,$C$3:$C$253,$N27)</f>
        <v>1075.8999999999999</v>
      </c>
      <c r="AB27">
        <f>SUMIFS($F$3:$F$253,$C$3:$C$253,$N27,$D$3:$D$253,P$2)</f>
        <v>155.19999999999999</v>
      </c>
      <c r="AC27">
        <f>SUMIFS($F$3:$F$253,$C$3:$C$253,$N27,$D$3:$D$253,Q$2)</f>
        <v>781.5</v>
      </c>
      <c r="AD27">
        <f>SUMIFS($F$3:$F$253,$C$3:$C$253,$N27,$D$3:$D$253,R$2)</f>
        <v>139.19999999999999</v>
      </c>
      <c r="AE27">
        <f>AVERAGEIFS($I$3:$I$253,$C$3:$C$253,$N27)</f>
        <v>14.125</v>
      </c>
      <c r="AF27">
        <f>AVERAGEIFS($I$3:$I$253,$C$3:$C$253,$N27,$D$3:$D$253,P$2)</f>
        <v>18</v>
      </c>
      <c r="AG27">
        <f>AVERAGEIFS($I$3:$I$253,$C$3:$C$253,$N27,$D$3:$D$253,Q$2)</f>
        <v>13.333333333333334</v>
      </c>
      <c r="AH27">
        <f>AVERAGEIFS($I$3:$I$253,$C$3:$C$253,$N27,$D$3:$D$253,R$2)</f>
        <v>15</v>
      </c>
      <c r="AI27">
        <f t="shared" si="11"/>
        <v>9.5212389380530968</v>
      </c>
      <c r="AJ27">
        <f t="shared" si="12"/>
        <v>1.0777777777777777</v>
      </c>
      <c r="AK27">
        <f t="shared" si="13"/>
        <v>7.3265624999999996</v>
      </c>
      <c r="AL27">
        <f t="shared" si="14"/>
        <v>1.1599999999999999</v>
      </c>
      <c r="AM27">
        <f>SUMIFS($G$3:$G$253,$C$3:$C$253,$N27)</f>
        <v>892.30000000000007</v>
      </c>
      <c r="AN27">
        <f>SUMIFS($G$3:$G$253,$C$3:$C$253,$N27,$D$3:$D$253,P$2)</f>
        <v>133.6</v>
      </c>
      <c r="AO27">
        <f>SUMIFS($G$3:$G$253,$C$3:$C$253,$N27,$D$3:$D$253,Q$2)</f>
        <v>634.20000000000005</v>
      </c>
      <c r="AP27">
        <f>SUMIFS($G$3:$G$253,$C$3:$C$253,$N27,$D$3:$D$253,R$2)</f>
        <v>124.5</v>
      </c>
      <c r="AQ27">
        <f>AVERAGEIFS($J$3:$J$253,$C$3:$C$253,$N27)</f>
        <v>12.5</v>
      </c>
      <c r="AR27">
        <f>AVERAGEIFS($J$3:$J$253,$C$3:$C$253,$N27,$D$3:$D$253,P$2)</f>
        <v>16</v>
      </c>
      <c r="AS27">
        <f>AVERAGEIFS($J$3:$J$253,$C$3:$C$253,$N27,$D$3:$D$253,Q$2)</f>
        <v>11.666666666666666</v>
      </c>
      <c r="AT27">
        <f>AVERAGEIFS($J$3:$J$253,$C$3:$C$253,$N27,$D$3:$D$253,R$2)</f>
        <v>14</v>
      </c>
      <c r="AU27">
        <f t="shared" si="15"/>
        <v>8.923</v>
      </c>
      <c r="AV27">
        <f t="shared" si="16"/>
        <v>1.04375</v>
      </c>
      <c r="AW27">
        <f t="shared" si="17"/>
        <v>6.7950000000000008</v>
      </c>
      <c r="AX27">
        <f t="shared" si="18"/>
        <v>1.1116071428571428</v>
      </c>
    </row>
    <row r="28" spans="1:50" x14ac:dyDescent="0.45">
      <c r="A28">
        <v>1209039</v>
      </c>
      <c r="B28" t="str">
        <f>_xlfn.XLOOKUP(A28,monthly_work_hours!A:A,monthly_work_hours!B:B)</f>
        <v>정용선</v>
      </c>
      <c r="C28" t="e">
        <f>_xlfn.XLOOKUP(A28,monthly_work_hours!A:A,monthly_work_hours!E:E)</f>
        <v>#N/A</v>
      </c>
      <c r="D28" t="str">
        <f>_xlfn.XLOOKUP(A28,monthly_work_hours!A:A,monthly_work_hours!F:F)</f>
        <v>기능과장</v>
      </c>
      <c r="E28">
        <f>SUMIFS(monthly_work_hours!$M:$M,monthly_work_hours!$A:$A,'FTE 계산'!$A28,monthly_work_hours!$H:$H,'FTE 계산'!E$2)</f>
        <v>0.8</v>
      </c>
      <c r="F28">
        <f>SUMIFS(monthly_work_hours!$M:$M,monthly_work_hours!$A:$A,'FTE 계산'!$A28,monthly_work_hours!$H:$H,'FTE 계산'!F$2)</f>
        <v>0</v>
      </c>
      <c r="G28">
        <f>SUMIFS(monthly_work_hours!$M:$M,monthly_work_hours!$A:$A,'FTE 계산'!$A28,monthly_work_hours!$H:$H,'FTE 계산'!G$2)</f>
        <v>0</v>
      </c>
      <c r="H28">
        <f>(SUMIFS(monthly_work_hours!$I:$I,monthly_work_hours!$A:$A,'FTE 계산'!$A28,monthly_work_hours!$H:$H,'FTE 계산'!H$2)) - (SUMIFS(monthly_work_hours!$L:$L,monthly_work_hours!$A:$A,'FTE 계산'!$A28,monthly_work_hours!$H:$H,'FTE 계산'!H$2))</f>
        <v>3</v>
      </c>
      <c r="I28">
        <f>(SUMIFS(monthly_work_hours!$I:$I,monthly_work_hours!$A:$A,'FTE 계산'!$A28,monthly_work_hours!$H:$H,'FTE 계산'!I$2)) - (SUMIFS(monthly_work_hours!$L:$L,monthly_work_hours!$A:$A,'FTE 계산'!$A28,monthly_work_hours!$H:$H,'FTE 계산'!I$2))</f>
        <v>0</v>
      </c>
      <c r="J28">
        <f>(SUMIFS(monthly_work_hours!$I:$I,monthly_work_hours!$A:$A,'FTE 계산'!$A28,monthly_work_hours!$H:$H,'FTE 계산'!J$2)) - (SUMIFS(monthly_work_hours!$L:$L,monthly_work_hours!$A:$A,'FTE 계산'!$A28,monthly_work_hours!$H:$H,'FTE 계산'!J$2))</f>
        <v>0</v>
      </c>
      <c r="N28" t="s">
        <v>821</v>
      </c>
      <c r="O28">
        <f>SUMIFS($E$3:$E$253,$C$3:$C$253,$N28)</f>
        <v>1001.8</v>
      </c>
      <c r="P28">
        <f>SUMIFS($E$3:$E$253,$C$3:$C$253,$N28,$D$3:$D$253,P$2)</f>
        <v>0</v>
      </c>
      <c r="Q28">
        <f>SUMIFS($E$3:$E$253,$C$3:$C$253,$N28,$D$3:$D$253,Q$2)</f>
        <v>742.3</v>
      </c>
      <c r="R28">
        <f>SUMIFS($E$3:$E$253,$C$3:$C$253,$N28,$D$3:$D$253,R$2)</f>
        <v>259.5</v>
      </c>
      <c r="S28">
        <f>AVERAGEIFS($H$3:$H$253,$C$3:$C$253,$N28)</f>
        <v>18</v>
      </c>
      <c r="T28" t="e">
        <f>AVERAGEIFS($H$3:$H$253,$C$3:$C$253,$N28,$D$3:$D$253,P$2)</f>
        <v>#DIV/0!</v>
      </c>
      <c r="U28">
        <f>AVERAGEIFS($H$3:$H$253,$C$3:$C$253,$N28,$D$3:$D$253,Q$2)</f>
        <v>19</v>
      </c>
      <c r="V28">
        <f>AVERAGEIFS($H$3:$H$253,$C$3:$C$253,$N28,$D$3:$D$253,R$2)</f>
        <v>16</v>
      </c>
      <c r="W28">
        <f t="shared" si="7"/>
        <v>6.9569444444444439</v>
      </c>
      <c r="X28" t="str">
        <f t="shared" si="8"/>
        <v>-</v>
      </c>
      <c r="Y28">
        <f t="shared" si="9"/>
        <v>4.8835526315789473</v>
      </c>
      <c r="Z28">
        <f t="shared" si="10"/>
        <v>2.02734375</v>
      </c>
      <c r="AA28">
        <f>SUMIFS($F$3:$F$253,$C$3:$C$253,$N28)</f>
        <v>1061.5999999999999</v>
      </c>
      <c r="AB28">
        <f>SUMIFS($F$3:$F$253,$C$3:$C$253,$N28,$D$3:$D$253,P$2)</f>
        <v>0</v>
      </c>
      <c r="AC28">
        <f>SUMIFS($F$3:$F$253,$C$3:$C$253,$N28,$D$3:$D$253,Q$2)</f>
        <v>754.69999999999993</v>
      </c>
      <c r="AD28">
        <f>SUMIFS($F$3:$F$253,$C$3:$C$253,$N28,$D$3:$D$253,R$2)</f>
        <v>306.89999999999998</v>
      </c>
      <c r="AE28">
        <f>AVERAGEIFS($I$3:$I$253,$C$3:$C$253,$N28)</f>
        <v>18.166666666666668</v>
      </c>
      <c r="AF28" t="e">
        <f>AVERAGEIFS($I$3:$I$253,$C$3:$C$253,$N28,$D$3:$D$253,P$2)</f>
        <v>#DIV/0!</v>
      </c>
      <c r="AG28">
        <f>AVERAGEIFS($I$3:$I$253,$C$3:$C$253,$N28,$D$3:$D$253,Q$2)</f>
        <v>18.75</v>
      </c>
      <c r="AH28">
        <f>AVERAGEIFS($I$3:$I$253,$C$3:$C$253,$N28,$D$3:$D$253,R$2)</f>
        <v>17</v>
      </c>
      <c r="AI28">
        <f t="shared" si="11"/>
        <v>7.3045871559633015</v>
      </c>
      <c r="AJ28" t="str">
        <f t="shared" si="12"/>
        <v>-</v>
      </c>
      <c r="AK28">
        <f t="shared" si="13"/>
        <v>5.0313333333333325</v>
      </c>
      <c r="AL28">
        <f t="shared" si="14"/>
        <v>2.2566176470588233</v>
      </c>
      <c r="AM28">
        <f>SUMIFS($G$3:$G$253,$C$3:$C$253,$N28)</f>
        <v>874.2</v>
      </c>
      <c r="AN28">
        <f>SUMIFS($G$3:$G$253,$C$3:$C$253,$N28,$D$3:$D$253,P$2)</f>
        <v>0</v>
      </c>
      <c r="AO28">
        <f>SUMIFS($G$3:$G$253,$C$3:$C$253,$N28,$D$3:$D$253,Q$2)</f>
        <v>573.09999999999991</v>
      </c>
      <c r="AP28">
        <f>SUMIFS($G$3:$G$253,$C$3:$C$253,$N28,$D$3:$D$253,R$2)</f>
        <v>301.10000000000002</v>
      </c>
      <c r="AQ28">
        <f>AVERAGEIFS($J$3:$J$253,$C$3:$C$253,$N28)</f>
        <v>15.666666666666666</v>
      </c>
      <c r="AR28" t="e">
        <f>AVERAGEIFS($J$3:$J$253,$C$3:$C$253,$N28,$D$3:$D$253,P$2)</f>
        <v>#DIV/0!</v>
      </c>
      <c r="AS28">
        <f>AVERAGEIFS($J$3:$J$253,$C$3:$C$253,$N28,$D$3:$D$253,Q$2)</f>
        <v>15.75</v>
      </c>
      <c r="AT28">
        <f>AVERAGEIFS($J$3:$J$253,$C$3:$C$253,$N28,$D$3:$D$253,R$2)</f>
        <v>15.5</v>
      </c>
      <c r="AU28">
        <f t="shared" si="15"/>
        <v>6.9750000000000005</v>
      </c>
      <c r="AV28" t="str">
        <f t="shared" si="16"/>
        <v>-</v>
      </c>
      <c r="AW28">
        <f t="shared" si="17"/>
        <v>4.5484126984126974</v>
      </c>
      <c r="AX28">
        <f t="shared" si="18"/>
        <v>2.4282258064516129</v>
      </c>
    </row>
    <row r="29" spans="1:50" x14ac:dyDescent="0.45">
      <c r="A29">
        <v>1209046</v>
      </c>
      <c r="B29" t="str">
        <f>_xlfn.XLOOKUP(A29,monthly_work_hours!A:A,monthly_work_hours!B:B)</f>
        <v>장성욱</v>
      </c>
      <c r="C29" t="str">
        <f>_xlfn.XLOOKUP(A29,monthly_work_hours!A:A,monthly_work_hours!E:E)</f>
        <v>FL영업팀</v>
      </c>
      <c r="D29" t="str">
        <f>_xlfn.XLOOKUP(A29,monthly_work_hours!A:A,monthly_work_hours!F:F)</f>
        <v>책임</v>
      </c>
      <c r="E29">
        <f>SUMIFS(monthly_work_hours!$M:$M,monthly_work_hours!$A:$A,'FTE 계산'!$A29,monthly_work_hours!$H:$H,'FTE 계산'!E$2)</f>
        <v>195.2</v>
      </c>
      <c r="F29">
        <f>SUMIFS(monthly_work_hours!$M:$M,monthly_work_hours!$A:$A,'FTE 계산'!$A29,monthly_work_hours!$H:$H,'FTE 계산'!F$2)</f>
        <v>201</v>
      </c>
      <c r="G29">
        <f>SUMIFS(monthly_work_hours!$M:$M,monthly_work_hours!$A:$A,'FTE 계산'!$A29,monthly_work_hours!$H:$H,'FTE 계산'!G$2)</f>
        <v>157.6</v>
      </c>
      <c r="H29">
        <f>(SUMIFS(monthly_work_hours!$I:$I,monthly_work_hours!$A:$A,'FTE 계산'!$A29,monthly_work_hours!$H:$H,'FTE 계산'!H$2)) - (SUMIFS(monthly_work_hours!$L:$L,monthly_work_hours!$A:$A,'FTE 계산'!$A29,monthly_work_hours!$H:$H,'FTE 계산'!H$2))</f>
        <v>18</v>
      </c>
      <c r="I29">
        <f>(SUMIFS(monthly_work_hours!$I:$I,monthly_work_hours!$A:$A,'FTE 계산'!$A29,monthly_work_hours!$H:$H,'FTE 계산'!I$2)) - (SUMIFS(monthly_work_hours!$L:$L,monthly_work_hours!$A:$A,'FTE 계산'!$A29,monthly_work_hours!$H:$H,'FTE 계산'!I$2))</f>
        <v>18</v>
      </c>
      <c r="J29">
        <f>(SUMIFS(monthly_work_hours!$I:$I,monthly_work_hours!$A:$A,'FTE 계산'!$A29,monthly_work_hours!$H:$H,'FTE 계산'!J$2)) - (SUMIFS(monthly_work_hours!$L:$L,monthly_work_hours!$A:$A,'FTE 계산'!$A29,monthly_work_hours!$H:$H,'FTE 계산'!J$2))</f>
        <v>14</v>
      </c>
      <c r="N29" t="s">
        <v>729</v>
      </c>
      <c r="O29">
        <f>SUMIFS($E$3:$E$253,$C$3:$C$253,$N29)</f>
        <v>853.9</v>
      </c>
      <c r="P29">
        <f>SUMIFS($E$3:$E$253,$C$3:$C$253,$N29,$D$3:$D$253,P$2)</f>
        <v>392.6</v>
      </c>
      <c r="Q29">
        <f>SUMIFS($E$3:$E$253,$C$3:$C$253,$N29,$D$3:$D$253,Q$2)</f>
        <v>310.89999999999998</v>
      </c>
      <c r="R29">
        <f>SUMIFS($E$3:$E$253,$C$3:$C$253,$N29,$D$3:$D$253,R$2)</f>
        <v>150.4</v>
      </c>
      <c r="S29">
        <f>AVERAGEIFS($H$3:$H$253,$C$3:$C$253,$N29)</f>
        <v>16.8</v>
      </c>
      <c r="T29">
        <f>AVERAGEIFS($H$3:$H$253,$C$3:$C$253,$N29,$D$3:$D$253,P$2)</f>
        <v>17</v>
      </c>
      <c r="U29">
        <f>AVERAGEIFS($H$3:$H$253,$C$3:$C$253,$N29,$D$3:$D$253,Q$2)</f>
        <v>17</v>
      </c>
      <c r="V29">
        <f>AVERAGEIFS($H$3:$H$253,$C$3:$C$253,$N29,$D$3:$D$253,R$2)</f>
        <v>16</v>
      </c>
      <c r="W29">
        <f t="shared" si="7"/>
        <v>6.3534226190476186</v>
      </c>
      <c r="X29">
        <f t="shared" si="8"/>
        <v>2.8867647058823529</v>
      </c>
      <c r="Y29">
        <f t="shared" si="9"/>
        <v>2.2860294117647055</v>
      </c>
      <c r="Z29">
        <f t="shared" si="10"/>
        <v>1.175</v>
      </c>
      <c r="AA29">
        <f>SUMIFS($F$3:$F$253,$C$3:$C$253,$N29)</f>
        <v>911.19999999999993</v>
      </c>
      <c r="AB29">
        <f>SUMIFS($F$3:$F$253,$C$3:$C$253,$N29,$D$3:$D$253,P$2)</f>
        <v>377.2</v>
      </c>
      <c r="AC29">
        <f>SUMIFS($F$3:$F$253,$C$3:$C$253,$N29,$D$3:$D$253,Q$2)</f>
        <v>360.4</v>
      </c>
      <c r="AD29">
        <f>SUMIFS($F$3:$F$253,$C$3:$C$253,$N29,$D$3:$D$253,R$2)</f>
        <v>173.6</v>
      </c>
      <c r="AE29">
        <f>AVERAGEIFS($I$3:$I$253,$C$3:$C$253,$N29)</f>
        <v>18.2</v>
      </c>
      <c r="AF29">
        <f>AVERAGEIFS($I$3:$I$253,$C$3:$C$253,$N29,$D$3:$D$253,P$2)</f>
        <v>18.5</v>
      </c>
      <c r="AG29">
        <f>AVERAGEIFS($I$3:$I$253,$C$3:$C$253,$N29,$D$3:$D$253,Q$2)</f>
        <v>18</v>
      </c>
      <c r="AH29">
        <f>AVERAGEIFS($I$3:$I$253,$C$3:$C$253,$N29,$D$3:$D$253,R$2)</f>
        <v>18</v>
      </c>
      <c r="AI29">
        <f t="shared" si="11"/>
        <v>6.2582417582417582</v>
      </c>
      <c r="AJ29">
        <f t="shared" si="12"/>
        <v>2.5486486486486486</v>
      </c>
      <c r="AK29">
        <f t="shared" si="13"/>
        <v>2.5027777777777778</v>
      </c>
      <c r="AL29">
        <f t="shared" si="14"/>
        <v>1.2055555555555555</v>
      </c>
      <c r="AM29">
        <f>SUMIFS($G$3:$G$253,$C$3:$C$253,$N29)</f>
        <v>654</v>
      </c>
      <c r="AN29">
        <f>SUMIFS($G$3:$G$253,$C$3:$C$253,$N29,$D$3:$D$253,P$2)</f>
        <v>272.39999999999998</v>
      </c>
      <c r="AO29">
        <f>SUMIFS($G$3:$G$253,$C$3:$C$253,$N29,$D$3:$D$253,Q$2)</f>
        <v>276.39999999999998</v>
      </c>
      <c r="AP29">
        <f>SUMIFS($G$3:$G$253,$C$3:$C$253,$N29,$D$3:$D$253,R$2)</f>
        <v>105.2</v>
      </c>
      <c r="AQ29">
        <f>AVERAGEIFS($J$3:$J$253,$C$3:$C$253,$N29)</f>
        <v>14.6</v>
      </c>
      <c r="AR29">
        <f>AVERAGEIFS($J$3:$J$253,$C$3:$C$253,$N29,$D$3:$D$253,P$2)</f>
        <v>14</v>
      </c>
      <c r="AS29">
        <f>AVERAGEIFS($J$3:$J$253,$C$3:$C$253,$N29,$D$3:$D$253,Q$2)</f>
        <v>15.5</v>
      </c>
      <c r="AT29">
        <f>AVERAGEIFS($J$3:$J$253,$C$3:$C$253,$N29,$D$3:$D$253,R$2)</f>
        <v>14</v>
      </c>
      <c r="AU29">
        <f t="shared" si="15"/>
        <v>5.5993150684931505</v>
      </c>
      <c r="AV29">
        <f t="shared" si="16"/>
        <v>2.4321428571428569</v>
      </c>
      <c r="AW29">
        <f t="shared" si="17"/>
        <v>2.2290322580645161</v>
      </c>
      <c r="AX29">
        <f t="shared" si="18"/>
        <v>0.93928571428571428</v>
      </c>
    </row>
    <row r="30" spans="1:50" x14ac:dyDescent="0.45">
      <c r="A30">
        <v>1209058</v>
      </c>
      <c r="B30" t="str">
        <f>_xlfn.XLOOKUP(A30,monthly_work_hours!A:A,monthly_work_hours!B:B)</f>
        <v>도윤희</v>
      </c>
      <c r="C30" t="str">
        <f>_xlfn.XLOOKUP(A30,monthly_work_hours!A:A,monthly_work_hours!E:E)</f>
        <v>관체사업팀</v>
      </c>
      <c r="D30" t="str">
        <f>_xlfn.XLOOKUP(A30,monthly_work_hours!A:A,monthly_work_hours!F:F)</f>
        <v>책임</v>
      </c>
      <c r="E30">
        <f>SUMIFS(monthly_work_hours!$M:$M,monthly_work_hours!$A:$A,'FTE 계산'!$A30,monthly_work_hours!$H:$H,'FTE 계산'!E$2)</f>
        <v>188.1</v>
      </c>
      <c r="F30">
        <f>SUMIFS(monthly_work_hours!$M:$M,monthly_work_hours!$A:$A,'FTE 계산'!$A30,monthly_work_hours!$H:$H,'FTE 계산'!F$2)</f>
        <v>200.9</v>
      </c>
      <c r="G30">
        <f>SUMIFS(monthly_work_hours!$M:$M,monthly_work_hours!$A:$A,'FTE 계산'!$A30,monthly_work_hours!$H:$H,'FTE 계산'!G$2)</f>
        <v>144</v>
      </c>
      <c r="H30">
        <f>(SUMIFS(monthly_work_hours!$I:$I,monthly_work_hours!$A:$A,'FTE 계산'!$A30,monthly_work_hours!$H:$H,'FTE 계산'!H$2)) - (SUMIFS(monthly_work_hours!$L:$L,monthly_work_hours!$A:$A,'FTE 계산'!$A30,monthly_work_hours!$H:$H,'FTE 계산'!H$2))</f>
        <v>19</v>
      </c>
      <c r="I30">
        <f>(SUMIFS(monthly_work_hours!$I:$I,monthly_work_hours!$A:$A,'FTE 계산'!$A30,monthly_work_hours!$H:$H,'FTE 계산'!I$2)) - (SUMIFS(monthly_work_hours!$L:$L,monthly_work_hours!$A:$A,'FTE 계산'!$A30,monthly_work_hours!$H:$H,'FTE 계산'!I$2))</f>
        <v>19</v>
      </c>
      <c r="J30">
        <f>(SUMIFS(monthly_work_hours!$I:$I,monthly_work_hours!$A:$A,'FTE 계산'!$A30,monthly_work_hours!$H:$H,'FTE 계산'!J$2)) - (SUMIFS(monthly_work_hours!$L:$L,monthly_work_hours!$A:$A,'FTE 계산'!$A30,monthly_work_hours!$H:$H,'FTE 계산'!J$2))</f>
        <v>16</v>
      </c>
      <c r="N30" t="s">
        <v>1015</v>
      </c>
      <c r="O30">
        <f>SUMIFS($E$3:$E$253,$C$3:$C$253,$N30)</f>
        <v>452</v>
      </c>
      <c r="P30">
        <f>SUMIFS($E$3:$E$253,$C$3:$C$253,$N30,$D$3:$D$253,P$2)</f>
        <v>254.8</v>
      </c>
      <c r="Q30">
        <f>SUMIFS($E$3:$E$253,$C$3:$C$253,$N30,$D$3:$D$253,Q$2)</f>
        <v>0</v>
      </c>
      <c r="R30">
        <f>SUMIFS($E$3:$E$253,$C$3:$C$253,$N30,$D$3:$D$253,R$2)</f>
        <v>197.2</v>
      </c>
      <c r="S30">
        <f>AVERAGEIFS($H$3:$H$253,$C$3:$C$253,$N30)</f>
        <v>18.5</v>
      </c>
      <c r="T30">
        <f>AVERAGEIFS($H$3:$H$253,$C$3:$C$253,$N30,$D$3:$D$253,P$2)</f>
        <v>18</v>
      </c>
      <c r="U30" t="e">
        <f>AVERAGEIFS($H$3:$H$253,$C$3:$C$253,$N30,$D$3:$D$253,Q$2)</f>
        <v>#DIV/0!</v>
      </c>
      <c r="V30">
        <f>AVERAGEIFS($H$3:$H$253,$C$3:$C$253,$N30,$D$3:$D$253,R$2)</f>
        <v>19</v>
      </c>
      <c r="W30">
        <f t="shared" si="7"/>
        <v>3.0540540540540539</v>
      </c>
      <c r="X30">
        <f t="shared" si="8"/>
        <v>1.7694444444444446</v>
      </c>
      <c r="Y30" t="str">
        <f t="shared" si="9"/>
        <v>-</v>
      </c>
      <c r="Z30">
        <f t="shared" si="10"/>
        <v>1.2973684210526315</v>
      </c>
      <c r="AA30">
        <f>SUMIFS($F$3:$F$253,$C$3:$C$253,$N30)</f>
        <v>373.1</v>
      </c>
      <c r="AB30">
        <f>SUMIFS($F$3:$F$253,$C$3:$C$253,$N30,$D$3:$D$253,P$2)</f>
        <v>221.9</v>
      </c>
      <c r="AC30">
        <f>SUMIFS($F$3:$F$253,$C$3:$C$253,$N30,$D$3:$D$253,Q$2)</f>
        <v>0</v>
      </c>
      <c r="AD30">
        <f>SUMIFS($F$3:$F$253,$C$3:$C$253,$N30,$D$3:$D$253,R$2)</f>
        <v>151.19999999999999</v>
      </c>
      <c r="AE30">
        <f>AVERAGEIFS($I$3:$I$253,$C$3:$C$253,$N30)</f>
        <v>16.5</v>
      </c>
      <c r="AF30">
        <f>AVERAGEIFS($I$3:$I$253,$C$3:$C$253,$N30,$D$3:$D$253,P$2)</f>
        <v>16</v>
      </c>
      <c r="AG30" t="e">
        <f>AVERAGEIFS($I$3:$I$253,$C$3:$C$253,$N30,$D$3:$D$253,Q$2)</f>
        <v>#DIV/0!</v>
      </c>
      <c r="AH30">
        <f>AVERAGEIFS($I$3:$I$253,$C$3:$C$253,$N30,$D$3:$D$253,R$2)</f>
        <v>17</v>
      </c>
      <c r="AI30">
        <f t="shared" si="11"/>
        <v>2.8265151515151516</v>
      </c>
      <c r="AJ30">
        <f t="shared" si="12"/>
        <v>1.73359375</v>
      </c>
      <c r="AK30" t="str">
        <f t="shared" si="13"/>
        <v>-</v>
      </c>
      <c r="AL30">
        <f t="shared" si="14"/>
        <v>1.1117647058823528</v>
      </c>
      <c r="AM30">
        <f>SUMIFS($G$3:$G$253,$C$3:$C$253,$N30)</f>
        <v>337.4</v>
      </c>
      <c r="AN30">
        <f>SUMIFS($G$3:$G$253,$C$3:$C$253,$N30,$D$3:$D$253,P$2)</f>
        <v>192.5</v>
      </c>
      <c r="AO30">
        <f>SUMIFS($G$3:$G$253,$C$3:$C$253,$N30,$D$3:$D$253,Q$2)</f>
        <v>0</v>
      </c>
      <c r="AP30">
        <f>SUMIFS($G$3:$G$253,$C$3:$C$253,$N30,$D$3:$D$253,R$2)</f>
        <v>144.9</v>
      </c>
      <c r="AQ30">
        <f>AVERAGEIFS($J$3:$J$253,$C$3:$C$253,$N30)</f>
        <v>16</v>
      </c>
      <c r="AR30">
        <f>AVERAGEIFS($J$3:$J$253,$C$3:$C$253,$N30,$D$3:$D$253,P$2)</f>
        <v>16</v>
      </c>
      <c r="AS30" t="e">
        <f>AVERAGEIFS($J$3:$J$253,$C$3:$C$253,$N30,$D$3:$D$253,Q$2)</f>
        <v>#DIV/0!</v>
      </c>
      <c r="AT30">
        <f>AVERAGEIFS($J$3:$J$253,$C$3:$C$253,$N30,$D$3:$D$253,R$2)</f>
        <v>16</v>
      </c>
      <c r="AU30">
        <f t="shared" si="15"/>
        <v>2.6359374999999998</v>
      </c>
      <c r="AV30">
        <f t="shared" si="16"/>
        <v>1.50390625</v>
      </c>
      <c r="AW30" t="str">
        <f t="shared" si="17"/>
        <v>-</v>
      </c>
      <c r="AX30">
        <f t="shared" si="18"/>
        <v>1.13203125</v>
      </c>
    </row>
    <row r="31" spans="1:50" x14ac:dyDescent="0.45">
      <c r="A31">
        <v>1209074</v>
      </c>
      <c r="B31" t="str">
        <f>_xlfn.XLOOKUP(A31,monthly_work_hours!A:A,monthly_work_hours!B:B)</f>
        <v>김주진</v>
      </c>
      <c r="C31" t="str">
        <f>_xlfn.XLOOKUP(A31,monthly_work_hours!A:A,monthly_work_hours!E:E)</f>
        <v>FL사업지원담당</v>
      </c>
      <c r="D31" t="str">
        <f>_xlfn.XLOOKUP(A31,monthly_work_hours!A:A,monthly_work_hours!F:F)</f>
        <v>책임</v>
      </c>
      <c r="E31">
        <f>SUMIFS(monthly_work_hours!$M:$M,monthly_work_hours!$A:$A,'FTE 계산'!$A31,monthly_work_hours!$H:$H,'FTE 계산'!E$2)</f>
        <v>176.1</v>
      </c>
      <c r="F31">
        <f>SUMIFS(monthly_work_hours!$M:$M,monthly_work_hours!$A:$A,'FTE 계산'!$A31,monthly_work_hours!$H:$H,'FTE 계산'!F$2)</f>
        <v>177.8</v>
      </c>
      <c r="G31">
        <f>SUMIFS(monthly_work_hours!$M:$M,monthly_work_hours!$A:$A,'FTE 계산'!$A31,monthly_work_hours!$H:$H,'FTE 계산'!G$2)</f>
        <v>145.4</v>
      </c>
      <c r="H31">
        <f>(SUMIFS(monthly_work_hours!$I:$I,monthly_work_hours!$A:$A,'FTE 계산'!$A31,monthly_work_hours!$H:$H,'FTE 계산'!H$2)) - (SUMIFS(monthly_work_hours!$L:$L,monthly_work_hours!$A:$A,'FTE 계산'!$A31,monthly_work_hours!$H:$H,'FTE 계산'!H$2))</f>
        <v>18</v>
      </c>
      <c r="I31">
        <f>(SUMIFS(monthly_work_hours!$I:$I,monthly_work_hours!$A:$A,'FTE 계산'!$A31,monthly_work_hours!$H:$H,'FTE 계산'!I$2)) - (SUMIFS(monthly_work_hours!$L:$L,monthly_work_hours!$A:$A,'FTE 계산'!$A31,monthly_work_hours!$H:$H,'FTE 계산'!I$2))</f>
        <v>19</v>
      </c>
      <c r="J31">
        <f>(SUMIFS(monthly_work_hours!$I:$I,monthly_work_hours!$A:$A,'FTE 계산'!$A31,monthly_work_hours!$H:$H,'FTE 계산'!J$2)) - (SUMIFS(monthly_work_hours!$L:$L,monthly_work_hours!$A:$A,'FTE 계산'!$A31,monthly_work_hours!$H:$H,'FTE 계산'!J$2))</f>
        <v>16</v>
      </c>
      <c r="N31" t="s">
        <v>1034</v>
      </c>
      <c r="O31">
        <f>SUMIFS($E$3:$E$253,$C$3:$C$253,$N31)</f>
        <v>1571.2</v>
      </c>
      <c r="P31">
        <f>SUMIFS($E$3:$E$253,$C$3:$C$253,$N31,$D$3:$D$253,P$2)</f>
        <v>608.20000000000005</v>
      </c>
      <c r="Q31">
        <f>SUMIFS($E$3:$E$253,$C$3:$C$253,$N31,$D$3:$D$253,Q$2)</f>
        <v>731.39999999999986</v>
      </c>
      <c r="R31">
        <f>SUMIFS($E$3:$E$253,$C$3:$C$253,$N31,$D$3:$D$253,R$2)</f>
        <v>231.6</v>
      </c>
      <c r="S31">
        <f>AVERAGEIFS($H$3:$H$253,$C$3:$C$253,$N31)</f>
        <v>14.428571428571429</v>
      </c>
      <c r="T31">
        <f>AVERAGEIFS($H$3:$H$253,$C$3:$C$253,$N31,$D$3:$D$253,P$2)</f>
        <v>21</v>
      </c>
      <c r="U31">
        <f>AVERAGEIFS($H$3:$H$253,$C$3:$C$253,$N31,$D$3:$D$253,Q$2)</f>
        <v>18.333333333333332</v>
      </c>
      <c r="V31">
        <f>AVERAGEIFS($H$3:$H$253,$C$3:$C$253,$N31,$D$3:$D$253,R$2)</f>
        <v>8.3333333333333339</v>
      </c>
      <c r="W31">
        <f t="shared" si="7"/>
        <v>13.611881188118812</v>
      </c>
      <c r="X31">
        <f t="shared" si="8"/>
        <v>3.6202380952380957</v>
      </c>
      <c r="Y31">
        <f t="shared" si="9"/>
        <v>4.9868181818181814</v>
      </c>
      <c r="Z31">
        <f t="shared" si="10"/>
        <v>3.4739999999999998</v>
      </c>
      <c r="AA31">
        <f>SUMIFS($F$3:$F$253,$C$3:$C$253,$N31)</f>
        <v>1635.7</v>
      </c>
      <c r="AB31">
        <f>SUMIFS($F$3:$F$253,$C$3:$C$253,$N31,$D$3:$D$253,P$2)</f>
        <v>634.9</v>
      </c>
      <c r="AC31">
        <f>SUMIFS($F$3:$F$253,$C$3:$C$253,$N31,$D$3:$D$253,Q$2)</f>
        <v>535.6</v>
      </c>
      <c r="AD31">
        <f>SUMIFS($F$3:$F$253,$C$3:$C$253,$N31,$D$3:$D$253,R$2)</f>
        <v>465.2</v>
      </c>
      <c r="AE31">
        <f>AVERAGEIFS($I$3:$I$253,$C$3:$C$253,$N31)</f>
        <v>17.571428571428573</v>
      </c>
      <c r="AF31">
        <f>AVERAGEIFS($I$3:$I$253,$C$3:$C$253,$N31,$D$3:$D$253,P$2)</f>
        <v>21</v>
      </c>
      <c r="AG31">
        <f>AVERAGEIFS($I$3:$I$253,$C$3:$C$253,$N31,$D$3:$D$253,Q$2)</f>
        <v>16.666666666666668</v>
      </c>
      <c r="AH31">
        <f>AVERAGEIFS($I$3:$I$253,$C$3:$C$253,$N31,$D$3:$D$253,R$2)</f>
        <v>17.333333333333332</v>
      </c>
      <c r="AI31">
        <f t="shared" si="11"/>
        <v>11.636077235772357</v>
      </c>
      <c r="AJ31">
        <f t="shared" si="12"/>
        <v>3.7791666666666663</v>
      </c>
      <c r="AK31">
        <f t="shared" si="13"/>
        <v>4.0169999999999995</v>
      </c>
      <c r="AL31">
        <f t="shared" si="14"/>
        <v>3.3548076923076926</v>
      </c>
      <c r="AM31">
        <f>SUMIFS($G$3:$G$253,$C$3:$C$253,$N31)</f>
        <v>1074.3000000000002</v>
      </c>
      <c r="AN31">
        <f>SUMIFS($G$3:$G$253,$C$3:$C$253,$N31,$D$3:$D$253,P$2)</f>
        <v>355</v>
      </c>
      <c r="AO31">
        <f>SUMIFS($G$3:$G$253,$C$3:$C$253,$N31,$D$3:$D$253,Q$2)</f>
        <v>414.5</v>
      </c>
      <c r="AP31">
        <f>SUMIFS($G$3:$G$253,$C$3:$C$253,$N31,$D$3:$D$253,R$2)</f>
        <v>304.8</v>
      </c>
      <c r="AQ31">
        <f>AVERAGEIFS($J$3:$J$253,$C$3:$C$253,$N31)</f>
        <v>13.428571428571429</v>
      </c>
      <c r="AR31">
        <f>AVERAGEIFS($J$3:$J$253,$C$3:$C$253,$N31,$D$3:$D$253,P$2)</f>
        <v>16</v>
      </c>
      <c r="AS31">
        <f>AVERAGEIFS($J$3:$J$253,$C$3:$C$253,$N31,$D$3:$D$253,Q$2)</f>
        <v>14.333333333333334</v>
      </c>
      <c r="AT31">
        <f>AVERAGEIFS($J$3:$J$253,$C$3:$C$253,$N31,$D$3:$D$253,R$2)</f>
        <v>11.666666666666666</v>
      </c>
      <c r="AU31">
        <f t="shared" si="15"/>
        <v>10.000132978723405</v>
      </c>
      <c r="AV31">
        <f t="shared" si="16"/>
        <v>2.7734375</v>
      </c>
      <c r="AW31">
        <f t="shared" si="17"/>
        <v>3.6148255813953485</v>
      </c>
      <c r="AX31">
        <f t="shared" si="18"/>
        <v>3.265714285714286</v>
      </c>
    </row>
    <row r="32" spans="1:50" x14ac:dyDescent="0.45">
      <c r="A32">
        <v>1209084</v>
      </c>
      <c r="B32" t="str">
        <f>_xlfn.XLOOKUP(A32,monthly_work_hours!A:A,monthly_work_hours!B:B)</f>
        <v>박정현</v>
      </c>
      <c r="C32" t="str">
        <f>_xlfn.XLOOKUP(A32,monthly_work_hours!A:A,monthly_work_hours!E:E)</f>
        <v>FL영업팀</v>
      </c>
      <c r="D32" t="str">
        <f>_xlfn.XLOOKUP(A32,monthly_work_hours!A:A,monthly_work_hours!F:F)</f>
        <v>책임</v>
      </c>
      <c r="E32">
        <f>SUMIFS(monthly_work_hours!$M:$M,monthly_work_hours!$A:$A,'FTE 계산'!$A32,monthly_work_hours!$H:$H,'FTE 계산'!E$2)</f>
        <v>172</v>
      </c>
      <c r="F32">
        <f>SUMIFS(monthly_work_hours!$M:$M,monthly_work_hours!$A:$A,'FTE 계산'!$A32,monthly_work_hours!$H:$H,'FTE 계산'!F$2)</f>
        <v>185.2</v>
      </c>
      <c r="G32">
        <f>SUMIFS(monthly_work_hours!$M:$M,monthly_work_hours!$A:$A,'FTE 계산'!$A32,monthly_work_hours!$H:$H,'FTE 계산'!G$2)</f>
        <v>169.2</v>
      </c>
      <c r="H32">
        <f>(SUMIFS(monthly_work_hours!$I:$I,monthly_work_hours!$A:$A,'FTE 계산'!$A32,monthly_work_hours!$H:$H,'FTE 계산'!H$2)) - (SUMIFS(monthly_work_hours!$L:$L,monthly_work_hours!$A:$A,'FTE 계산'!$A32,monthly_work_hours!$H:$H,'FTE 계산'!H$2))</f>
        <v>15</v>
      </c>
      <c r="I32">
        <f>(SUMIFS(monthly_work_hours!$I:$I,monthly_work_hours!$A:$A,'FTE 계산'!$A32,monthly_work_hours!$H:$H,'FTE 계산'!I$2)) - (SUMIFS(monthly_work_hours!$L:$L,monthly_work_hours!$A:$A,'FTE 계산'!$A32,monthly_work_hours!$H:$H,'FTE 계산'!I$2))</f>
        <v>17</v>
      </c>
      <c r="J32">
        <f>(SUMIFS(monthly_work_hours!$I:$I,monthly_work_hours!$A:$A,'FTE 계산'!$A32,monthly_work_hours!$H:$H,'FTE 계산'!J$2)) - (SUMIFS(monthly_work_hours!$L:$L,monthly_work_hours!$A:$A,'FTE 계산'!$A32,monthly_work_hours!$H:$H,'FTE 계산'!J$2))</f>
        <v>15</v>
      </c>
      <c r="N32" t="s">
        <v>746</v>
      </c>
      <c r="O32">
        <f>SUMIFS($E$3:$E$253,$C$3:$C$253,$N32)</f>
        <v>890.80000000000007</v>
      </c>
      <c r="P32">
        <f>SUMIFS($E$3:$E$253,$C$3:$C$253,$N32,$D$3:$D$253,P$2)</f>
        <v>135.69999999999999</v>
      </c>
      <c r="Q32">
        <f>SUMIFS($E$3:$E$253,$C$3:$C$253,$N32,$D$3:$D$253,Q$2)</f>
        <v>556.4</v>
      </c>
      <c r="R32">
        <f>SUMIFS($E$3:$E$253,$C$3:$C$253,$N32,$D$3:$D$253,R$2)</f>
        <v>198.70000000000002</v>
      </c>
      <c r="S32">
        <f>AVERAGEIFS($H$3:$H$253,$C$3:$C$253,$N32)</f>
        <v>13.714285714285714</v>
      </c>
      <c r="T32">
        <f>AVERAGEIFS($H$3:$H$253,$C$3:$C$253,$N32,$D$3:$D$253,P$2)</f>
        <v>14</v>
      </c>
      <c r="U32">
        <f>AVERAGEIFS($H$3:$H$253,$C$3:$C$253,$N32,$D$3:$D$253,Q$2)</f>
        <v>14.75</v>
      </c>
      <c r="V32">
        <f>AVERAGEIFS($H$3:$H$253,$C$3:$C$253,$N32,$D$3:$D$253,R$2)</f>
        <v>11.5</v>
      </c>
      <c r="W32">
        <f t="shared" si="7"/>
        <v>8.119270833333335</v>
      </c>
      <c r="X32">
        <f t="shared" si="8"/>
        <v>1.2116071428571427</v>
      </c>
      <c r="Y32">
        <f t="shared" si="9"/>
        <v>4.7152542372881356</v>
      </c>
      <c r="Z32">
        <f t="shared" si="10"/>
        <v>2.1597826086956524</v>
      </c>
      <c r="AA32">
        <f>SUMIFS($F$3:$F$253,$C$3:$C$253,$N32)</f>
        <v>1115</v>
      </c>
      <c r="AB32">
        <f>SUMIFS($F$3:$F$253,$C$3:$C$253,$N32,$D$3:$D$253,P$2)</f>
        <v>183</v>
      </c>
      <c r="AC32">
        <f>SUMIFS($F$3:$F$253,$C$3:$C$253,$N32,$D$3:$D$253,Q$2)</f>
        <v>744.40000000000009</v>
      </c>
      <c r="AD32">
        <f>SUMIFS($F$3:$F$253,$C$3:$C$253,$N32,$D$3:$D$253,R$2)</f>
        <v>187.6</v>
      </c>
      <c r="AE32">
        <f>AVERAGEIFS($I$3:$I$253,$C$3:$C$253,$N32)</f>
        <v>16.428571428571427</v>
      </c>
      <c r="AF32">
        <f>AVERAGEIFS($I$3:$I$253,$C$3:$C$253,$N32,$D$3:$D$253,P$2)</f>
        <v>19</v>
      </c>
      <c r="AG32">
        <f>AVERAGEIFS($I$3:$I$253,$C$3:$C$253,$N32,$D$3:$D$253,Q$2)</f>
        <v>18</v>
      </c>
      <c r="AH32">
        <f>AVERAGEIFS($I$3:$I$253,$C$3:$C$253,$N32,$D$3:$D$253,R$2)</f>
        <v>12</v>
      </c>
      <c r="AI32">
        <f t="shared" si="11"/>
        <v>8.483695652173914</v>
      </c>
      <c r="AJ32">
        <f t="shared" si="12"/>
        <v>1.2039473684210527</v>
      </c>
      <c r="AK32">
        <f t="shared" si="13"/>
        <v>5.1694444444444452</v>
      </c>
      <c r="AL32">
        <f t="shared" si="14"/>
        <v>1.9541666666666666</v>
      </c>
      <c r="AM32">
        <f>SUMIFS($G$3:$G$253,$C$3:$C$253,$N32)</f>
        <v>818.49999999999989</v>
      </c>
      <c r="AN32">
        <f>SUMIFS($G$3:$G$253,$C$3:$C$253,$N32,$D$3:$D$253,P$2)</f>
        <v>130</v>
      </c>
      <c r="AO32">
        <f>SUMIFS($G$3:$G$253,$C$3:$C$253,$N32,$D$3:$D$253,Q$2)</f>
        <v>542.6</v>
      </c>
      <c r="AP32">
        <f>SUMIFS($G$3:$G$253,$C$3:$C$253,$N32,$D$3:$D$253,R$2)</f>
        <v>145.9</v>
      </c>
      <c r="AQ32">
        <f>AVERAGEIFS($J$3:$J$253,$C$3:$C$253,$N32)</f>
        <v>13.142857142857142</v>
      </c>
      <c r="AR32">
        <f>AVERAGEIFS($J$3:$J$253,$C$3:$C$253,$N32,$D$3:$D$253,P$2)</f>
        <v>14</v>
      </c>
      <c r="AS32">
        <f>AVERAGEIFS($J$3:$J$253,$C$3:$C$253,$N32,$D$3:$D$253,Q$2)</f>
        <v>15.5</v>
      </c>
      <c r="AT32">
        <f>AVERAGEIFS($J$3:$J$253,$C$3:$C$253,$N32,$D$3:$D$253,R$2)</f>
        <v>8</v>
      </c>
      <c r="AU32">
        <f t="shared" si="15"/>
        <v>7.7846467391304337</v>
      </c>
      <c r="AV32">
        <f t="shared" si="16"/>
        <v>1.1607142857142858</v>
      </c>
      <c r="AW32">
        <f t="shared" si="17"/>
        <v>4.3758064516129034</v>
      </c>
      <c r="AX32">
        <f t="shared" si="18"/>
        <v>2.2796875000000001</v>
      </c>
    </row>
    <row r="33" spans="1:50" x14ac:dyDescent="0.45">
      <c r="A33">
        <v>1210014</v>
      </c>
      <c r="B33" t="str">
        <f>_xlfn.XLOOKUP(A33,monthly_work_hours!A:A,monthly_work_hours!B:B)</f>
        <v>이장희</v>
      </c>
      <c r="C33" t="str">
        <f>_xlfn.XLOOKUP(A33,monthly_work_hours!A:A,monthly_work_hours!E:E)</f>
        <v>SL구매팀</v>
      </c>
      <c r="D33" t="str">
        <f>_xlfn.XLOOKUP(A33,monthly_work_hours!A:A,monthly_work_hours!F:F)</f>
        <v>책임</v>
      </c>
      <c r="E33">
        <f>SUMIFS(monthly_work_hours!$M:$M,monthly_work_hours!$A:$A,'FTE 계산'!$A33,monthly_work_hours!$H:$H,'FTE 계산'!E$2)</f>
        <v>191.7</v>
      </c>
      <c r="F33">
        <f>SUMIFS(monthly_work_hours!$M:$M,monthly_work_hours!$A:$A,'FTE 계산'!$A33,monthly_work_hours!$H:$H,'FTE 계산'!F$2)</f>
        <v>188.8</v>
      </c>
      <c r="G33">
        <f>SUMIFS(monthly_work_hours!$M:$M,monthly_work_hours!$A:$A,'FTE 계산'!$A33,monthly_work_hours!$H:$H,'FTE 계산'!G$2)</f>
        <v>172.3</v>
      </c>
      <c r="H33">
        <f>(SUMIFS(monthly_work_hours!$I:$I,monthly_work_hours!$A:$A,'FTE 계산'!$A33,monthly_work_hours!$H:$H,'FTE 계산'!H$2)) - (SUMIFS(monthly_work_hours!$L:$L,monthly_work_hours!$A:$A,'FTE 계산'!$A33,monthly_work_hours!$H:$H,'FTE 계산'!H$2))</f>
        <v>18</v>
      </c>
      <c r="I33">
        <f>(SUMIFS(monthly_work_hours!$I:$I,monthly_work_hours!$A:$A,'FTE 계산'!$A33,monthly_work_hours!$H:$H,'FTE 계산'!I$2)) - (SUMIFS(monthly_work_hours!$L:$L,monthly_work_hours!$A:$A,'FTE 계산'!$A33,monthly_work_hours!$H:$H,'FTE 계산'!I$2))</f>
        <v>18</v>
      </c>
      <c r="J33">
        <f>(SUMIFS(monthly_work_hours!$I:$I,monthly_work_hours!$A:$A,'FTE 계산'!$A33,monthly_work_hours!$H:$H,'FTE 계산'!J$2)) - (SUMIFS(monthly_work_hours!$L:$L,monthly_work_hours!$A:$A,'FTE 계산'!$A33,monthly_work_hours!$H:$H,'FTE 계산'!J$2))</f>
        <v>16</v>
      </c>
      <c r="N33" t="s">
        <v>1158</v>
      </c>
      <c r="O33">
        <f>SUMIFS($E$3:$E$253,$C$3:$C$253,$N33)</f>
        <v>155.5</v>
      </c>
      <c r="P33">
        <f>SUMIFS($E$3:$E$253,$C$3:$C$253,$N33,$D$3:$D$253,P$2)</f>
        <v>0</v>
      </c>
      <c r="Q33">
        <f>SUMIFS($E$3:$E$253,$C$3:$C$253,$N33,$D$3:$D$253,Q$2)</f>
        <v>0</v>
      </c>
      <c r="R33">
        <f>SUMIFS($E$3:$E$253,$C$3:$C$253,$N33,$D$3:$D$253,R$2)</f>
        <v>155.5</v>
      </c>
      <c r="S33">
        <f>AVERAGEIFS($H$3:$H$253,$C$3:$C$253,$N33)</f>
        <v>17</v>
      </c>
      <c r="T33" t="e">
        <f>AVERAGEIFS($H$3:$H$253,$C$3:$C$253,$N33,$D$3:$D$253,P$2)</f>
        <v>#DIV/0!</v>
      </c>
      <c r="U33" t="e">
        <f>AVERAGEIFS($H$3:$H$253,$C$3:$C$253,$N33,$D$3:$D$253,Q$2)</f>
        <v>#DIV/0!</v>
      </c>
      <c r="V33">
        <f>AVERAGEIFS($H$3:$H$253,$C$3:$C$253,$N33,$D$3:$D$253,R$2)</f>
        <v>17</v>
      </c>
      <c r="W33">
        <f t="shared" si="7"/>
        <v>1.1433823529411764</v>
      </c>
      <c r="X33" t="str">
        <f t="shared" si="8"/>
        <v>-</v>
      </c>
      <c r="Y33" t="str">
        <f t="shared" si="9"/>
        <v>-</v>
      </c>
      <c r="Z33">
        <f t="shared" si="10"/>
        <v>1.1433823529411764</v>
      </c>
      <c r="AA33">
        <f>SUMIFS($F$3:$F$253,$C$3:$C$253,$N33)</f>
        <v>178.6</v>
      </c>
      <c r="AB33">
        <f>SUMIFS($F$3:$F$253,$C$3:$C$253,$N33,$D$3:$D$253,P$2)</f>
        <v>0</v>
      </c>
      <c r="AC33">
        <f>SUMIFS($F$3:$F$253,$C$3:$C$253,$N33,$D$3:$D$253,Q$2)</f>
        <v>0</v>
      </c>
      <c r="AD33">
        <f>SUMIFS($F$3:$F$253,$C$3:$C$253,$N33,$D$3:$D$253,R$2)</f>
        <v>178.6</v>
      </c>
      <c r="AE33">
        <f>AVERAGEIFS($I$3:$I$253,$C$3:$C$253,$N33)</f>
        <v>19</v>
      </c>
      <c r="AF33" t="e">
        <f>AVERAGEIFS($I$3:$I$253,$C$3:$C$253,$N33,$D$3:$D$253,P$2)</f>
        <v>#DIV/0!</v>
      </c>
      <c r="AG33" t="e">
        <f>AVERAGEIFS($I$3:$I$253,$C$3:$C$253,$N33,$D$3:$D$253,Q$2)</f>
        <v>#DIV/0!</v>
      </c>
      <c r="AH33">
        <f>AVERAGEIFS($I$3:$I$253,$C$3:$C$253,$N33,$D$3:$D$253,R$2)</f>
        <v>19</v>
      </c>
      <c r="AI33">
        <f t="shared" si="11"/>
        <v>1.175</v>
      </c>
      <c r="AJ33" t="str">
        <f t="shared" si="12"/>
        <v>-</v>
      </c>
      <c r="AK33" t="str">
        <f t="shared" si="13"/>
        <v>-</v>
      </c>
      <c r="AL33">
        <f t="shared" si="14"/>
        <v>1.175</v>
      </c>
      <c r="AM33">
        <f>SUMIFS($G$3:$G$253,$C$3:$C$253,$N33)</f>
        <v>140.30000000000001</v>
      </c>
      <c r="AN33">
        <f>SUMIFS($G$3:$G$253,$C$3:$C$253,$N33,$D$3:$D$253,P$2)</f>
        <v>0</v>
      </c>
      <c r="AO33">
        <f>SUMIFS($G$3:$G$253,$C$3:$C$253,$N33,$D$3:$D$253,Q$2)</f>
        <v>0</v>
      </c>
      <c r="AP33">
        <f>SUMIFS($G$3:$G$253,$C$3:$C$253,$N33,$D$3:$D$253,R$2)</f>
        <v>140.30000000000001</v>
      </c>
      <c r="AQ33">
        <f>AVERAGEIFS($J$3:$J$253,$C$3:$C$253,$N33)</f>
        <v>16</v>
      </c>
      <c r="AR33" t="e">
        <f>AVERAGEIFS($J$3:$J$253,$C$3:$C$253,$N33,$D$3:$D$253,P$2)</f>
        <v>#DIV/0!</v>
      </c>
      <c r="AS33" t="e">
        <f>AVERAGEIFS($J$3:$J$253,$C$3:$C$253,$N33,$D$3:$D$253,Q$2)</f>
        <v>#DIV/0!</v>
      </c>
      <c r="AT33">
        <f>AVERAGEIFS($J$3:$J$253,$C$3:$C$253,$N33,$D$3:$D$253,R$2)</f>
        <v>16</v>
      </c>
      <c r="AU33">
        <f t="shared" si="15"/>
        <v>1.0960937500000001</v>
      </c>
      <c r="AV33" t="str">
        <f t="shared" si="16"/>
        <v>-</v>
      </c>
      <c r="AW33" t="str">
        <f t="shared" si="17"/>
        <v>-</v>
      </c>
      <c r="AX33">
        <f t="shared" si="18"/>
        <v>1.0960937500000001</v>
      </c>
    </row>
    <row r="34" spans="1:50" x14ac:dyDescent="0.45">
      <c r="A34">
        <v>1210019</v>
      </c>
      <c r="B34" t="str">
        <f>_xlfn.XLOOKUP(A34,monthly_work_hours!A:A,monthly_work_hours!B:B)</f>
        <v>심재덕</v>
      </c>
      <c r="C34" t="str">
        <f>_xlfn.XLOOKUP(A34,monthly_work_hours!A:A,monthly_work_hours!E:E)</f>
        <v>상생협력팀</v>
      </c>
      <c r="D34" t="str">
        <f>_xlfn.XLOOKUP(A34,monthly_work_hours!A:A,monthly_work_hours!F:F)</f>
        <v>책임</v>
      </c>
      <c r="E34">
        <f>SUMIFS(monthly_work_hours!$M:$M,monthly_work_hours!$A:$A,'FTE 계산'!$A34,monthly_work_hours!$H:$H,'FTE 계산'!E$2)</f>
        <v>194.7</v>
      </c>
      <c r="F34">
        <f>SUMIFS(monthly_work_hours!$M:$M,monthly_work_hours!$A:$A,'FTE 계산'!$A34,monthly_work_hours!$H:$H,'FTE 계산'!F$2)</f>
        <v>209.5</v>
      </c>
      <c r="G34">
        <f>SUMIFS(monthly_work_hours!$M:$M,monthly_work_hours!$A:$A,'FTE 계산'!$A34,monthly_work_hours!$H:$H,'FTE 계산'!G$2)</f>
        <v>174.7</v>
      </c>
      <c r="H34">
        <f>(SUMIFS(monthly_work_hours!$I:$I,monthly_work_hours!$A:$A,'FTE 계산'!$A34,monthly_work_hours!$H:$H,'FTE 계산'!H$2)) - (SUMIFS(monthly_work_hours!$L:$L,monthly_work_hours!$A:$A,'FTE 계산'!$A34,monthly_work_hours!$H:$H,'FTE 계산'!H$2))</f>
        <v>18</v>
      </c>
      <c r="I34">
        <f>(SUMIFS(monthly_work_hours!$I:$I,monthly_work_hours!$A:$A,'FTE 계산'!$A34,monthly_work_hours!$H:$H,'FTE 계산'!I$2)) - (SUMIFS(monthly_work_hours!$L:$L,monthly_work_hours!$A:$A,'FTE 계산'!$A34,monthly_work_hours!$H:$H,'FTE 계산'!I$2))</f>
        <v>19</v>
      </c>
      <c r="J34">
        <f>(SUMIFS(monthly_work_hours!$I:$I,monthly_work_hours!$A:$A,'FTE 계산'!$A34,monthly_work_hours!$H:$H,'FTE 계산'!J$2)) - (SUMIFS(monthly_work_hours!$L:$L,monthly_work_hours!$A:$A,'FTE 계산'!$A34,monthly_work_hours!$H:$H,'FTE 계산'!J$2))</f>
        <v>16</v>
      </c>
    </row>
    <row r="35" spans="1:50" x14ac:dyDescent="0.45">
      <c r="A35">
        <v>1210020</v>
      </c>
      <c r="B35" t="str">
        <f>_xlfn.XLOOKUP(A35,monthly_work_hours!A:A,monthly_work_hours!B:B)</f>
        <v>오정민</v>
      </c>
      <c r="C35" t="str">
        <f>_xlfn.XLOOKUP(A35,monthly_work_hours!A:A,monthly_work_hours!E:E)</f>
        <v>성능개발팀</v>
      </c>
      <c r="D35" t="str">
        <f>_xlfn.XLOOKUP(A35,monthly_work_hours!A:A,monthly_work_hours!F:F)</f>
        <v>책임</v>
      </c>
      <c r="E35">
        <f>SUMIFS(monthly_work_hours!$M:$M,monthly_work_hours!$A:$A,'FTE 계산'!$A35,monthly_work_hours!$H:$H,'FTE 계산'!E$2)</f>
        <v>171.4</v>
      </c>
      <c r="F35">
        <f>SUMIFS(monthly_work_hours!$M:$M,monthly_work_hours!$A:$A,'FTE 계산'!$A35,monthly_work_hours!$H:$H,'FTE 계산'!F$2)</f>
        <v>180.7</v>
      </c>
      <c r="G35">
        <f>SUMIFS(monthly_work_hours!$M:$M,monthly_work_hours!$A:$A,'FTE 계산'!$A35,monthly_work_hours!$H:$H,'FTE 계산'!G$2)</f>
        <v>147.9</v>
      </c>
      <c r="H35">
        <f>(SUMIFS(monthly_work_hours!$I:$I,monthly_work_hours!$A:$A,'FTE 계산'!$A35,monthly_work_hours!$H:$H,'FTE 계산'!H$2)) - (SUMIFS(monthly_work_hours!$L:$L,monthly_work_hours!$A:$A,'FTE 계산'!$A35,monthly_work_hours!$H:$H,'FTE 계산'!H$2))</f>
        <v>19</v>
      </c>
      <c r="I35">
        <f>(SUMIFS(monthly_work_hours!$I:$I,monthly_work_hours!$A:$A,'FTE 계산'!$A35,monthly_work_hours!$H:$H,'FTE 계산'!I$2)) - (SUMIFS(monthly_work_hours!$L:$L,monthly_work_hours!$A:$A,'FTE 계산'!$A35,monthly_work_hours!$H:$H,'FTE 계산'!I$2))</f>
        <v>19</v>
      </c>
      <c r="J35">
        <f>(SUMIFS(monthly_work_hours!$I:$I,monthly_work_hours!$A:$A,'FTE 계산'!$A35,monthly_work_hours!$H:$H,'FTE 계산'!J$2)) - (SUMIFS(monthly_work_hours!$L:$L,monthly_work_hours!$A:$A,'FTE 계산'!$A35,monthly_work_hours!$H:$H,'FTE 계산'!J$2))</f>
        <v>16</v>
      </c>
    </row>
    <row r="36" spans="1:50" x14ac:dyDescent="0.45">
      <c r="A36">
        <v>1210021</v>
      </c>
      <c r="B36" t="str">
        <f>_xlfn.XLOOKUP(A36,monthly_work_hours!A:A,monthly_work_hours!B:B)</f>
        <v>이대희</v>
      </c>
      <c r="C36" t="str">
        <f>_xlfn.XLOOKUP(A36,monthly_work_hours!A:A,monthly_work_hours!E:E)</f>
        <v>관체사업팀</v>
      </c>
      <c r="D36" t="str">
        <f>_xlfn.XLOOKUP(A36,monthly_work_hours!A:A,monthly_work_hours!F:F)</f>
        <v>책임</v>
      </c>
      <c r="E36">
        <f>SUMIFS(monthly_work_hours!$M:$M,monthly_work_hours!$A:$A,'FTE 계산'!$A36,monthly_work_hours!$H:$H,'FTE 계산'!E$2)</f>
        <v>191.8</v>
      </c>
      <c r="F36">
        <f>SUMIFS(monthly_work_hours!$M:$M,monthly_work_hours!$A:$A,'FTE 계산'!$A36,monthly_work_hours!$H:$H,'FTE 계산'!F$2)</f>
        <v>197.2</v>
      </c>
      <c r="G36">
        <f>SUMIFS(monthly_work_hours!$M:$M,monthly_work_hours!$A:$A,'FTE 계산'!$A36,monthly_work_hours!$H:$H,'FTE 계산'!G$2)</f>
        <v>166.7</v>
      </c>
      <c r="H36">
        <f>(SUMIFS(monthly_work_hours!$I:$I,monthly_work_hours!$A:$A,'FTE 계산'!$A36,monthly_work_hours!$H:$H,'FTE 계산'!H$2)) - (SUMIFS(monthly_work_hours!$L:$L,monthly_work_hours!$A:$A,'FTE 계산'!$A36,monthly_work_hours!$H:$H,'FTE 계산'!H$2))</f>
        <v>18</v>
      </c>
      <c r="I36">
        <f>(SUMIFS(monthly_work_hours!$I:$I,monthly_work_hours!$A:$A,'FTE 계산'!$A36,monthly_work_hours!$H:$H,'FTE 계산'!I$2)) - (SUMIFS(monthly_work_hours!$L:$L,monthly_work_hours!$A:$A,'FTE 계산'!$A36,monthly_work_hours!$H:$H,'FTE 계산'!I$2))</f>
        <v>18</v>
      </c>
      <c r="J36">
        <f>(SUMIFS(monthly_work_hours!$I:$I,monthly_work_hours!$A:$A,'FTE 계산'!$A36,monthly_work_hours!$H:$H,'FTE 계산'!J$2)) - (SUMIFS(monthly_work_hours!$L:$L,monthly_work_hours!$A:$A,'FTE 계산'!$A36,monthly_work_hours!$H:$H,'FTE 계산'!J$2))</f>
        <v>16</v>
      </c>
    </row>
    <row r="37" spans="1:50" x14ac:dyDescent="0.45">
      <c r="A37">
        <v>1210025</v>
      </c>
      <c r="B37" t="str">
        <f>_xlfn.XLOOKUP(A37,monthly_work_hours!A:A,monthly_work_hours!B:B)</f>
        <v>이주화</v>
      </c>
      <c r="C37" t="str">
        <f>_xlfn.XLOOKUP(A37,monthly_work_hours!A:A,monthly_work_hours!E:E)</f>
        <v>SL운영팀</v>
      </c>
      <c r="D37" t="str">
        <f>_xlfn.XLOOKUP(A37,monthly_work_hours!A:A,monthly_work_hours!F:F)</f>
        <v>책임</v>
      </c>
      <c r="E37">
        <f>SUMIFS(monthly_work_hours!$M:$M,monthly_work_hours!$A:$A,'FTE 계산'!$A37,monthly_work_hours!$H:$H,'FTE 계산'!E$2)</f>
        <v>195.7</v>
      </c>
      <c r="F37">
        <f>SUMIFS(monthly_work_hours!$M:$M,monthly_work_hours!$A:$A,'FTE 계산'!$A37,monthly_work_hours!$H:$H,'FTE 계산'!F$2)</f>
        <v>178.4</v>
      </c>
      <c r="G37">
        <f>SUMIFS(monthly_work_hours!$M:$M,monthly_work_hours!$A:$A,'FTE 계산'!$A37,monthly_work_hours!$H:$H,'FTE 계산'!G$2)</f>
        <v>149.19999999999999</v>
      </c>
      <c r="H37">
        <f>(SUMIFS(monthly_work_hours!$I:$I,monthly_work_hours!$A:$A,'FTE 계산'!$A37,monthly_work_hours!$H:$H,'FTE 계산'!H$2)) - (SUMIFS(monthly_work_hours!$L:$L,monthly_work_hours!$A:$A,'FTE 계산'!$A37,monthly_work_hours!$H:$H,'FTE 계산'!H$2))</f>
        <v>19</v>
      </c>
      <c r="I37">
        <f>(SUMIFS(monthly_work_hours!$I:$I,monthly_work_hours!$A:$A,'FTE 계산'!$A37,monthly_work_hours!$H:$H,'FTE 계산'!I$2)) - (SUMIFS(monthly_work_hours!$L:$L,monthly_work_hours!$A:$A,'FTE 계산'!$A37,monthly_work_hours!$H:$H,'FTE 계산'!I$2))</f>
        <v>17</v>
      </c>
      <c r="J37">
        <f>(SUMIFS(monthly_work_hours!$I:$I,monthly_work_hours!$A:$A,'FTE 계산'!$A37,monthly_work_hours!$H:$H,'FTE 계산'!J$2)) - (SUMIFS(monthly_work_hours!$L:$L,monthly_work_hours!$A:$A,'FTE 계산'!$A37,monthly_work_hours!$H:$H,'FTE 계산'!J$2))</f>
        <v>15</v>
      </c>
    </row>
    <row r="38" spans="1:50" x14ac:dyDescent="0.45">
      <c r="A38">
        <v>1210026</v>
      </c>
      <c r="B38" t="str">
        <f>_xlfn.XLOOKUP(A38,monthly_work_hours!A:A,monthly_work_hours!B:B)</f>
        <v>안창용</v>
      </c>
      <c r="C38" t="str">
        <f>_xlfn.XLOOKUP(A38,monthly_work_hours!A:A,monthly_work_hours!E:E)</f>
        <v>SCM팀</v>
      </c>
      <c r="D38" t="str">
        <f>_xlfn.XLOOKUP(A38,monthly_work_hours!A:A,monthly_work_hours!F:F)</f>
        <v>책임</v>
      </c>
      <c r="E38">
        <f>SUMIFS(monthly_work_hours!$M:$M,monthly_work_hours!$A:$A,'FTE 계산'!$A38,monthly_work_hours!$H:$H,'FTE 계산'!E$2)</f>
        <v>142.4</v>
      </c>
      <c r="F38">
        <f>SUMIFS(monthly_work_hours!$M:$M,monthly_work_hours!$A:$A,'FTE 계산'!$A38,monthly_work_hours!$H:$H,'FTE 계산'!F$2)</f>
        <v>156.30000000000001</v>
      </c>
      <c r="G38">
        <f>SUMIFS(monthly_work_hours!$M:$M,monthly_work_hours!$A:$A,'FTE 계산'!$A38,monthly_work_hours!$H:$H,'FTE 계산'!G$2)</f>
        <v>144.6</v>
      </c>
      <c r="H38">
        <f>(SUMIFS(monthly_work_hours!$I:$I,monthly_work_hours!$A:$A,'FTE 계산'!$A38,monthly_work_hours!$H:$H,'FTE 계산'!H$2)) - (SUMIFS(monthly_work_hours!$L:$L,monthly_work_hours!$A:$A,'FTE 계산'!$A38,monthly_work_hours!$H:$H,'FTE 계산'!H$2))</f>
        <v>17</v>
      </c>
      <c r="I38">
        <f>(SUMIFS(monthly_work_hours!$I:$I,monthly_work_hours!$A:$A,'FTE 계산'!$A38,monthly_work_hours!$H:$H,'FTE 계산'!I$2)) - (SUMIFS(monthly_work_hours!$L:$L,monthly_work_hours!$A:$A,'FTE 계산'!$A38,monthly_work_hours!$H:$H,'FTE 계산'!I$2))</f>
        <v>19</v>
      </c>
      <c r="J38">
        <f>(SUMIFS(monthly_work_hours!$I:$I,monthly_work_hours!$A:$A,'FTE 계산'!$A38,monthly_work_hours!$H:$H,'FTE 계산'!J$2)) - (SUMIFS(monthly_work_hours!$L:$L,monthly_work_hours!$A:$A,'FTE 계산'!$A38,monthly_work_hours!$H:$H,'FTE 계산'!J$2))</f>
        <v>17</v>
      </c>
    </row>
    <row r="39" spans="1:50" x14ac:dyDescent="0.45">
      <c r="A39">
        <v>1210111</v>
      </c>
      <c r="B39" t="str">
        <f>_xlfn.XLOOKUP(A39,monthly_work_hours!A:A,monthly_work_hours!B:B)</f>
        <v>이재현</v>
      </c>
      <c r="C39" t="str">
        <f>_xlfn.XLOOKUP(A39,monthly_work_hours!A:A,monthly_work_hours!E:E)</f>
        <v>SL품질보증팀</v>
      </c>
      <c r="D39" t="str">
        <f>_xlfn.XLOOKUP(A39,monthly_work_hours!A:A,monthly_work_hours!F:F)</f>
        <v>책임</v>
      </c>
      <c r="E39">
        <f>SUMIFS(monthly_work_hours!$M:$M,monthly_work_hours!$A:$A,'FTE 계산'!$A39,monthly_work_hours!$H:$H,'FTE 계산'!E$2)</f>
        <v>159.19999999999999</v>
      </c>
      <c r="F39">
        <f>SUMIFS(monthly_work_hours!$M:$M,monthly_work_hours!$A:$A,'FTE 계산'!$A39,monthly_work_hours!$H:$H,'FTE 계산'!F$2)</f>
        <v>175</v>
      </c>
      <c r="G39">
        <f>SUMIFS(monthly_work_hours!$M:$M,monthly_work_hours!$A:$A,'FTE 계산'!$A39,monthly_work_hours!$H:$H,'FTE 계산'!G$2)</f>
        <v>144.80000000000001</v>
      </c>
      <c r="H39">
        <f>(SUMIFS(monthly_work_hours!$I:$I,monthly_work_hours!$A:$A,'FTE 계산'!$A39,monthly_work_hours!$H:$H,'FTE 계산'!H$2)) - (SUMIFS(monthly_work_hours!$L:$L,monthly_work_hours!$A:$A,'FTE 계산'!$A39,monthly_work_hours!$H:$H,'FTE 계산'!H$2))</f>
        <v>17</v>
      </c>
      <c r="I39">
        <f>(SUMIFS(monthly_work_hours!$I:$I,monthly_work_hours!$A:$A,'FTE 계산'!$A39,monthly_work_hours!$H:$H,'FTE 계산'!I$2)) - (SUMIFS(monthly_work_hours!$L:$L,monthly_work_hours!$A:$A,'FTE 계산'!$A39,monthly_work_hours!$H:$H,'FTE 계산'!I$2))</f>
        <v>18</v>
      </c>
      <c r="J39">
        <f>(SUMIFS(monthly_work_hours!$I:$I,monthly_work_hours!$A:$A,'FTE 계산'!$A39,monthly_work_hours!$H:$H,'FTE 계산'!J$2)) - (SUMIFS(monthly_work_hours!$L:$L,monthly_work_hours!$A:$A,'FTE 계산'!$A39,monthly_work_hours!$H:$H,'FTE 계산'!J$2))</f>
        <v>16</v>
      </c>
    </row>
    <row r="40" spans="1:50" x14ac:dyDescent="0.45">
      <c r="A40">
        <v>1210115</v>
      </c>
      <c r="B40" t="str">
        <f>_xlfn.XLOOKUP(A40,monthly_work_hours!A:A,monthly_work_hours!B:B)</f>
        <v>박기수</v>
      </c>
      <c r="C40" t="str">
        <f>_xlfn.XLOOKUP(A40,monthly_work_hours!A:A,monthly_work_hours!E:E)</f>
        <v>FL개발팀</v>
      </c>
      <c r="D40" t="str">
        <f>_xlfn.XLOOKUP(A40,monthly_work_hours!A:A,monthly_work_hours!F:F)</f>
        <v>선임</v>
      </c>
      <c r="E40">
        <f>SUMIFS(monthly_work_hours!$M:$M,monthly_work_hours!$A:$A,'FTE 계산'!$A40,monthly_work_hours!$H:$H,'FTE 계산'!E$2)</f>
        <v>198.3</v>
      </c>
      <c r="F40">
        <f>SUMIFS(monthly_work_hours!$M:$M,monthly_work_hours!$A:$A,'FTE 계산'!$A40,monthly_work_hours!$H:$H,'FTE 계산'!F$2)</f>
        <v>212.5</v>
      </c>
      <c r="G40">
        <f>SUMIFS(monthly_work_hours!$M:$M,monthly_work_hours!$A:$A,'FTE 계산'!$A40,monthly_work_hours!$H:$H,'FTE 계산'!G$2)</f>
        <v>143</v>
      </c>
      <c r="H40">
        <f>(SUMIFS(monthly_work_hours!$I:$I,monthly_work_hours!$A:$A,'FTE 계산'!$A40,monthly_work_hours!$H:$H,'FTE 계산'!H$2)) - (SUMIFS(monthly_work_hours!$L:$L,monthly_work_hours!$A:$A,'FTE 계산'!$A40,monthly_work_hours!$H:$H,'FTE 계산'!H$2))</f>
        <v>16</v>
      </c>
      <c r="I40">
        <f>(SUMIFS(monthly_work_hours!$I:$I,monthly_work_hours!$A:$A,'FTE 계산'!$A40,monthly_work_hours!$H:$H,'FTE 계산'!I$2)) - (SUMIFS(monthly_work_hours!$L:$L,monthly_work_hours!$A:$A,'FTE 계산'!$A40,monthly_work_hours!$H:$H,'FTE 계산'!I$2))</f>
        <v>17</v>
      </c>
      <c r="J40">
        <f>(SUMIFS(monthly_work_hours!$I:$I,monthly_work_hours!$A:$A,'FTE 계산'!$A40,monthly_work_hours!$H:$H,'FTE 계산'!J$2)) - (SUMIFS(monthly_work_hours!$L:$L,monthly_work_hours!$A:$A,'FTE 계산'!$A40,monthly_work_hours!$H:$H,'FTE 계산'!J$2))</f>
        <v>15</v>
      </c>
    </row>
    <row r="41" spans="1:50" x14ac:dyDescent="0.45">
      <c r="A41">
        <v>1210154</v>
      </c>
      <c r="B41" t="str">
        <f>_xlfn.XLOOKUP(A41,monthly_work_hours!A:A,monthly_work_hours!B:B)</f>
        <v>신상훈</v>
      </c>
      <c r="C41" t="str">
        <f>_xlfn.XLOOKUP(A41,monthly_work_hours!A:A,monthly_work_hours!E:E)</f>
        <v>상생협력팀</v>
      </c>
      <c r="D41" t="str">
        <f>_xlfn.XLOOKUP(A41,monthly_work_hours!A:A,monthly_work_hours!F:F)</f>
        <v>책임</v>
      </c>
      <c r="E41">
        <f>SUMIFS(monthly_work_hours!$M:$M,monthly_work_hours!$A:$A,'FTE 계산'!$A41,monthly_work_hours!$H:$H,'FTE 계산'!E$2)</f>
        <v>208.4</v>
      </c>
      <c r="F41">
        <f>SUMIFS(monthly_work_hours!$M:$M,monthly_work_hours!$A:$A,'FTE 계산'!$A41,monthly_work_hours!$H:$H,'FTE 계산'!F$2)</f>
        <v>234.3</v>
      </c>
      <c r="G41">
        <f>SUMIFS(monthly_work_hours!$M:$M,monthly_work_hours!$A:$A,'FTE 계산'!$A41,monthly_work_hours!$H:$H,'FTE 계산'!G$2)</f>
        <v>181.7</v>
      </c>
      <c r="H41">
        <f>(SUMIFS(monthly_work_hours!$I:$I,monthly_work_hours!$A:$A,'FTE 계산'!$A41,monthly_work_hours!$H:$H,'FTE 계산'!H$2)) - (SUMIFS(monthly_work_hours!$L:$L,monthly_work_hours!$A:$A,'FTE 계산'!$A41,monthly_work_hours!$H:$H,'FTE 계산'!H$2))</f>
        <v>19</v>
      </c>
      <c r="I41">
        <f>(SUMIFS(monthly_work_hours!$I:$I,monthly_work_hours!$A:$A,'FTE 계산'!$A41,monthly_work_hours!$H:$H,'FTE 계산'!I$2)) - (SUMIFS(monthly_work_hours!$L:$L,monthly_work_hours!$A:$A,'FTE 계산'!$A41,monthly_work_hours!$H:$H,'FTE 계산'!I$2))</f>
        <v>20</v>
      </c>
      <c r="J41">
        <f>(SUMIFS(monthly_work_hours!$I:$I,monthly_work_hours!$A:$A,'FTE 계산'!$A41,monthly_work_hours!$H:$H,'FTE 계산'!J$2)) - (SUMIFS(monthly_work_hours!$L:$L,monthly_work_hours!$A:$A,'FTE 계산'!$A41,monthly_work_hours!$H:$H,'FTE 계산'!J$2))</f>
        <v>16</v>
      </c>
    </row>
    <row r="42" spans="1:50" x14ac:dyDescent="0.45">
      <c r="A42">
        <v>1210237</v>
      </c>
      <c r="B42" t="str">
        <f>_xlfn.XLOOKUP(A42,monthly_work_hours!A:A,monthly_work_hours!B:B)</f>
        <v>유호남</v>
      </c>
      <c r="C42" t="str">
        <f>_xlfn.XLOOKUP(A42,monthly_work_hours!A:A,monthly_work_hours!E:E)</f>
        <v>FL영업팀</v>
      </c>
      <c r="D42" t="str">
        <f>_xlfn.XLOOKUP(A42,monthly_work_hours!A:A,monthly_work_hours!F:F)</f>
        <v>책임</v>
      </c>
      <c r="E42">
        <f>SUMIFS(monthly_work_hours!$M:$M,monthly_work_hours!$A:$A,'FTE 계산'!$A42,monthly_work_hours!$H:$H,'FTE 계산'!E$2)</f>
        <v>242.4</v>
      </c>
      <c r="F42">
        <f>SUMIFS(monthly_work_hours!$M:$M,monthly_work_hours!$A:$A,'FTE 계산'!$A42,monthly_work_hours!$H:$H,'FTE 계산'!F$2)</f>
        <v>209.8</v>
      </c>
      <c r="G42">
        <f>SUMIFS(monthly_work_hours!$M:$M,monthly_work_hours!$A:$A,'FTE 계산'!$A42,monthly_work_hours!$H:$H,'FTE 계산'!G$2)</f>
        <v>170.8</v>
      </c>
      <c r="H42">
        <f>(SUMIFS(monthly_work_hours!$I:$I,monthly_work_hours!$A:$A,'FTE 계산'!$A42,monthly_work_hours!$H:$H,'FTE 계산'!H$2)) - (SUMIFS(monthly_work_hours!$L:$L,monthly_work_hours!$A:$A,'FTE 계산'!$A42,monthly_work_hours!$H:$H,'FTE 계산'!H$2))</f>
        <v>19</v>
      </c>
      <c r="I42">
        <f>(SUMIFS(monthly_work_hours!$I:$I,monthly_work_hours!$A:$A,'FTE 계산'!$A42,monthly_work_hours!$H:$H,'FTE 계산'!I$2)) - (SUMIFS(monthly_work_hours!$L:$L,monthly_work_hours!$A:$A,'FTE 계산'!$A42,monthly_work_hours!$H:$H,'FTE 계산'!I$2))</f>
        <v>18</v>
      </c>
      <c r="J42">
        <f>(SUMIFS(monthly_work_hours!$I:$I,monthly_work_hours!$A:$A,'FTE 계산'!$A42,monthly_work_hours!$H:$H,'FTE 계산'!J$2)) - (SUMIFS(monthly_work_hours!$L:$L,monthly_work_hours!$A:$A,'FTE 계산'!$A42,monthly_work_hours!$H:$H,'FTE 계산'!J$2))</f>
        <v>14</v>
      </c>
    </row>
    <row r="43" spans="1:50" x14ac:dyDescent="0.45">
      <c r="A43">
        <v>1211015</v>
      </c>
      <c r="B43" t="str">
        <f>_xlfn.XLOOKUP(A43,monthly_work_hours!A:A,monthly_work_hours!B:B)</f>
        <v>박상진</v>
      </c>
      <c r="C43" t="str">
        <f>_xlfn.XLOOKUP(A43,monthly_work_hours!A:A,monthly_work_hours!E:E)</f>
        <v>SL구매팀</v>
      </c>
      <c r="D43" t="str">
        <f>_xlfn.XLOOKUP(A43,monthly_work_hours!A:A,monthly_work_hours!F:F)</f>
        <v>선임</v>
      </c>
      <c r="E43">
        <f>SUMIFS(monthly_work_hours!$M:$M,monthly_work_hours!$A:$A,'FTE 계산'!$A43,monthly_work_hours!$H:$H,'FTE 계산'!E$2)</f>
        <v>149.6</v>
      </c>
      <c r="F43">
        <f>SUMIFS(monthly_work_hours!$M:$M,monthly_work_hours!$A:$A,'FTE 계산'!$A43,monthly_work_hours!$H:$H,'FTE 계산'!F$2)</f>
        <v>107</v>
      </c>
      <c r="G43">
        <f>SUMIFS(monthly_work_hours!$M:$M,monthly_work_hours!$A:$A,'FTE 계산'!$A43,monthly_work_hours!$H:$H,'FTE 계산'!G$2)</f>
        <v>86.3</v>
      </c>
      <c r="H43">
        <f>(SUMIFS(monthly_work_hours!$I:$I,monthly_work_hours!$A:$A,'FTE 계산'!$A43,monthly_work_hours!$H:$H,'FTE 계산'!H$2)) - (SUMIFS(monthly_work_hours!$L:$L,monthly_work_hours!$A:$A,'FTE 계산'!$A43,monthly_work_hours!$H:$H,'FTE 계산'!H$2))</f>
        <v>15</v>
      </c>
      <c r="I43">
        <f>(SUMIFS(monthly_work_hours!$I:$I,monthly_work_hours!$A:$A,'FTE 계산'!$A43,monthly_work_hours!$H:$H,'FTE 계산'!I$2)) - (SUMIFS(monthly_work_hours!$L:$L,monthly_work_hours!$A:$A,'FTE 계산'!$A43,monthly_work_hours!$H:$H,'FTE 계산'!I$2))</f>
        <v>11</v>
      </c>
      <c r="J43">
        <f>(SUMIFS(monthly_work_hours!$I:$I,monthly_work_hours!$A:$A,'FTE 계산'!$A43,monthly_work_hours!$H:$H,'FTE 계산'!J$2)) - (SUMIFS(monthly_work_hours!$L:$L,monthly_work_hours!$A:$A,'FTE 계산'!$A43,monthly_work_hours!$H:$H,'FTE 계산'!J$2))</f>
        <v>11</v>
      </c>
    </row>
    <row r="44" spans="1:50" x14ac:dyDescent="0.45">
      <c r="A44">
        <v>1211016</v>
      </c>
      <c r="B44" t="str">
        <f>_xlfn.XLOOKUP(A44,monthly_work_hours!A:A,monthly_work_hours!B:B)</f>
        <v>조진웅</v>
      </c>
      <c r="C44" t="str">
        <f>_xlfn.XLOOKUP(A44,monthly_work_hours!A:A,monthly_work_hours!E:E)</f>
        <v>SL품질보증팀</v>
      </c>
      <c r="D44" t="str">
        <f>_xlfn.XLOOKUP(A44,monthly_work_hours!A:A,monthly_work_hours!F:F)</f>
        <v>선임</v>
      </c>
      <c r="E44">
        <f>SUMIFS(monthly_work_hours!$M:$M,monthly_work_hours!$A:$A,'FTE 계산'!$A44,monthly_work_hours!$H:$H,'FTE 계산'!E$2)</f>
        <v>111.1</v>
      </c>
      <c r="F44">
        <f>SUMIFS(monthly_work_hours!$M:$M,monthly_work_hours!$A:$A,'FTE 계산'!$A44,monthly_work_hours!$H:$H,'FTE 계산'!F$2)</f>
        <v>115.8</v>
      </c>
      <c r="G44">
        <f>SUMIFS(monthly_work_hours!$M:$M,monthly_work_hours!$A:$A,'FTE 계산'!$A44,monthly_work_hours!$H:$H,'FTE 계산'!G$2)</f>
        <v>111.4</v>
      </c>
      <c r="H44">
        <f>(SUMIFS(monthly_work_hours!$I:$I,monthly_work_hours!$A:$A,'FTE 계산'!$A44,monthly_work_hours!$H:$H,'FTE 계산'!H$2)) - (SUMIFS(monthly_work_hours!$L:$L,monthly_work_hours!$A:$A,'FTE 계산'!$A44,monthly_work_hours!$H:$H,'FTE 계산'!H$2))</f>
        <v>14</v>
      </c>
      <c r="I44">
        <f>(SUMIFS(monthly_work_hours!$I:$I,monthly_work_hours!$A:$A,'FTE 계산'!$A44,monthly_work_hours!$H:$H,'FTE 계산'!I$2)) - (SUMIFS(monthly_work_hours!$L:$L,monthly_work_hours!$A:$A,'FTE 계산'!$A44,monthly_work_hours!$H:$H,'FTE 계산'!I$2))</f>
        <v>16</v>
      </c>
      <c r="J44">
        <f>(SUMIFS(monthly_work_hours!$I:$I,monthly_work_hours!$A:$A,'FTE 계산'!$A44,monthly_work_hours!$H:$H,'FTE 계산'!J$2)) - (SUMIFS(monthly_work_hours!$L:$L,monthly_work_hours!$A:$A,'FTE 계산'!$A44,monthly_work_hours!$H:$H,'FTE 계산'!J$2))</f>
        <v>15</v>
      </c>
    </row>
    <row r="45" spans="1:50" x14ac:dyDescent="0.45">
      <c r="A45">
        <v>1211018</v>
      </c>
      <c r="B45" t="str">
        <f>_xlfn.XLOOKUP(A45,monthly_work_hours!A:A,monthly_work_hours!B:B)</f>
        <v>양천광</v>
      </c>
      <c r="C45" t="str">
        <f>_xlfn.XLOOKUP(A45,monthly_work_hours!A:A,monthly_work_hours!E:E)</f>
        <v>품질경영팀</v>
      </c>
      <c r="D45" t="str">
        <f>_xlfn.XLOOKUP(A45,monthly_work_hours!A:A,monthly_work_hours!F:F)</f>
        <v>선임</v>
      </c>
      <c r="E45">
        <f>SUMIFS(monthly_work_hours!$M:$M,monthly_work_hours!$A:$A,'FTE 계산'!$A45,monthly_work_hours!$H:$H,'FTE 계산'!E$2)</f>
        <v>153.6</v>
      </c>
      <c r="F45">
        <f>SUMIFS(monthly_work_hours!$M:$M,monthly_work_hours!$A:$A,'FTE 계산'!$A45,monthly_work_hours!$H:$H,'FTE 계산'!F$2)</f>
        <v>143.19999999999999</v>
      </c>
      <c r="G45">
        <f>SUMIFS(monthly_work_hours!$M:$M,monthly_work_hours!$A:$A,'FTE 계산'!$A45,monthly_work_hours!$H:$H,'FTE 계산'!G$2)</f>
        <v>125.3</v>
      </c>
      <c r="H45">
        <f>(SUMIFS(monthly_work_hours!$I:$I,monthly_work_hours!$A:$A,'FTE 계산'!$A45,monthly_work_hours!$H:$H,'FTE 계산'!H$2)) - (SUMIFS(monthly_work_hours!$L:$L,monthly_work_hours!$A:$A,'FTE 계산'!$A45,monthly_work_hours!$H:$H,'FTE 계산'!H$2))</f>
        <v>17</v>
      </c>
      <c r="I45">
        <f>(SUMIFS(monthly_work_hours!$I:$I,monthly_work_hours!$A:$A,'FTE 계산'!$A45,monthly_work_hours!$H:$H,'FTE 계산'!I$2)) - (SUMIFS(monthly_work_hours!$L:$L,monthly_work_hours!$A:$A,'FTE 계산'!$A45,monthly_work_hours!$H:$H,'FTE 계산'!I$2))</f>
        <v>18</v>
      </c>
      <c r="J45">
        <f>(SUMIFS(monthly_work_hours!$I:$I,monthly_work_hours!$A:$A,'FTE 계산'!$A45,monthly_work_hours!$H:$H,'FTE 계산'!J$2)) - (SUMIFS(monthly_work_hours!$L:$L,monthly_work_hours!$A:$A,'FTE 계산'!$A45,monthly_work_hours!$H:$H,'FTE 계산'!J$2))</f>
        <v>16</v>
      </c>
    </row>
    <row r="46" spans="1:50" x14ac:dyDescent="0.45">
      <c r="A46">
        <v>1211025</v>
      </c>
      <c r="B46" t="str">
        <f>_xlfn.XLOOKUP(A46,monthly_work_hours!A:A,monthly_work_hours!B:B)</f>
        <v>안국현</v>
      </c>
      <c r="C46" t="str">
        <f>_xlfn.XLOOKUP(A46,monthly_work_hours!A:A,monthly_work_hours!E:E)</f>
        <v>SL구매팀</v>
      </c>
      <c r="D46" t="str">
        <f>_xlfn.XLOOKUP(A46,monthly_work_hours!A:A,monthly_work_hours!F:F)</f>
        <v>책임</v>
      </c>
      <c r="E46">
        <f>SUMIFS(monthly_work_hours!$M:$M,monthly_work_hours!$A:$A,'FTE 계산'!$A46,monthly_work_hours!$H:$H,'FTE 계산'!E$2)</f>
        <v>425.7</v>
      </c>
      <c r="F46">
        <f>SUMIFS(monthly_work_hours!$M:$M,monthly_work_hours!$A:$A,'FTE 계산'!$A46,monthly_work_hours!$H:$H,'FTE 계산'!F$2)</f>
        <v>197.1</v>
      </c>
      <c r="G46">
        <f>SUMIFS(monthly_work_hours!$M:$M,monthly_work_hours!$A:$A,'FTE 계산'!$A46,monthly_work_hours!$H:$H,'FTE 계산'!G$2)</f>
        <v>242.3</v>
      </c>
      <c r="H46">
        <f>(SUMIFS(monthly_work_hours!$I:$I,monthly_work_hours!$A:$A,'FTE 계산'!$A46,monthly_work_hours!$H:$H,'FTE 계산'!H$2)) - (SUMIFS(monthly_work_hours!$L:$L,monthly_work_hours!$A:$A,'FTE 계산'!$A46,monthly_work_hours!$H:$H,'FTE 계산'!H$2))</f>
        <v>20</v>
      </c>
      <c r="I46">
        <f>(SUMIFS(monthly_work_hours!$I:$I,monthly_work_hours!$A:$A,'FTE 계산'!$A46,monthly_work_hours!$H:$H,'FTE 계산'!I$2)) - (SUMIFS(monthly_work_hours!$L:$L,monthly_work_hours!$A:$A,'FTE 계산'!$A46,monthly_work_hours!$H:$H,'FTE 계산'!I$2))</f>
        <v>16</v>
      </c>
      <c r="J46">
        <f>(SUMIFS(monthly_work_hours!$I:$I,monthly_work_hours!$A:$A,'FTE 계산'!$A46,monthly_work_hours!$H:$H,'FTE 계산'!J$2)) - (SUMIFS(monthly_work_hours!$L:$L,monthly_work_hours!$A:$A,'FTE 계산'!$A46,monthly_work_hours!$H:$H,'FTE 계산'!J$2))</f>
        <v>16</v>
      </c>
    </row>
    <row r="47" spans="1:50" x14ac:dyDescent="0.45">
      <c r="A47">
        <v>1211027</v>
      </c>
      <c r="B47" t="str">
        <f>_xlfn.XLOOKUP(A47,monthly_work_hours!A:A,monthly_work_hours!B:B)</f>
        <v>서동귀</v>
      </c>
      <c r="C47" t="str">
        <f>_xlfn.XLOOKUP(A47,monthly_work_hours!A:A,monthly_work_hours!E:E)</f>
        <v>FL개발팀</v>
      </c>
      <c r="D47" t="str">
        <f>_xlfn.XLOOKUP(A47,monthly_work_hours!A:A,monthly_work_hours!F:F)</f>
        <v>책임</v>
      </c>
      <c r="E47">
        <f>SUMIFS(monthly_work_hours!$M:$M,monthly_work_hours!$A:$A,'FTE 계산'!$A47,monthly_work_hours!$H:$H,'FTE 계산'!E$2)</f>
        <v>175.5</v>
      </c>
      <c r="F47">
        <f>SUMIFS(monthly_work_hours!$M:$M,monthly_work_hours!$A:$A,'FTE 계산'!$A47,monthly_work_hours!$H:$H,'FTE 계산'!F$2)</f>
        <v>176</v>
      </c>
      <c r="G47">
        <f>SUMIFS(monthly_work_hours!$M:$M,monthly_work_hours!$A:$A,'FTE 계산'!$A47,monthly_work_hours!$H:$H,'FTE 계산'!G$2)</f>
        <v>149.80000000000001</v>
      </c>
      <c r="H47">
        <f>(SUMIFS(monthly_work_hours!$I:$I,monthly_work_hours!$A:$A,'FTE 계산'!$A47,monthly_work_hours!$H:$H,'FTE 계산'!H$2)) - (SUMIFS(monthly_work_hours!$L:$L,monthly_work_hours!$A:$A,'FTE 계산'!$A47,monthly_work_hours!$H:$H,'FTE 계산'!H$2))</f>
        <v>17</v>
      </c>
      <c r="I47">
        <f>(SUMIFS(monthly_work_hours!$I:$I,monthly_work_hours!$A:$A,'FTE 계산'!$A47,monthly_work_hours!$H:$H,'FTE 계산'!I$2)) - (SUMIFS(monthly_work_hours!$L:$L,monthly_work_hours!$A:$A,'FTE 계산'!$A47,monthly_work_hours!$H:$H,'FTE 계산'!I$2))</f>
        <v>19</v>
      </c>
      <c r="J47">
        <f>(SUMIFS(monthly_work_hours!$I:$I,monthly_work_hours!$A:$A,'FTE 계산'!$A47,monthly_work_hours!$H:$H,'FTE 계산'!J$2)) - (SUMIFS(monthly_work_hours!$L:$L,monthly_work_hours!$A:$A,'FTE 계산'!$A47,monthly_work_hours!$H:$H,'FTE 계산'!J$2))</f>
        <v>16</v>
      </c>
    </row>
    <row r="48" spans="1:50" x14ac:dyDescent="0.45">
      <c r="A48">
        <v>1211030</v>
      </c>
      <c r="B48" t="str">
        <f>_xlfn.XLOOKUP(A48,monthly_work_hours!A:A,monthly_work_hours!B:B)</f>
        <v>정철우</v>
      </c>
      <c r="C48" t="str">
        <f>_xlfn.XLOOKUP(A48,monthly_work_hours!A:A,monthly_work_hours!E:E)</f>
        <v>SL구매팀</v>
      </c>
      <c r="D48" t="str">
        <f>_xlfn.XLOOKUP(A48,monthly_work_hours!A:A,monthly_work_hours!F:F)</f>
        <v>책임</v>
      </c>
      <c r="E48">
        <f>SUMIFS(monthly_work_hours!$M:$M,monthly_work_hours!$A:$A,'FTE 계산'!$A48,monthly_work_hours!$H:$H,'FTE 계산'!E$2)</f>
        <v>163.1</v>
      </c>
      <c r="F48">
        <f>SUMIFS(monthly_work_hours!$M:$M,monthly_work_hours!$A:$A,'FTE 계산'!$A48,monthly_work_hours!$H:$H,'FTE 계산'!F$2)</f>
        <v>182.7</v>
      </c>
      <c r="G48">
        <f>SUMIFS(monthly_work_hours!$M:$M,monthly_work_hours!$A:$A,'FTE 계산'!$A48,monthly_work_hours!$H:$H,'FTE 계산'!G$2)</f>
        <v>121.9</v>
      </c>
      <c r="H48">
        <f>(SUMIFS(monthly_work_hours!$I:$I,monthly_work_hours!$A:$A,'FTE 계산'!$A48,monthly_work_hours!$H:$H,'FTE 계산'!H$2)) - (SUMIFS(monthly_work_hours!$L:$L,monthly_work_hours!$A:$A,'FTE 계산'!$A48,monthly_work_hours!$H:$H,'FTE 계산'!H$2))</f>
        <v>16</v>
      </c>
      <c r="I48">
        <f>(SUMIFS(monthly_work_hours!$I:$I,monthly_work_hours!$A:$A,'FTE 계산'!$A48,monthly_work_hours!$H:$H,'FTE 계산'!I$2)) - (SUMIFS(monthly_work_hours!$L:$L,monthly_work_hours!$A:$A,'FTE 계산'!$A48,monthly_work_hours!$H:$H,'FTE 계산'!I$2))</f>
        <v>18</v>
      </c>
      <c r="J48">
        <f>(SUMIFS(monthly_work_hours!$I:$I,monthly_work_hours!$A:$A,'FTE 계산'!$A48,monthly_work_hours!$H:$H,'FTE 계산'!J$2)) - (SUMIFS(monthly_work_hours!$L:$L,monthly_work_hours!$A:$A,'FTE 계산'!$A48,monthly_work_hours!$H:$H,'FTE 계산'!J$2))</f>
        <v>13</v>
      </c>
    </row>
    <row r="49" spans="1:10" x14ac:dyDescent="0.45">
      <c r="A49">
        <v>1211031</v>
      </c>
      <c r="B49" t="str">
        <f>_xlfn.XLOOKUP(A49,monthly_work_hours!A:A,monthly_work_hours!B:B)</f>
        <v>김진석</v>
      </c>
      <c r="C49" t="str">
        <f>_xlfn.XLOOKUP(A49,monthly_work_hours!A:A,monthly_work_hours!E:E)</f>
        <v>SL품질보증팀</v>
      </c>
      <c r="D49" t="str">
        <f>_xlfn.XLOOKUP(A49,monthly_work_hours!A:A,monthly_work_hours!F:F)</f>
        <v>선임</v>
      </c>
      <c r="E49">
        <f>SUMIFS(monthly_work_hours!$M:$M,monthly_work_hours!$A:$A,'FTE 계산'!$A49,monthly_work_hours!$H:$H,'FTE 계산'!E$2)</f>
        <v>86.7</v>
      </c>
      <c r="F49">
        <f>SUMIFS(monthly_work_hours!$M:$M,monthly_work_hours!$A:$A,'FTE 계산'!$A49,monthly_work_hours!$H:$H,'FTE 계산'!F$2)</f>
        <v>145.6</v>
      </c>
      <c r="G49">
        <f>SUMIFS(monthly_work_hours!$M:$M,monthly_work_hours!$A:$A,'FTE 계산'!$A49,monthly_work_hours!$H:$H,'FTE 계산'!G$2)</f>
        <v>122.5</v>
      </c>
      <c r="H49">
        <f>(SUMIFS(monthly_work_hours!$I:$I,monthly_work_hours!$A:$A,'FTE 계산'!$A49,monthly_work_hours!$H:$H,'FTE 계산'!H$2)) - (SUMIFS(monthly_work_hours!$L:$L,monthly_work_hours!$A:$A,'FTE 계산'!$A49,monthly_work_hours!$H:$H,'FTE 계산'!H$2))</f>
        <v>10</v>
      </c>
      <c r="I49">
        <f>(SUMIFS(monthly_work_hours!$I:$I,monthly_work_hours!$A:$A,'FTE 계산'!$A49,monthly_work_hours!$H:$H,'FTE 계산'!I$2)) - (SUMIFS(monthly_work_hours!$L:$L,monthly_work_hours!$A:$A,'FTE 계산'!$A49,monthly_work_hours!$H:$H,'FTE 계산'!I$2))</f>
        <v>17</v>
      </c>
      <c r="J49">
        <f>(SUMIFS(monthly_work_hours!$I:$I,monthly_work_hours!$A:$A,'FTE 계산'!$A49,monthly_work_hours!$H:$H,'FTE 계산'!J$2)) - (SUMIFS(monthly_work_hours!$L:$L,monthly_work_hours!$A:$A,'FTE 계산'!$A49,monthly_work_hours!$H:$H,'FTE 계산'!J$2))</f>
        <v>14</v>
      </c>
    </row>
    <row r="50" spans="1:10" x14ac:dyDescent="0.45">
      <c r="A50">
        <v>1211032</v>
      </c>
      <c r="B50" t="str">
        <f>_xlfn.XLOOKUP(A50,monthly_work_hours!A:A,monthly_work_hours!B:B)</f>
        <v>박민규</v>
      </c>
      <c r="C50" t="str">
        <f>_xlfn.XLOOKUP(A50,monthly_work_hours!A:A,monthly_work_hours!E:E)</f>
        <v>FL품질보증팀</v>
      </c>
      <c r="D50" t="str">
        <f>_xlfn.XLOOKUP(A50,monthly_work_hours!A:A,monthly_work_hours!F:F)</f>
        <v>책임</v>
      </c>
      <c r="E50">
        <f>SUMIFS(monthly_work_hours!$M:$M,monthly_work_hours!$A:$A,'FTE 계산'!$A50,monthly_work_hours!$H:$H,'FTE 계산'!E$2)</f>
        <v>178.4</v>
      </c>
      <c r="F50">
        <f>SUMIFS(monthly_work_hours!$M:$M,monthly_work_hours!$A:$A,'FTE 계산'!$A50,monthly_work_hours!$H:$H,'FTE 계산'!F$2)</f>
        <v>22.6</v>
      </c>
      <c r="G50">
        <f>SUMIFS(monthly_work_hours!$M:$M,monthly_work_hours!$A:$A,'FTE 계산'!$A50,monthly_work_hours!$H:$H,'FTE 계산'!G$2)</f>
        <v>0</v>
      </c>
      <c r="H50">
        <f>(SUMIFS(monthly_work_hours!$I:$I,monthly_work_hours!$A:$A,'FTE 계산'!$A50,monthly_work_hours!$H:$H,'FTE 계산'!H$2)) - (SUMIFS(monthly_work_hours!$L:$L,monthly_work_hours!$A:$A,'FTE 계산'!$A50,monthly_work_hours!$H:$H,'FTE 계산'!H$2))</f>
        <v>18</v>
      </c>
      <c r="I50">
        <f>(SUMIFS(monthly_work_hours!$I:$I,monthly_work_hours!$A:$A,'FTE 계산'!$A50,monthly_work_hours!$H:$H,'FTE 계산'!I$2)) - (SUMIFS(monthly_work_hours!$L:$L,monthly_work_hours!$A:$A,'FTE 계산'!$A50,monthly_work_hours!$H:$H,'FTE 계산'!I$2))</f>
        <v>3</v>
      </c>
      <c r="J50">
        <f>(SUMIFS(monthly_work_hours!$I:$I,monthly_work_hours!$A:$A,'FTE 계산'!$A50,monthly_work_hours!$H:$H,'FTE 계산'!J$2)) - (SUMIFS(monthly_work_hours!$L:$L,monthly_work_hours!$A:$A,'FTE 계산'!$A50,monthly_work_hours!$H:$H,'FTE 계산'!J$2))</f>
        <v>0</v>
      </c>
    </row>
    <row r="51" spans="1:10" x14ac:dyDescent="0.45">
      <c r="A51">
        <v>1211076</v>
      </c>
      <c r="B51" t="str">
        <f>_xlfn.XLOOKUP(A51,monthly_work_hours!A:A,monthly_work_hours!B:B)</f>
        <v>김지훈</v>
      </c>
      <c r="C51" t="str">
        <f>_xlfn.XLOOKUP(A51,monthly_work_hours!A:A,monthly_work_hours!E:E)</f>
        <v>열관리사업팀</v>
      </c>
      <c r="D51" t="str">
        <f>_xlfn.XLOOKUP(A51,monthly_work_hours!A:A,monthly_work_hours!F:F)</f>
        <v>책임</v>
      </c>
      <c r="E51">
        <f>SUMIFS(monthly_work_hours!$M:$M,monthly_work_hours!$A:$A,'FTE 계산'!$A51,monthly_work_hours!$H:$H,'FTE 계산'!E$2)</f>
        <v>189</v>
      </c>
      <c r="F51">
        <f>SUMIFS(monthly_work_hours!$M:$M,monthly_work_hours!$A:$A,'FTE 계산'!$A51,monthly_work_hours!$H:$H,'FTE 계산'!F$2)</f>
        <v>164.2</v>
      </c>
      <c r="G51">
        <f>SUMIFS(monthly_work_hours!$M:$M,monthly_work_hours!$A:$A,'FTE 계산'!$A51,monthly_work_hours!$H:$H,'FTE 계산'!G$2)</f>
        <v>150.30000000000001</v>
      </c>
      <c r="H51">
        <f>(SUMIFS(monthly_work_hours!$I:$I,monthly_work_hours!$A:$A,'FTE 계산'!$A51,monthly_work_hours!$H:$H,'FTE 계산'!H$2)) - (SUMIFS(monthly_work_hours!$L:$L,monthly_work_hours!$A:$A,'FTE 계산'!$A51,monthly_work_hours!$H:$H,'FTE 계산'!H$2))</f>
        <v>17</v>
      </c>
      <c r="I51">
        <f>(SUMIFS(monthly_work_hours!$I:$I,monthly_work_hours!$A:$A,'FTE 계산'!$A51,monthly_work_hours!$H:$H,'FTE 계산'!I$2)) - (SUMIFS(monthly_work_hours!$L:$L,monthly_work_hours!$A:$A,'FTE 계산'!$A51,monthly_work_hours!$H:$H,'FTE 계산'!I$2))</f>
        <v>20</v>
      </c>
      <c r="J51">
        <f>(SUMIFS(monthly_work_hours!$I:$I,monthly_work_hours!$A:$A,'FTE 계산'!$A51,monthly_work_hours!$H:$H,'FTE 계산'!J$2)) - (SUMIFS(monthly_work_hours!$L:$L,monthly_work_hours!$A:$A,'FTE 계산'!$A51,monthly_work_hours!$H:$H,'FTE 계산'!J$2))</f>
        <v>16</v>
      </c>
    </row>
    <row r="52" spans="1:10" x14ac:dyDescent="0.45">
      <c r="A52">
        <v>1211110</v>
      </c>
      <c r="B52" t="str">
        <f>_xlfn.XLOOKUP(A52,monthly_work_hours!A:A,monthly_work_hours!B:B)</f>
        <v>이종원</v>
      </c>
      <c r="C52" t="str">
        <f>_xlfn.XLOOKUP(A52,monthly_work_hours!A:A,monthly_work_hours!E:E)</f>
        <v>SCM팀</v>
      </c>
      <c r="D52" t="str">
        <f>_xlfn.XLOOKUP(A52,monthly_work_hours!A:A,monthly_work_hours!F:F)</f>
        <v>선임</v>
      </c>
      <c r="E52">
        <f>SUMIFS(monthly_work_hours!$M:$M,monthly_work_hours!$A:$A,'FTE 계산'!$A52,monthly_work_hours!$H:$H,'FTE 계산'!E$2)</f>
        <v>121.8</v>
      </c>
      <c r="F52">
        <f>SUMIFS(monthly_work_hours!$M:$M,monthly_work_hours!$A:$A,'FTE 계산'!$A52,monthly_work_hours!$H:$H,'FTE 계산'!F$2)</f>
        <v>16.100000000000001</v>
      </c>
      <c r="G52">
        <f>SUMIFS(monthly_work_hours!$M:$M,monthly_work_hours!$A:$A,'FTE 계산'!$A52,monthly_work_hours!$H:$H,'FTE 계산'!G$2)</f>
        <v>0</v>
      </c>
      <c r="H52">
        <f>(SUMIFS(monthly_work_hours!$I:$I,monthly_work_hours!$A:$A,'FTE 계산'!$A52,monthly_work_hours!$H:$H,'FTE 계산'!H$2)) - (SUMIFS(monthly_work_hours!$L:$L,monthly_work_hours!$A:$A,'FTE 계산'!$A52,monthly_work_hours!$H:$H,'FTE 계산'!H$2))</f>
        <v>11</v>
      </c>
      <c r="I52">
        <f>(SUMIFS(monthly_work_hours!$I:$I,monthly_work_hours!$A:$A,'FTE 계산'!$A52,monthly_work_hours!$H:$H,'FTE 계산'!I$2)) - (SUMIFS(monthly_work_hours!$L:$L,monthly_work_hours!$A:$A,'FTE 계산'!$A52,monthly_work_hours!$H:$H,'FTE 계산'!I$2))</f>
        <v>3</v>
      </c>
      <c r="J52">
        <f>(SUMIFS(monthly_work_hours!$I:$I,monthly_work_hours!$A:$A,'FTE 계산'!$A52,monthly_work_hours!$H:$H,'FTE 계산'!J$2)) - (SUMIFS(monthly_work_hours!$L:$L,monthly_work_hours!$A:$A,'FTE 계산'!$A52,monthly_work_hours!$H:$H,'FTE 계산'!J$2))</f>
        <v>0</v>
      </c>
    </row>
    <row r="53" spans="1:10" x14ac:dyDescent="0.45">
      <c r="A53">
        <v>1211111</v>
      </c>
      <c r="B53" t="str">
        <f>_xlfn.XLOOKUP(A53,monthly_work_hours!A:A,monthly_work_hours!B:B)</f>
        <v>이주용</v>
      </c>
      <c r="C53" t="str">
        <f>_xlfn.XLOOKUP(A53,monthly_work_hours!A:A,monthly_work_hours!E:E)</f>
        <v>품질경영팀</v>
      </c>
      <c r="D53" t="str">
        <f>_xlfn.XLOOKUP(A53,monthly_work_hours!A:A,monthly_work_hours!F:F)</f>
        <v>책임</v>
      </c>
      <c r="E53">
        <f>SUMIFS(monthly_work_hours!$M:$M,monthly_work_hours!$A:$A,'FTE 계산'!$A53,monthly_work_hours!$H:$H,'FTE 계산'!E$2)</f>
        <v>160.9</v>
      </c>
      <c r="F53">
        <f>SUMIFS(monthly_work_hours!$M:$M,monthly_work_hours!$A:$A,'FTE 계산'!$A53,monthly_work_hours!$H:$H,'FTE 계산'!F$2)</f>
        <v>164.6</v>
      </c>
      <c r="G53">
        <f>SUMIFS(monthly_work_hours!$M:$M,monthly_work_hours!$A:$A,'FTE 계산'!$A53,monthly_work_hours!$H:$H,'FTE 계산'!G$2)</f>
        <v>150.9</v>
      </c>
      <c r="H53">
        <f>(SUMIFS(monthly_work_hours!$I:$I,monthly_work_hours!$A:$A,'FTE 계산'!$A53,monthly_work_hours!$H:$H,'FTE 계산'!H$2)) - (SUMIFS(monthly_work_hours!$L:$L,monthly_work_hours!$A:$A,'FTE 계산'!$A53,monthly_work_hours!$H:$H,'FTE 계산'!H$2))</f>
        <v>17</v>
      </c>
      <c r="I53">
        <f>(SUMIFS(monthly_work_hours!$I:$I,monthly_work_hours!$A:$A,'FTE 계산'!$A53,monthly_work_hours!$H:$H,'FTE 계산'!I$2)) - (SUMIFS(monthly_work_hours!$L:$L,monthly_work_hours!$A:$A,'FTE 계산'!$A53,monthly_work_hours!$H:$H,'FTE 계산'!I$2))</f>
        <v>17</v>
      </c>
      <c r="J53">
        <f>(SUMIFS(monthly_work_hours!$I:$I,monthly_work_hours!$A:$A,'FTE 계산'!$A53,monthly_work_hours!$H:$H,'FTE 계산'!J$2)) - (SUMIFS(monthly_work_hours!$L:$L,monthly_work_hours!$A:$A,'FTE 계산'!$A53,monthly_work_hours!$H:$H,'FTE 계산'!J$2))</f>
        <v>16</v>
      </c>
    </row>
    <row r="54" spans="1:10" x14ac:dyDescent="0.45">
      <c r="A54">
        <v>1211134</v>
      </c>
      <c r="B54" t="str">
        <f>_xlfn.XLOOKUP(A54,monthly_work_hours!A:A,monthly_work_hours!B:B)</f>
        <v>공태욱</v>
      </c>
      <c r="C54" t="e">
        <f>_xlfn.XLOOKUP(A54,monthly_work_hours!A:A,monthly_work_hours!E:E)</f>
        <v>#N/A</v>
      </c>
      <c r="D54" t="str">
        <f>_xlfn.XLOOKUP(A54,monthly_work_hours!A:A,monthly_work_hours!F:F)</f>
        <v>기능6급</v>
      </c>
      <c r="E54">
        <f>SUMIFS(monthly_work_hours!$M:$M,monthly_work_hours!$A:$A,'FTE 계산'!$A54,monthly_work_hours!$H:$H,'FTE 계산'!E$2)</f>
        <v>137.5</v>
      </c>
      <c r="F54">
        <f>SUMIFS(monthly_work_hours!$M:$M,monthly_work_hours!$A:$A,'FTE 계산'!$A54,monthly_work_hours!$H:$H,'FTE 계산'!F$2)</f>
        <v>133.69999999999999</v>
      </c>
      <c r="G54">
        <f>SUMIFS(monthly_work_hours!$M:$M,monthly_work_hours!$A:$A,'FTE 계산'!$A54,monthly_work_hours!$H:$H,'FTE 계산'!G$2)</f>
        <v>103.4</v>
      </c>
      <c r="H54">
        <f>(SUMIFS(monthly_work_hours!$I:$I,monthly_work_hours!$A:$A,'FTE 계산'!$A54,monthly_work_hours!$H:$H,'FTE 계산'!H$2)) - (SUMIFS(monthly_work_hours!$L:$L,monthly_work_hours!$A:$A,'FTE 계산'!$A54,monthly_work_hours!$H:$H,'FTE 계산'!H$2))</f>
        <v>21</v>
      </c>
      <c r="I54">
        <f>(SUMIFS(monthly_work_hours!$I:$I,monthly_work_hours!$A:$A,'FTE 계산'!$A54,monthly_work_hours!$H:$H,'FTE 계산'!I$2)) - (SUMIFS(monthly_work_hours!$L:$L,monthly_work_hours!$A:$A,'FTE 계산'!$A54,monthly_work_hours!$H:$H,'FTE 계산'!I$2))</f>
        <v>18</v>
      </c>
      <c r="J54">
        <f>(SUMIFS(monthly_work_hours!$I:$I,monthly_work_hours!$A:$A,'FTE 계산'!$A54,monthly_work_hours!$H:$H,'FTE 계산'!J$2)) - (SUMIFS(monthly_work_hours!$L:$L,monthly_work_hours!$A:$A,'FTE 계산'!$A54,monthly_work_hours!$H:$H,'FTE 계산'!J$2))</f>
        <v>18</v>
      </c>
    </row>
    <row r="55" spans="1:10" x14ac:dyDescent="0.45">
      <c r="A55">
        <v>1211151</v>
      </c>
      <c r="B55" t="str">
        <f>_xlfn.XLOOKUP(A55,monthly_work_hours!A:A,monthly_work_hours!B:B)</f>
        <v>손용현</v>
      </c>
      <c r="C55" t="str">
        <f>_xlfn.XLOOKUP(A55,monthly_work_hours!A:A,monthly_work_hours!E:E)</f>
        <v>FL품질보증팀</v>
      </c>
      <c r="D55" t="str">
        <f>_xlfn.XLOOKUP(A55,monthly_work_hours!A:A,monthly_work_hours!F:F)</f>
        <v>선임</v>
      </c>
      <c r="E55">
        <f>SUMIFS(monthly_work_hours!$M:$M,monthly_work_hours!$A:$A,'FTE 계산'!$A55,monthly_work_hours!$H:$H,'FTE 계산'!E$2)</f>
        <v>172.6</v>
      </c>
      <c r="F55">
        <f>SUMIFS(monthly_work_hours!$M:$M,monthly_work_hours!$A:$A,'FTE 계산'!$A55,monthly_work_hours!$H:$H,'FTE 계산'!F$2)</f>
        <v>170.2</v>
      </c>
      <c r="G55">
        <f>SUMIFS(monthly_work_hours!$M:$M,monthly_work_hours!$A:$A,'FTE 계산'!$A55,monthly_work_hours!$H:$H,'FTE 계산'!G$2)</f>
        <v>122.1</v>
      </c>
      <c r="H55">
        <f>(SUMIFS(monthly_work_hours!$I:$I,monthly_work_hours!$A:$A,'FTE 계산'!$A55,monthly_work_hours!$H:$H,'FTE 계산'!H$2)) - (SUMIFS(monthly_work_hours!$L:$L,monthly_work_hours!$A:$A,'FTE 계산'!$A55,monthly_work_hours!$H:$H,'FTE 계산'!H$2))</f>
        <v>19</v>
      </c>
      <c r="I55">
        <f>(SUMIFS(monthly_work_hours!$I:$I,monthly_work_hours!$A:$A,'FTE 계산'!$A55,monthly_work_hours!$H:$H,'FTE 계산'!I$2)) - (SUMIFS(monthly_work_hours!$L:$L,monthly_work_hours!$A:$A,'FTE 계산'!$A55,monthly_work_hours!$H:$H,'FTE 계산'!I$2))</f>
        <v>18</v>
      </c>
      <c r="J55">
        <f>(SUMIFS(monthly_work_hours!$I:$I,monthly_work_hours!$A:$A,'FTE 계산'!$A55,monthly_work_hours!$H:$H,'FTE 계산'!J$2)) - (SUMIFS(monthly_work_hours!$L:$L,monthly_work_hours!$A:$A,'FTE 계산'!$A55,monthly_work_hours!$H:$H,'FTE 계산'!J$2))</f>
        <v>14</v>
      </c>
    </row>
    <row r="56" spans="1:10" x14ac:dyDescent="0.45">
      <c r="A56">
        <v>1211208</v>
      </c>
      <c r="B56" t="str">
        <f>_xlfn.XLOOKUP(A56,monthly_work_hours!A:A,monthly_work_hours!B:B)</f>
        <v>김윤규</v>
      </c>
      <c r="C56" t="str">
        <f>_xlfn.XLOOKUP(A56,monthly_work_hours!A:A,monthly_work_hours!E:E)</f>
        <v>성능개발팀</v>
      </c>
      <c r="D56" t="str">
        <f>_xlfn.XLOOKUP(A56,monthly_work_hours!A:A,monthly_work_hours!F:F)</f>
        <v>책임</v>
      </c>
      <c r="E56">
        <f>SUMIFS(monthly_work_hours!$M:$M,monthly_work_hours!$A:$A,'FTE 계산'!$A56,monthly_work_hours!$H:$H,'FTE 계산'!E$2)</f>
        <v>657.6</v>
      </c>
      <c r="F56">
        <f>SUMIFS(monthly_work_hours!$M:$M,monthly_work_hours!$A:$A,'FTE 계산'!$A56,monthly_work_hours!$H:$H,'FTE 계산'!F$2)</f>
        <v>707.4</v>
      </c>
      <c r="G56">
        <f>SUMIFS(monthly_work_hours!$M:$M,monthly_work_hours!$A:$A,'FTE 계산'!$A56,monthly_work_hours!$H:$H,'FTE 계산'!G$2)</f>
        <v>341.6</v>
      </c>
      <c r="H56">
        <f>(SUMIFS(monthly_work_hours!$I:$I,monthly_work_hours!$A:$A,'FTE 계산'!$A56,monthly_work_hours!$H:$H,'FTE 계산'!H$2)) - (SUMIFS(monthly_work_hours!$L:$L,monthly_work_hours!$A:$A,'FTE 계산'!$A56,monthly_work_hours!$H:$H,'FTE 계산'!H$2))</f>
        <v>21</v>
      </c>
      <c r="I56">
        <f>(SUMIFS(monthly_work_hours!$I:$I,monthly_work_hours!$A:$A,'FTE 계산'!$A56,monthly_work_hours!$H:$H,'FTE 계산'!I$2)) - (SUMIFS(monthly_work_hours!$L:$L,monthly_work_hours!$A:$A,'FTE 계산'!$A56,monthly_work_hours!$H:$H,'FTE 계산'!I$2))</f>
        <v>22</v>
      </c>
      <c r="J56">
        <f>(SUMIFS(monthly_work_hours!$I:$I,monthly_work_hours!$A:$A,'FTE 계산'!$A56,monthly_work_hours!$H:$H,'FTE 계산'!J$2)) - (SUMIFS(monthly_work_hours!$L:$L,monthly_work_hours!$A:$A,'FTE 계산'!$A56,monthly_work_hours!$H:$H,'FTE 계산'!J$2))</f>
        <v>15</v>
      </c>
    </row>
    <row r="57" spans="1:10" x14ac:dyDescent="0.45">
      <c r="A57">
        <v>1211209</v>
      </c>
      <c r="B57" t="str">
        <f>_xlfn.XLOOKUP(A57,monthly_work_hours!A:A,monthly_work_hours!B:B)</f>
        <v>정혜원</v>
      </c>
      <c r="C57" t="str">
        <f>_xlfn.XLOOKUP(A57,monthly_work_hours!A:A,monthly_work_hours!E:E)</f>
        <v>SL생산팀</v>
      </c>
      <c r="D57" t="str">
        <f>_xlfn.XLOOKUP(A57,monthly_work_hours!A:A,monthly_work_hours!F:F)</f>
        <v>책임</v>
      </c>
      <c r="E57">
        <f>SUMIFS(monthly_work_hours!$M:$M,monthly_work_hours!$A:$A,'FTE 계산'!$A57,monthly_work_hours!$H:$H,'FTE 계산'!E$2)</f>
        <v>9.3000000000000007</v>
      </c>
      <c r="F57">
        <f>SUMIFS(monthly_work_hours!$M:$M,monthly_work_hours!$A:$A,'FTE 계산'!$A57,monthly_work_hours!$H:$H,'FTE 계산'!F$2)</f>
        <v>50.6</v>
      </c>
      <c r="G57">
        <f>SUMIFS(monthly_work_hours!$M:$M,monthly_work_hours!$A:$A,'FTE 계산'!$A57,monthly_work_hours!$H:$H,'FTE 계산'!G$2)</f>
        <v>89.2</v>
      </c>
      <c r="H57">
        <f>(SUMIFS(monthly_work_hours!$I:$I,monthly_work_hours!$A:$A,'FTE 계산'!$A57,monthly_work_hours!$H:$H,'FTE 계산'!H$2)) - (SUMIFS(monthly_work_hours!$L:$L,monthly_work_hours!$A:$A,'FTE 계산'!$A57,monthly_work_hours!$H:$H,'FTE 계산'!H$2))</f>
        <v>3</v>
      </c>
      <c r="I57">
        <f>(SUMIFS(monthly_work_hours!$I:$I,monthly_work_hours!$A:$A,'FTE 계산'!$A57,monthly_work_hours!$H:$H,'FTE 계산'!I$2)) - (SUMIFS(monthly_work_hours!$L:$L,monthly_work_hours!$A:$A,'FTE 계산'!$A57,monthly_work_hours!$H:$H,'FTE 계산'!I$2))</f>
        <v>8</v>
      </c>
      <c r="J57">
        <f>(SUMIFS(monthly_work_hours!$I:$I,monthly_work_hours!$A:$A,'FTE 계산'!$A57,monthly_work_hours!$H:$H,'FTE 계산'!J$2)) - (SUMIFS(monthly_work_hours!$L:$L,monthly_work_hours!$A:$A,'FTE 계산'!$A57,monthly_work_hours!$H:$H,'FTE 계산'!J$2))</f>
        <v>11</v>
      </c>
    </row>
    <row r="58" spans="1:10" x14ac:dyDescent="0.45">
      <c r="A58">
        <v>1212004</v>
      </c>
      <c r="B58" t="str">
        <f>_xlfn.XLOOKUP(A58,monthly_work_hours!A:A,monthly_work_hours!B:B)</f>
        <v>김주원</v>
      </c>
      <c r="C58" t="str">
        <f>_xlfn.XLOOKUP(A58,monthly_work_hours!A:A,monthly_work_hours!E:E)</f>
        <v>FL영업팀</v>
      </c>
      <c r="D58" t="str">
        <f>_xlfn.XLOOKUP(A58,monthly_work_hours!A:A,monthly_work_hours!F:F)</f>
        <v>선임</v>
      </c>
      <c r="E58">
        <f>SUMIFS(monthly_work_hours!$M:$M,monthly_work_hours!$A:$A,'FTE 계산'!$A58,monthly_work_hours!$H:$H,'FTE 계산'!E$2)</f>
        <v>167.8</v>
      </c>
      <c r="F58">
        <f>SUMIFS(monthly_work_hours!$M:$M,monthly_work_hours!$A:$A,'FTE 계산'!$A58,monthly_work_hours!$H:$H,'FTE 계산'!F$2)</f>
        <v>168.5</v>
      </c>
      <c r="G58">
        <f>SUMIFS(monthly_work_hours!$M:$M,monthly_work_hours!$A:$A,'FTE 계산'!$A58,monthly_work_hours!$H:$H,'FTE 계산'!G$2)</f>
        <v>138.19999999999999</v>
      </c>
      <c r="H58">
        <f>(SUMIFS(monthly_work_hours!$I:$I,monthly_work_hours!$A:$A,'FTE 계산'!$A58,monthly_work_hours!$H:$H,'FTE 계산'!H$2)) - (SUMIFS(monthly_work_hours!$L:$L,monthly_work_hours!$A:$A,'FTE 계산'!$A58,monthly_work_hours!$H:$H,'FTE 계산'!H$2))</f>
        <v>18</v>
      </c>
      <c r="I58">
        <f>(SUMIFS(monthly_work_hours!$I:$I,monthly_work_hours!$A:$A,'FTE 계산'!$A58,monthly_work_hours!$H:$H,'FTE 계산'!I$2)) - (SUMIFS(monthly_work_hours!$L:$L,monthly_work_hours!$A:$A,'FTE 계산'!$A58,monthly_work_hours!$H:$H,'FTE 계산'!I$2))</f>
        <v>18</v>
      </c>
      <c r="J58">
        <f>(SUMIFS(monthly_work_hours!$I:$I,monthly_work_hours!$A:$A,'FTE 계산'!$A58,monthly_work_hours!$H:$H,'FTE 계산'!J$2)) - (SUMIFS(monthly_work_hours!$L:$L,monthly_work_hours!$A:$A,'FTE 계산'!$A58,monthly_work_hours!$H:$H,'FTE 계산'!J$2))</f>
        <v>15</v>
      </c>
    </row>
    <row r="59" spans="1:10" x14ac:dyDescent="0.45">
      <c r="A59">
        <v>1212013</v>
      </c>
      <c r="B59" t="str">
        <f>_xlfn.XLOOKUP(A59,monthly_work_hours!A:A,monthly_work_hours!B:B)</f>
        <v>김선미</v>
      </c>
      <c r="C59" t="str">
        <f>_xlfn.XLOOKUP(A59,monthly_work_hours!A:A,monthly_work_hours!E:E)</f>
        <v>기획팀</v>
      </c>
      <c r="D59" t="str">
        <f>_xlfn.XLOOKUP(A59,monthly_work_hours!A:A,monthly_work_hours!F:F)</f>
        <v>책임</v>
      </c>
      <c r="E59">
        <f>SUMIFS(monthly_work_hours!$M:$M,monthly_work_hours!$A:$A,'FTE 계산'!$A59,monthly_work_hours!$H:$H,'FTE 계산'!E$2)</f>
        <v>183.8</v>
      </c>
      <c r="F59">
        <f>SUMIFS(monthly_work_hours!$M:$M,monthly_work_hours!$A:$A,'FTE 계산'!$A59,monthly_work_hours!$H:$H,'FTE 계산'!F$2)</f>
        <v>143.80000000000001</v>
      </c>
      <c r="G59">
        <f>SUMIFS(monthly_work_hours!$M:$M,monthly_work_hours!$A:$A,'FTE 계산'!$A59,monthly_work_hours!$H:$H,'FTE 계산'!G$2)</f>
        <v>156.30000000000001</v>
      </c>
      <c r="H59">
        <f>(SUMIFS(monthly_work_hours!$I:$I,monthly_work_hours!$A:$A,'FTE 계산'!$A59,monthly_work_hours!$H:$H,'FTE 계산'!H$2)) - (SUMIFS(monthly_work_hours!$L:$L,monthly_work_hours!$A:$A,'FTE 계산'!$A59,monthly_work_hours!$H:$H,'FTE 계산'!H$2))</f>
        <v>19</v>
      </c>
      <c r="I59">
        <f>(SUMIFS(monthly_work_hours!$I:$I,monthly_work_hours!$A:$A,'FTE 계산'!$A59,monthly_work_hours!$H:$H,'FTE 계산'!I$2)) - (SUMIFS(monthly_work_hours!$L:$L,monthly_work_hours!$A:$A,'FTE 계산'!$A59,monthly_work_hours!$H:$H,'FTE 계산'!I$2))</f>
        <v>14</v>
      </c>
      <c r="J59">
        <f>(SUMIFS(monthly_work_hours!$I:$I,monthly_work_hours!$A:$A,'FTE 계산'!$A59,monthly_work_hours!$H:$H,'FTE 계산'!J$2)) - (SUMIFS(monthly_work_hours!$L:$L,monthly_work_hours!$A:$A,'FTE 계산'!$A59,monthly_work_hours!$H:$H,'FTE 계산'!J$2))</f>
        <v>16</v>
      </c>
    </row>
    <row r="60" spans="1:10" x14ac:dyDescent="0.45">
      <c r="A60">
        <v>1212023</v>
      </c>
      <c r="B60" t="str">
        <f>_xlfn.XLOOKUP(A60,monthly_work_hours!A:A,monthly_work_hours!B:B)</f>
        <v>송현석</v>
      </c>
      <c r="C60" t="str">
        <f>_xlfn.XLOOKUP(A60,monthly_work_hours!A:A,monthly_work_hours!E:E)</f>
        <v>SL품질보증팀</v>
      </c>
      <c r="D60" t="str">
        <f>_xlfn.XLOOKUP(A60,monthly_work_hours!A:A,monthly_work_hours!F:F)</f>
        <v>책임</v>
      </c>
      <c r="E60">
        <f>SUMIFS(monthly_work_hours!$M:$M,monthly_work_hours!$A:$A,'FTE 계산'!$A60,monthly_work_hours!$H:$H,'FTE 계산'!E$2)</f>
        <v>155.80000000000001</v>
      </c>
      <c r="F60">
        <f>SUMIFS(monthly_work_hours!$M:$M,monthly_work_hours!$A:$A,'FTE 계산'!$A60,monthly_work_hours!$H:$H,'FTE 계산'!F$2)</f>
        <v>146</v>
      </c>
      <c r="G60">
        <f>SUMIFS(monthly_work_hours!$M:$M,monthly_work_hours!$A:$A,'FTE 계산'!$A60,monthly_work_hours!$H:$H,'FTE 계산'!G$2)</f>
        <v>129.5</v>
      </c>
      <c r="H60">
        <f>(SUMIFS(monthly_work_hours!$I:$I,monthly_work_hours!$A:$A,'FTE 계산'!$A60,monthly_work_hours!$H:$H,'FTE 계산'!H$2)) - (SUMIFS(monthly_work_hours!$L:$L,monthly_work_hours!$A:$A,'FTE 계산'!$A60,monthly_work_hours!$H:$H,'FTE 계산'!H$2))</f>
        <v>16</v>
      </c>
      <c r="I60">
        <f>(SUMIFS(monthly_work_hours!$I:$I,monthly_work_hours!$A:$A,'FTE 계산'!$A60,monthly_work_hours!$H:$H,'FTE 계산'!I$2)) - (SUMIFS(monthly_work_hours!$L:$L,monthly_work_hours!$A:$A,'FTE 계산'!$A60,monthly_work_hours!$H:$H,'FTE 계산'!I$2))</f>
        <v>15</v>
      </c>
      <c r="J60">
        <f>(SUMIFS(monthly_work_hours!$I:$I,monthly_work_hours!$A:$A,'FTE 계산'!$A60,monthly_work_hours!$H:$H,'FTE 계산'!J$2)) - (SUMIFS(monthly_work_hours!$L:$L,monthly_work_hours!$A:$A,'FTE 계산'!$A60,monthly_work_hours!$H:$H,'FTE 계산'!J$2))</f>
        <v>14</v>
      </c>
    </row>
    <row r="61" spans="1:10" x14ac:dyDescent="0.45">
      <c r="A61">
        <v>1212055</v>
      </c>
      <c r="B61" t="str">
        <f>_xlfn.XLOOKUP(A61,monthly_work_hours!A:A,monthly_work_hours!B:B)</f>
        <v>양정환</v>
      </c>
      <c r="C61" t="str">
        <f>_xlfn.XLOOKUP(A61,monthly_work_hours!A:A,monthly_work_hours!E:E)</f>
        <v>관체사업팀</v>
      </c>
      <c r="D61" t="str">
        <f>_xlfn.XLOOKUP(A61,monthly_work_hours!A:A,monthly_work_hours!F:F)</f>
        <v>선임</v>
      </c>
      <c r="E61">
        <f>SUMIFS(monthly_work_hours!$M:$M,monthly_work_hours!$A:$A,'FTE 계산'!$A61,monthly_work_hours!$H:$H,'FTE 계산'!E$2)</f>
        <v>192.9</v>
      </c>
      <c r="F61">
        <f>SUMIFS(monthly_work_hours!$M:$M,monthly_work_hours!$A:$A,'FTE 계산'!$A61,monthly_work_hours!$H:$H,'FTE 계산'!F$2)</f>
        <v>175.8</v>
      </c>
      <c r="G61">
        <f>SUMIFS(monthly_work_hours!$M:$M,monthly_work_hours!$A:$A,'FTE 계산'!$A61,monthly_work_hours!$H:$H,'FTE 계산'!G$2)</f>
        <v>151.80000000000001</v>
      </c>
      <c r="H61">
        <f>(SUMIFS(monthly_work_hours!$I:$I,monthly_work_hours!$A:$A,'FTE 계산'!$A61,monthly_work_hours!$H:$H,'FTE 계산'!H$2)) - (SUMIFS(monthly_work_hours!$L:$L,monthly_work_hours!$A:$A,'FTE 계산'!$A61,monthly_work_hours!$H:$H,'FTE 계산'!H$2))</f>
        <v>19</v>
      </c>
      <c r="I61">
        <f>(SUMIFS(monthly_work_hours!$I:$I,monthly_work_hours!$A:$A,'FTE 계산'!$A61,monthly_work_hours!$H:$H,'FTE 계산'!I$2)) - (SUMIFS(monthly_work_hours!$L:$L,monthly_work_hours!$A:$A,'FTE 계산'!$A61,monthly_work_hours!$H:$H,'FTE 계산'!I$2))</f>
        <v>18</v>
      </c>
      <c r="J61">
        <f>(SUMIFS(monthly_work_hours!$I:$I,monthly_work_hours!$A:$A,'FTE 계산'!$A61,monthly_work_hours!$H:$H,'FTE 계산'!J$2)) - (SUMIFS(monthly_work_hours!$L:$L,monthly_work_hours!$A:$A,'FTE 계산'!$A61,monthly_work_hours!$H:$H,'FTE 계산'!J$2))</f>
        <v>15</v>
      </c>
    </row>
    <row r="62" spans="1:10" x14ac:dyDescent="0.45">
      <c r="A62">
        <v>1212081</v>
      </c>
      <c r="B62" t="str">
        <f>_xlfn.XLOOKUP(A62,monthly_work_hours!A:A,monthly_work_hours!B:B)</f>
        <v>한대웅</v>
      </c>
      <c r="C62" t="str">
        <f>_xlfn.XLOOKUP(A62,monthly_work_hours!A:A,monthly_work_hours!E:E)</f>
        <v>FL개발팀</v>
      </c>
      <c r="D62" t="str">
        <f>_xlfn.XLOOKUP(A62,monthly_work_hours!A:A,monthly_work_hours!F:F)</f>
        <v>선임</v>
      </c>
      <c r="E62">
        <f>SUMIFS(monthly_work_hours!$M:$M,monthly_work_hours!$A:$A,'FTE 계산'!$A62,monthly_work_hours!$H:$H,'FTE 계산'!E$2)</f>
        <v>116</v>
      </c>
      <c r="F62">
        <f>SUMIFS(monthly_work_hours!$M:$M,monthly_work_hours!$A:$A,'FTE 계산'!$A62,monthly_work_hours!$H:$H,'FTE 계산'!F$2)</f>
        <v>139.5</v>
      </c>
      <c r="G62">
        <f>SUMIFS(monthly_work_hours!$M:$M,monthly_work_hours!$A:$A,'FTE 계산'!$A62,monthly_work_hours!$H:$H,'FTE 계산'!G$2)</f>
        <v>111.8</v>
      </c>
      <c r="H62">
        <f>(SUMIFS(monthly_work_hours!$I:$I,monthly_work_hours!$A:$A,'FTE 계산'!$A62,monthly_work_hours!$H:$H,'FTE 계산'!H$2)) - (SUMIFS(monthly_work_hours!$L:$L,monthly_work_hours!$A:$A,'FTE 계산'!$A62,monthly_work_hours!$H:$H,'FTE 계산'!H$2))</f>
        <v>13</v>
      </c>
      <c r="I62">
        <f>(SUMIFS(monthly_work_hours!$I:$I,monthly_work_hours!$A:$A,'FTE 계산'!$A62,monthly_work_hours!$H:$H,'FTE 계산'!I$2)) - (SUMIFS(monthly_work_hours!$L:$L,monthly_work_hours!$A:$A,'FTE 계산'!$A62,monthly_work_hours!$H:$H,'FTE 계산'!I$2))</f>
        <v>16</v>
      </c>
      <c r="J62">
        <f>(SUMIFS(monthly_work_hours!$I:$I,monthly_work_hours!$A:$A,'FTE 계산'!$A62,monthly_work_hours!$H:$H,'FTE 계산'!J$2)) - (SUMIFS(monthly_work_hours!$L:$L,monthly_work_hours!$A:$A,'FTE 계산'!$A62,monthly_work_hours!$H:$H,'FTE 계산'!J$2))</f>
        <v>14</v>
      </c>
    </row>
    <row r="63" spans="1:10" x14ac:dyDescent="0.45">
      <c r="A63">
        <v>1212180</v>
      </c>
      <c r="B63" t="str">
        <f>_xlfn.XLOOKUP(A63,monthly_work_hours!A:A,monthly_work_hours!B:B)</f>
        <v>조승현</v>
      </c>
      <c r="C63" t="str">
        <f>_xlfn.XLOOKUP(A63,monthly_work_hours!A:A,monthly_work_hours!E:E)</f>
        <v>HR팀</v>
      </c>
      <c r="D63" t="str">
        <f>_xlfn.XLOOKUP(A63,monthly_work_hours!A:A,monthly_work_hours!F:F)</f>
        <v>책임</v>
      </c>
      <c r="E63">
        <f>SUMIFS(monthly_work_hours!$M:$M,monthly_work_hours!$A:$A,'FTE 계산'!$A63,monthly_work_hours!$H:$H,'FTE 계산'!E$2)</f>
        <v>189.1</v>
      </c>
      <c r="F63">
        <f>SUMIFS(monthly_work_hours!$M:$M,monthly_work_hours!$A:$A,'FTE 계산'!$A63,monthly_work_hours!$H:$H,'FTE 계산'!F$2)</f>
        <v>177</v>
      </c>
      <c r="G63">
        <f>SUMIFS(monthly_work_hours!$M:$M,monthly_work_hours!$A:$A,'FTE 계산'!$A63,monthly_work_hours!$H:$H,'FTE 계산'!G$2)</f>
        <v>145.19999999999999</v>
      </c>
      <c r="H63">
        <f>(SUMIFS(monthly_work_hours!$I:$I,monthly_work_hours!$A:$A,'FTE 계산'!$A63,monthly_work_hours!$H:$H,'FTE 계산'!H$2)) - (SUMIFS(monthly_work_hours!$L:$L,monthly_work_hours!$A:$A,'FTE 계산'!$A63,monthly_work_hours!$H:$H,'FTE 계산'!H$2))</f>
        <v>18</v>
      </c>
      <c r="I63">
        <f>(SUMIFS(monthly_work_hours!$I:$I,monthly_work_hours!$A:$A,'FTE 계산'!$A63,monthly_work_hours!$H:$H,'FTE 계산'!I$2)) - (SUMIFS(monthly_work_hours!$L:$L,monthly_work_hours!$A:$A,'FTE 계산'!$A63,monthly_work_hours!$H:$H,'FTE 계산'!I$2))</f>
        <v>18</v>
      </c>
      <c r="J63">
        <f>(SUMIFS(monthly_work_hours!$I:$I,monthly_work_hours!$A:$A,'FTE 계산'!$A63,monthly_work_hours!$H:$H,'FTE 계산'!J$2)) - (SUMIFS(monthly_work_hours!$L:$L,monthly_work_hours!$A:$A,'FTE 계산'!$A63,monthly_work_hours!$H:$H,'FTE 계산'!J$2))</f>
        <v>16</v>
      </c>
    </row>
    <row r="64" spans="1:10" x14ac:dyDescent="0.45">
      <c r="A64">
        <v>1213008</v>
      </c>
      <c r="B64" t="str">
        <f>_xlfn.XLOOKUP(A64,monthly_work_hours!A:A,monthly_work_hours!B:B)</f>
        <v>이예리</v>
      </c>
      <c r="C64" t="str">
        <f>_xlfn.XLOOKUP(A64,monthly_work_hours!A:A,monthly_work_hours!E:E)</f>
        <v>SCM팀</v>
      </c>
      <c r="D64" t="str">
        <f>_xlfn.XLOOKUP(A64,monthly_work_hours!A:A,monthly_work_hours!F:F)</f>
        <v>사원</v>
      </c>
      <c r="E64">
        <f>SUMIFS(monthly_work_hours!$M:$M,monthly_work_hours!$A:$A,'FTE 계산'!$A64,monthly_work_hours!$H:$H,'FTE 계산'!E$2)</f>
        <v>150.4</v>
      </c>
      <c r="F64">
        <f>SUMIFS(monthly_work_hours!$M:$M,monthly_work_hours!$A:$A,'FTE 계산'!$A64,monthly_work_hours!$H:$H,'FTE 계산'!F$2)</f>
        <v>168.9</v>
      </c>
      <c r="G64">
        <f>SUMIFS(monthly_work_hours!$M:$M,monthly_work_hours!$A:$A,'FTE 계산'!$A64,monthly_work_hours!$H:$H,'FTE 계산'!G$2)</f>
        <v>133.69999999999999</v>
      </c>
      <c r="H64">
        <f>(SUMIFS(monthly_work_hours!$I:$I,monthly_work_hours!$A:$A,'FTE 계산'!$A64,monthly_work_hours!$H:$H,'FTE 계산'!H$2)) - (SUMIFS(monthly_work_hours!$L:$L,monthly_work_hours!$A:$A,'FTE 계산'!$A64,monthly_work_hours!$H:$H,'FTE 계산'!H$2))</f>
        <v>17</v>
      </c>
      <c r="I64">
        <f>(SUMIFS(monthly_work_hours!$I:$I,monthly_work_hours!$A:$A,'FTE 계산'!$A64,monthly_work_hours!$H:$H,'FTE 계산'!I$2)) - (SUMIFS(monthly_work_hours!$L:$L,monthly_work_hours!$A:$A,'FTE 계산'!$A64,monthly_work_hours!$H:$H,'FTE 계산'!I$2))</f>
        <v>19</v>
      </c>
      <c r="J64">
        <f>(SUMIFS(monthly_work_hours!$I:$I,monthly_work_hours!$A:$A,'FTE 계산'!$A64,monthly_work_hours!$H:$H,'FTE 계산'!J$2)) - (SUMIFS(monthly_work_hours!$L:$L,monthly_work_hours!$A:$A,'FTE 계산'!$A64,monthly_work_hours!$H:$H,'FTE 계산'!J$2))</f>
        <v>16</v>
      </c>
    </row>
    <row r="65" spans="1:10" x14ac:dyDescent="0.45">
      <c r="A65">
        <v>1213015</v>
      </c>
      <c r="B65" t="str">
        <f>_xlfn.XLOOKUP(A65,monthly_work_hours!A:A,monthly_work_hours!B:B)</f>
        <v>조영준</v>
      </c>
      <c r="C65" t="str">
        <f>_xlfn.XLOOKUP(A65,monthly_work_hours!A:A,monthly_work_hours!E:E)</f>
        <v>FL영업팀</v>
      </c>
      <c r="D65" t="str">
        <f>_xlfn.XLOOKUP(A65,monthly_work_hours!A:A,monthly_work_hours!F:F)</f>
        <v>선임</v>
      </c>
      <c r="E65">
        <f>SUMIFS(monthly_work_hours!$M:$M,monthly_work_hours!$A:$A,'FTE 계산'!$A65,monthly_work_hours!$H:$H,'FTE 계산'!E$2)</f>
        <v>148.19999999999999</v>
      </c>
      <c r="F65">
        <f>SUMIFS(monthly_work_hours!$M:$M,monthly_work_hours!$A:$A,'FTE 계산'!$A65,monthly_work_hours!$H:$H,'FTE 계산'!F$2)</f>
        <v>163.6</v>
      </c>
      <c r="G65">
        <f>SUMIFS(monthly_work_hours!$M:$M,monthly_work_hours!$A:$A,'FTE 계산'!$A65,monthly_work_hours!$H:$H,'FTE 계산'!G$2)</f>
        <v>209.3</v>
      </c>
      <c r="H65">
        <f>(SUMIFS(monthly_work_hours!$I:$I,monthly_work_hours!$A:$A,'FTE 계산'!$A65,monthly_work_hours!$H:$H,'FTE 계산'!H$2)) - (SUMIFS(monthly_work_hours!$L:$L,monthly_work_hours!$A:$A,'FTE 계산'!$A65,monthly_work_hours!$H:$H,'FTE 계산'!H$2))</f>
        <v>14</v>
      </c>
      <c r="I65">
        <f>(SUMIFS(monthly_work_hours!$I:$I,monthly_work_hours!$A:$A,'FTE 계산'!$A65,monthly_work_hours!$H:$H,'FTE 계산'!I$2)) - (SUMIFS(monthly_work_hours!$L:$L,monthly_work_hours!$A:$A,'FTE 계산'!$A65,monthly_work_hours!$H:$H,'FTE 계산'!I$2))</f>
        <v>14</v>
      </c>
      <c r="J65">
        <f>(SUMIFS(monthly_work_hours!$I:$I,monthly_work_hours!$A:$A,'FTE 계산'!$A65,monthly_work_hours!$H:$H,'FTE 계산'!J$2)) - (SUMIFS(monthly_work_hours!$L:$L,monthly_work_hours!$A:$A,'FTE 계산'!$A65,monthly_work_hours!$H:$H,'FTE 계산'!J$2))</f>
        <v>16</v>
      </c>
    </row>
    <row r="66" spans="1:10" x14ac:dyDescent="0.45">
      <c r="A66">
        <v>1213016</v>
      </c>
      <c r="B66" t="str">
        <f>_xlfn.XLOOKUP(A66,monthly_work_hours!A:A,monthly_work_hours!B:B)</f>
        <v>최지훈</v>
      </c>
      <c r="C66" t="str">
        <f>_xlfn.XLOOKUP(A66,monthly_work_hours!A:A,monthly_work_hours!E:E)</f>
        <v>관체사업팀</v>
      </c>
      <c r="D66" t="str">
        <f>_xlfn.XLOOKUP(A66,monthly_work_hours!A:A,monthly_work_hours!F:F)</f>
        <v>선임</v>
      </c>
      <c r="E66">
        <f>SUMIFS(monthly_work_hours!$M:$M,monthly_work_hours!$A:$A,'FTE 계산'!$A66,monthly_work_hours!$H:$H,'FTE 계산'!E$2)</f>
        <v>166.1</v>
      </c>
      <c r="F66">
        <f>SUMIFS(monthly_work_hours!$M:$M,monthly_work_hours!$A:$A,'FTE 계산'!$A66,monthly_work_hours!$H:$H,'FTE 계산'!F$2)</f>
        <v>174.9</v>
      </c>
      <c r="G66">
        <f>SUMIFS(monthly_work_hours!$M:$M,monthly_work_hours!$A:$A,'FTE 계산'!$A66,monthly_work_hours!$H:$H,'FTE 계산'!G$2)</f>
        <v>142.4</v>
      </c>
      <c r="H66">
        <f>(SUMIFS(monthly_work_hours!$I:$I,monthly_work_hours!$A:$A,'FTE 계산'!$A66,monthly_work_hours!$H:$H,'FTE 계산'!H$2)) - (SUMIFS(monthly_work_hours!$L:$L,monthly_work_hours!$A:$A,'FTE 계산'!$A66,monthly_work_hours!$H:$H,'FTE 계산'!H$2))</f>
        <v>18</v>
      </c>
      <c r="I66">
        <f>(SUMIFS(monthly_work_hours!$I:$I,monthly_work_hours!$A:$A,'FTE 계산'!$A66,monthly_work_hours!$H:$H,'FTE 계산'!I$2)) - (SUMIFS(monthly_work_hours!$L:$L,monthly_work_hours!$A:$A,'FTE 계산'!$A66,monthly_work_hours!$H:$H,'FTE 계산'!I$2))</f>
        <v>17</v>
      </c>
      <c r="J66">
        <f>(SUMIFS(monthly_work_hours!$I:$I,monthly_work_hours!$A:$A,'FTE 계산'!$A66,monthly_work_hours!$H:$H,'FTE 계산'!J$2)) - (SUMIFS(monthly_work_hours!$L:$L,monthly_work_hours!$A:$A,'FTE 계산'!$A66,monthly_work_hours!$H:$H,'FTE 계산'!J$2))</f>
        <v>16</v>
      </c>
    </row>
    <row r="67" spans="1:10" x14ac:dyDescent="0.45">
      <c r="A67">
        <v>1213019</v>
      </c>
      <c r="B67" t="str">
        <f>_xlfn.XLOOKUP(A67,monthly_work_hours!A:A,monthly_work_hours!B:B)</f>
        <v>박종욱</v>
      </c>
      <c r="C67" t="str">
        <f>_xlfn.XLOOKUP(A67,monthly_work_hours!A:A,monthly_work_hours!E:E)</f>
        <v>FL품질보증팀</v>
      </c>
      <c r="D67" t="str">
        <f>_xlfn.XLOOKUP(A67,monthly_work_hours!A:A,monthly_work_hours!F:F)</f>
        <v>선임</v>
      </c>
      <c r="E67">
        <f>SUMIFS(monthly_work_hours!$M:$M,monthly_work_hours!$A:$A,'FTE 계산'!$A67,monthly_work_hours!$H:$H,'FTE 계산'!E$2)</f>
        <v>201.9</v>
      </c>
      <c r="F67">
        <f>SUMIFS(monthly_work_hours!$M:$M,monthly_work_hours!$A:$A,'FTE 계산'!$A67,monthly_work_hours!$H:$H,'FTE 계산'!F$2)</f>
        <v>159.1</v>
      </c>
      <c r="G67">
        <f>SUMIFS(monthly_work_hours!$M:$M,monthly_work_hours!$A:$A,'FTE 계산'!$A67,monthly_work_hours!$H:$H,'FTE 계산'!G$2)</f>
        <v>135.30000000000001</v>
      </c>
      <c r="H67">
        <f>(SUMIFS(monthly_work_hours!$I:$I,monthly_work_hours!$A:$A,'FTE 계산'!$A67,monthly_work_hours!$H:$H,'FTE 계산'!H$2)) - (SUMIFS(monthly_work_hours!$L:$L,monthly_work_hours!$A:$A,'FTE 계산'!$A67,monthly_work_hours!$H:$H,'FTE 계산'!H$2))</f>
        <v>19</v>
      </c>
      <c r="I67">
        <f>(SUMIFS(monthly_work_hours!$I:$I,monthly_work_hours!$A:$A,'FTE 계산'!$A67,monthly_work_hours!$H:$H,'FTE 계산'!I$2)) - (SUMIFS(monthly_work_hours!$L:$L,monthly_work_hours!$A:$A,'FTE 계산'!$A67,monthly_work_hours!$H:$H,'FTE 계산'!I$2))</f>
        <v>17</v>
      </c>
      <c r="J67">
        <f>(SUMIFS(monthly_work_hours!$I:$I,monthly_work_hours!$A:$A,'FTE 계산'!$A67,monthly_work_hours!$H:$H,'FTE 계산'!J$2)) - (SUMIFS(monthly_work_hours!$L:$L,monthly_work_hours!$A:$A,'FTE 계산'!$A67,monthly_work_hours!$H:$H,'FTE 계산'!J$2))</f>
        <v>15</v>
      </c>
    </row>
    <row r="68" spans="1:10" x14ac:dyDescent="0.45">
      <c r="A68">
        <v>1213028</v>
      </c>
      <c r="B68" t="str">
        <f>_xlfn.XLOOKUP(A68,monthly_work_hours!A:A,monthly_work_hours!B:B)</f>
        <v>차지윤</v>
      </c>
      <c r="C68" t="str">
        <f>_xlfn.XLOOKUP(A68,monthly_work_hours!A:A,monthly_work_hours!E:E)</f>
        <v>SL설계팀</v>
      </c>
      <c r="D68" t="str">
        <f>_xlfn.XLOOKUP(A68,monthly_work_hours!A:A,monthly_work_hours!F:F)</f>
        <v>선임</v>
      </c>
      <c r="E68">
        <f>SUMIFS(monthly_work_hours!$M:$M,monthly_work_hours!$A:$A,'FTE 계산'!$A68,monthly_work_hours!$H:$H,'FTE 계산'!E$2)</f>
        <v>517.29999999999995</v>
      </c>
      <c r="F68">
        <f>SUMIFS(monthly_work_hours!$M:$M,monthly_work_hours!$A:$A,'FTE 계산'!$A68,monthly_work_hours!$H:$H,'FTE 계산'!F$2)</f>
        <v>29</v>
      </c>
      <c r="G68">
        <f>SUMIFS(monthly_work_hours!$M:$M,monthly_work_hours!$A:$A,'FTE 계산'!$A68,monthly_work_hours!$H:$H,'FTE 계산'!G$2)</f>
        <v>0</v>
      </c>
      <c r="H68">
        <f>(SUMIFS(monthly_work_hours!$I:$I,monthly_work_hours!$A:$A,'FTE 계산'!$A68,monthly_work_hours!$H:$H,'FTE 계산'!H$2)) - (SUMIFS(monthly_work_hours!$L:$L,monthly_work_hours!$A:$A,'FTE 계산'!$A68,monthly_work_hours!$H:$H,'FTE 계산'!H$2))</f>
        <v>18</v>
      </c>
      <c r="I68">
        <f>(SUMIFS(monthly_work_hours!$I:$I,monthly_work_hours!$A:$A,'FTE 계산'!$A68,monthly_work_hours!$H:$H,'FTE 계산'!I$2)) - (SUMIFS(monthly_work_hours!$L:$L,monthly_work_hours!$A:$A,'FTE 계산'!$A68,monthly_work_hours!$H:$H,'FTE 계산'!I$2))</f>
        <v>2</v>
      </c>
      <c r="J68">
        <f>(SUMIFS(monthly_work_hours!$I:$I,monthly_work_hours!$A:$A,'FTE 계산'!$A68,monthly_work_hours!$H:$H,'FTE 계산'!J$2)) - (SUMIFS(monthly_work_hours!$L:$L,monthly_work_hours!$A:$A,'FTE 계산'!$A68,monthly_work_hours!$H:$H,'FTE 계산'!J$2))</f>
        <v>0</v>
      </c>
    </row>
    <row r="69" spans="1:10" x14ac:dyDescent="0.45">
      <c r="A69">
        <v>1213066</v>
      </c>
      <c r="B69" t="str">
        <f>_xlfn.XLOOKUP(A69,monthly_work_hours!A:A,monthly_work_hours!B:B)</f>
        <v>서수현</v>
      </c>
      <c r="C69" t="str">
        <f>_xlfn.XLOOKUP(A69,monthly_work_hours!A:A,monthly_work_hours!E:E)</f>
        <v>재무팀</v>
      </c>
      <c r="D69" t="str">
        <f>_xlfn.XLOOKUP(A69,monthly_work_hours!A:A,monthly_work_hours!F:F)</f>
        <v>책임</v>
      </c>
      <c r="E69">
        <f>SUMIFS(monthly_work_hours!$M:$M,monthly_work_hours!$A:$A,'FTE 계산'!$A69,monthly_work_hours!$H:$H,'FTE 계산'!E$2)</f>
        <v>191.9</v>
      </c>
      <c r="F69">
        <f>SUMIFS(monthly_work_hours!$M:$M,monthly_work_hours!$A:$A,'FTE 계산'!$A69,monthly_work_hours!$H:$H,'FTE 계산'!F$2)</f>
        <v>220.7</v>
      </c>
      <c r="G69">
        <f>SUMIFS(monthly_work_hours!$M:$M,monthly_work_hours!$A:$A,'FTE 계산'!$A69,monthly_work_hours!$H:$H,'FTE 계산'!G$2)</f>
        <v>156.69999999999999</v>
      </c>
      <c r="H69">
        <f>(SUMIFS(monthly_work_hours!$I:$I,monthly_work_hours!$A:$A,'FTE 계산'!$A69,monthly_work_hours!$H:$H,'FTE 계산'!H$2)) - (SUMIFS(monthly_work_hours!$L:$L,monthly_work_hours!$A:$A,'FTE 계산'!$A69,monthly_work_hours!$H:$H,'FTE 계산'!H$2))</f>
        <v>19</v>
      </c>
      <c r="I69">
        <f>(SUMIFS(monthly_work_hours!$I:$I,monthly_work_hours!$A:$A,'FTE 계산'!$A69,monthly_work_hours!$H:$H,'FTE 계산'!I$2)) - (SUMIFS(monthly_work_hours!$L:$L,monthly_work_hours!$A:$A,'FTE 계산'!$A69,monthly_work_hours!$H:$H,'FTE 계산'!I$2))</f>
        <v>23</v>
      </c>
      <c r="J69">
        <f>(SUMIFS(monthly_work_hours!$I:$I,monthly_work_hours!$A:$A,'FTE 계산'!$A69,monthly_work_hours!$H:$H,'FTE 계산'!J$2)) - (SUMIFS(monthly_work_hours!$L:$L,monthly_work_hours!$A:$A,'FTE 계산'!$A69,monthly_work_hours!$H:$H,'FTE 계산'!J$2))</f>
        <v>17</v>
      </c>
    </row>
    <row r="70" spans="1:10" x14ac:dyDescent="0.45">
      <c r="A70">
        <v>1213083</v>
      </c>
      <c r="B70" t="str">
        <f>_xlfn.XLOOKUP(A70,monthly_work_hours!A:A,monthly_work_hours!B:B)</f>
        <v>박상훈</v>
      </c>
      <c r="C70" t="str">
        <f>_xlfn.XLOOKUP(A70,monthly_work_hours!A:A,monthly_work_hours!E:E)</f>
        <v>경영지원팀</v>
      </c>
      <c r="D70" t="str">
        <f>_xlfn.XLOOKUP(A70,monthly_work_hours!A:A,monthly_work_hours!F:F)</f>
        <v>책임</v>
      </c>
      <c r="E70">
        <f>SUMIFS(monthly_work_hours!$M:$M,monthly_work_hours!$A:$A,'FTE 계산'!$A70,monthly_work_hours!$H:$H,'FTE 계산'!E$2)</f>
        <v>182.7</v>
      </c>
      <c r="F70">
        <f>SUMIFS(monthly_work_hours!$M:$M,monthly_work_hours!$A:$A,'FTE 계산'!$A70,monthly_work_hours!$H:$H,'FTE 계산'!F$2)</f>
        <v>178.8</v>
      </c>
      <c r="G70">
        <f>SUMIFS(monthly_work_hours!$M:$M,monthly_work_hours!$A:$A,'FTE 계산'!$A70,monthly_work_hours!$H:$H,'FTE 계산'!G$2)</f>
        <v>156</v>
      </c>
      <c r="H70">
        <f>(SUMIFS(monthly_work_hours!$I:$I,monthly_work_hours!$A:$A,'FTE 계산'!$A70,monthly_work_hours!$H:$H,'FTE 계산'!H$2)) - (SUMIFS(monthly_work_hours!$L:$L,monthly_work_hours!$A:$A,'FTE 계산'!$A70,monthly_work_hours!$H:$H,'FTE 계산'!H$2))</f>
        <v>19</v>
      </c>
      <c r="I70">
        <f>(SUMIFS(monthly_work_hours!$I:$I,monthly_work_hours!$A:$A,'FTE 계산'!$A70,monthly_work_hours!$H:$H,'FTE 계산'!I$2)) - (SUMIFS(monthly_work_hours!$L:$L,monthly_work_hours!$A:$A,'FTE 계산'!$A70,monthly_work_hours!$H:$H,'FTE 계산'!I$2))</f>
        <v>18</v>
      </c>
      <c r="J70">
        <f>(SUMIFS(monthly_work_hours!$I:$I,monthly_work_hours!$A:$A,'FTE 계산'!$A70,monthly_work_hours!$H:$H,'FTE 계산'!J$2)) - (SUMIFS(monthly_work_hours!$L:$L,monthly_work_hours!$A:$A,'FTE 계산'!$A70,monthly_work_hours!$H:$H,'FTE 계산'!J$2))</f>
        <v>17</v>
      </c>
    </row>
    <row r="71" spans="1:10" x14ac:dyDescent="0.45">
      <c r="A71">
        <v>1213101</v>
      </c>
      <c r="B71" t="str">
        <f>_xlfn.XLOOKUP(A71,monthly_work_hours!A:A,monthly_work_hours!B:B)</f>
        <v>류성근</v>
      </c>
      <c r="C71" t="str">
        <f>_xlfn.XLOOKUP(A71,monthly_work_hours!A:A,monthly_work_hours!E:E)</f>
        <v>FL품질보증팀</v>
      </c>
      <c r="D71" t="str">
        <f>_xlfn.XLOOKUP(A71,monthly_work_hours!A:A,monthly_work_hours!F:F)</f>
        <v>선임</v>
      </c>
      <c r="E71">
        <f>SUMIFS(monthly_work_hours!$M:$M,monthly_work_hours!$A:$A,'FTE 계산'!$A71,monthly_work_hours!$H:$H,'FTE 계산'!E$2)</f>
        <v>186.5</v>
      </c>
      <c r="F71">
        <f>SUMIFS(monthly_work_hours!$M:$M,monthly_work_hours!$A:$A,'FTE 계산'!$A71,monthly_work_hours!$H:$H,'FTE 계산'!F$2)</f>
        <v>147.30000000000001</v>
      </c>
      <c r="G71">
        <f>SUMIFS(monthly_work_hours!$M:$M,monthly_work_hours!$A:$A,'FTE 계산'!$A71,monthly_work_hours!$H:$H,'FTE 계산'!G$2)</f>
        <v>104.7</v>
      </c>
      <c r="H71">
        <f>(SUMIFS(monthly_work_hours!$I:$I,monthly_work_hours!$A:$A,'FTE 계산'!$A71,monthly_work_hours!$H:$H,'FTE 계산'!H$2)) - (SUMIFS(monthly_work_hours!$L:$L,monthly_work_hours!$A:$A,'FTE 계산'!$A71,monthly_work_hours!$H:$H,'FTE 계산'!H$2))</f>
        <v>17</v>
      </c>
      <c r="I71">
        <f>(SUMIFS(monthly_work_hours!$I:$I,monthly_work_hours!$A:$A,'FTE 계산'!$A71,monthly_work_hours!$H:$H,'FTE 계산'!I$2)) - (SUMIFS(monthly_work_hours!$L:$L,monthly_work_hours!$A:$A,'FTE 계산'!$A71,monthly_work_hours!$H:$H,'FTE 계산'!I$2))</f>
        <v>16</v>
      </c>
      <c r="J71">
        <f>(SUMIFS(monthly_work_hours!$I:$I,monthly_work_hours!$A:$A,'FTE 계산'!$A71,monthly_work_hours!$H:$H,'FTE 계산'!J$2)) - (SUMIFS(monthly_work_hours!$L:$L,monthly_work_hours!$A:$A,'FTE 계산'!$A71,monthly_work_hours!$H:$H,'FTE 계산'!J$2))</f>
        <v>12</v>
      </c>
    </row>
    <row r="72" spans="1:10" x14ac:dyDescent="0.45">
      <c r="A72">
        <v>1213150</v>
      </c>
      <c r="B72" t="str">
        <f>_xlfn.XLOOKUP(A72,monthly_work_hours!A:A,monthly_work_hours!B:B)</f>
        <v>이동훈</v>
      </c>
      <c r="C72" t="str">
        <f>_xlfn.XLOOKUP(A72,monthly_work_hours!A:A,monthly_work_hours!E:E)</f>
        <v>SL개발팀</v>
      </c>
      <c r="D72" t="str">
        <f>_xlfn.XLOOKUP(A72,monthly_work_hours!A:A,monthly_work_hours!F:F)</f>
        <v>선임</v>
      </c>
      <c r="E72">
        <f>SUMIFS(monthly_work_hours!$M:$M,monthly_work_hours!$A:$A,'FTE 계산'!$A72,monthly_work_hours!$H:$H,'FTE 계산'!E$2)</f>
        <v>0</v>
      </c>
      <c r="F72">
        <f>SUMIFS(monthly_work_hours!$M:$M,monthly_work_hours!$A:$A,'FTE 계산'!$A72,monthly_work_hours!$H:$H,'FTE 계산'!F$2)</f>
        <v>0</v>
      </c>
      <c r="G72">
        <f>SUMIFS(monthly_work_hours!$M:$M,monthly_work_hours!$A:$A,'FTE 계산'!$A72,monthly_work_hours!$H:$H,'FTE 계산'!G$2)</f>
        <v>0.3</v>
      </c>
      <c r="H72">
        <f>(SUMIFS(monthly_work_hours!$I:$I,monthly_work_hours!$A:$A,'FTE 계산'!$A72,monthly_work_hours!$H:$H,'FTE 계산'!H$2)) - (SUMIFS(monthly_work_hours!$L:$L,monthly_work_hours!$A:$A,'FTE 계산'!$A72,monthly_work_hours!$H:$H,'FTE 계산'!H$2))</f>
        <v>0</v>
      </c>
      <c r="I72">
        <f>(SUMIFS(monthly_work_hours!$I:$I,monthly_work_hours!$A:$A,'FTE 계산'!$A72,monthly_work_hours!$H:$H,'FTE 계산'!I$2)) - (SUMIFS(monthly_work_hours!$L:$L,monthly_work_hours!$A:$A,'FTE 계산'!$A72,monthly_work_hours!$H:$H,'FTE 계산'!I$2))</f>
        <v>0</v>
      </c>
      <c r="J72">
        <f>(SUMIFS(monthly_work_hours!$I:$I,monthly_work_hours!$A:$A,'FTE 계산'!$A72,monthly_work_hours!$H:$H,'FTE 계산'!J$2)) - (SUMIFS(monthly_work_hours!$L:$L,monthly_work_hours!$A:$A,'FTE 계산'!$A72,monthly_work_hours!$H:$H,'FTE 계산'!J$2))</f>
        <v>1</v>
      </c>
    </row>
    <row r="73" spans="1:10" x14ac:dyDescent="0.45">
      <c r="A73">
        <v>1213151</v>
      </c>
      <c r="B73" t="str">
        <f>_xlfn.XLOOKUP(A73,monthly_work_hours!A:A,monthly_work_hours!B:B)</f>
        <v>이무형</v>
      </c>
      <c r="C73" t="str">
        <f>_xlfn.XLOOKUP(A73,monthly_work_hours!A:A,monthly_work_hours!E:E)</f>
        <v>SL설계팀</v>
      </c>
      <c r="D73" t="str">
        <f>_xlfn.XLOOKUP(A73,monthly_work_hours!A:A,monthly_work_hours!F:F)</f>
        <v>선임</v>
      </c>
      <c r="E73">
        <f>SUMIFS(monthly_work_hours!$M:$M,monthly_work_hours!$A:$A,'FTE 계산'!$A73,monthly_work_hours!$H:$H,'FTE 계산'!E$2)</f>
        <v>8</v>
      </c>
      <c r="F73">
        <f>SUMIFS(monthly_work_hours!$M:$M,monthly_work_hours!$A:$A,'FTE 계산'!$A73,monthly_work_hours!$H:$H,'FTE 계산'!F$2)</f>
        <v>32</v>
      </c>
      <c r="G73">
        <f>SUMIFS(monthly_work_hours!$M:$M,monthly_work_hours!$A:$A,'FTE 계산'!$A73,monthly_work_hours!$H:$H,'FTE 계산'!G$2)</f>
        <v>11.9</v>
      </c>
      <c r="H73">
        <f>(SUMIFS(monthly_work_hours!$I:$I,monthly_work_hours!$A:$A,'FTE 계산'!$A73,monthly_work_hours!$H:$H,'FTE 계산'!H$2)) - (SUMIFS(monthly_work_hours!$L:$L,monthly_work_hours!$A:$A,'FTE 계산'!$A73,monthly_work_hours!$H:$H,'FTE 계산'!H$2))</f>
        <v>2</v>
      </c>
      <c r="I73">
        <f>(SUMIFS(monthly_work_hours!$I:$I,monthly_work_hours!$A:$A,'FTE 계산'!$A73,monthly_work_hours!$H:$H,'FTE 계산'!I$2)) - (SUMIFS(monthly_work_hours!$L:$L,monthly_work_hours!$A:$A,'FTE 계산'!$A73,monthly_work_hours!$H:$H,'FTE 계산'!I$2))</f>
        <v>6</v>
      </c>
      <c r="J73">
        <f>(SUMIFS(monthly_work_hours!$I:$I,monthly_work_hours!$A:$A,'FTE 계산'!$A73,monthly_work_hours!$H:$H,'FTE 계산'!J$2)) - (SUMIFS(monthly_work_hours!$L:$L,monthly_work_hours!$A:$A,'FTE 계산'!$A73,monthly_work_hours!$H:$H,'FTE 계산'!J$2))</f>
        <v>3</v>
      </c>
    </row>
    <row r="74" spans="1:10" x14ac:dyDescent="0.45">
      <c r="A74">
        <v>1213173</v>
      </c>
      <c r="B74" t="str">
        <f>_xlfn.XLOOKUP(A74,monthly_work_hours!A:A,monthly_work_hours!B:B)</f>
        <v>김영욱</v>
      </c>
      <c r="C74" t="str">
        <f>_xlfn.XLOOKUP(A74,monthly_work_hours!A:A,monthly_work_hours!E:E)</f>
        <v>FL설계팀</v>
      </c>
      <c r="D74" t="str">
        <f>_xlfn.XLOOKUP(A74,monthly_work_hours!A:A,monthly_work_hours!F:F)</f>
        <v>선임</v>
      </c>
      <c r="E74">
        <f>SUMIFS(monthly_work_hours!$M:$M,monthly_work_hours!$A:$A,'FTE 계산'!$A74,monthly_work_hours!$H:$H,'FTE 계산'!E$2)</f>
        <v>143.30000000000001</v>
      </c>
      <c r="F74">
        <f>SUMIFS(monthly_work_hours!$M:$M,monthly_work_hours!$A:$A,'FTE 계산'!$A74,monthly_work_hours!$H:$H,'FTE 계산'!F$2)</f>
        <v>137.80000000000001</v>
      </c>
      <c r="G74">
        <f>SUMIFS(monthly_work_hours!$M:$M,monthly_work_hours!$A:$A,'FTE 계산'!$A74,monthly_work_hours!$H:$H,'FTE 계산'!G$2)</f>
        <v>112.6</v>
      </c>
      <c r="H74">
        <f>(SUMIFS(monthly_work_hours!$I:$I,monthly_work_hours!$A:$A,'FTE 계산'!$A74,monthly_work_hours!$H:$H,'FTE 계산'!H$2)) - (SUMIFS(monthly_work_hours!$L:$L,monthly_work_hours!$A:$A,'FTE 계산'!$A74,monthly_work_hours!$H:$H,'FTE 계산'!H$2))</f>
        <v>16</v>
      </c>
      <c r="I74">
        <f>(SUMIFS(monthly_work_hours!$I:$I,monthly_work_hours!$A:$A,'FTE 계산'!$A74,monthly_work_hours!$H:$H,'FTE 계산'!I$2)) - (SUMIFS(monthly_work_hours!$L:$L,monthly_work_hours!$A:$A,'FTE 계산'!$A74,monthly_work_hours!$H:$H,'FTE 계산'!I$2))</f>
        <v>17</v>
      </c>
      <c r="J74">
        <f>(SUMIFS(monthly_work_hours!$I:$I,monthly_work_hours!$A:$A,'FTE 계산'!$A74,monthly_work_hours!$H:$H,'FTE 계산'!J$2)) - (SUMIFS(monthly_work_hours!$L:$L,monthly_work_hours!$A:$A,'FTE 계산'!$A74,monthly_work_hours!$H:$H,'FTE 계산'!J$2))</f>
        <v>15</v>
      </c>
    </row>
    <row r="75" spans="1:10" x14ac:dyDescent="0.45">
      <c r="A75">
        <v>1214002</v>
      </c>
      <c r="B75" t="str">
        <f>_xlfn.XLOOKUP(A75,monthly_work_hours!A:A,monthly_work_hours!B:B)</f>
        <v>김명진</v>
      </c>
      <c r="C75" t="str">
        <f>_xlfn.XLOOKUP(A75,monthly_work_hours!A:A,monthly_work_hours!E:E)</f>
        <v>SL구매팀</v>
      </c>
      <c r="D75" t="str">
        <f>_xlfn.XLOOKUP(A75,monthly_work_hours!A:A,monthly_work_hours!F:F)</f>
        <v>선임</v>
      </c>
      <c r="E75">
        <f>SUMIFS(monthly_work_hours!$M:$M,monthly_work_hours!$A:$A,'FTE 계산'!$A75,monthly_work_hours!$H:$H,'FTE 계산'!E$2)</f>
        <v>180.5</v>
      </c>
      <c r="F75">
        <f>SUMIFS(monthly_work_hours!$M:$M,monthly_work_hours!$A:$A,'FTE 계산'!$A75,monthly_work_hours!$H:$H,'FTE 계산'!F$2)</f>
        <v>163</v>
      </c>
      <c r="G75">
        <f>SUMIFS(monthly_work_hours!$M:$M,monthly_work_hours!$A:$A,'FTE 계산'!$A75,monthly_work_hours!$H:$H,'FTE 계산'!G$2)</f>
        <v>143.9</v>
      </c>
      <c r="H75">
        <f>(SUMIFS(monthly_work_hours!$I:$I,monthly_work_hours!$A:$A,'FTE 계산'!$A75,monthly_work_hours!$H:$H,'FTE 계산'!H$2)) - (SUMIFS(monthly_work_hours!$L:$L,monthly_work_hours!$A:$A,'FTE 계산'!$A75,monthly_work_hours!$H:$H,'FTE 계산'!H$2))</f>
        <v>18</v>
      </c>
      <c r="I75">
        <f>(SUMIFS(monthly_work_hours!$I:$I,monthly_work_hours!$A:$A,'FTE 계산'!$A75,monthly_work_hours!$H:$H,'FTE 계산'!I$2)) - (SUMIFS(monthly_work_hours!$L:$L,monthly_work_hours!$A:$A,'FTE 계산'!$A75,monthly_work_hours!$H:$H,'FTE 계산'!I$2))</f>
        <v>16</v>
      </c>
      <c r="J75">
        <f>(SUMIFS(monthly_work_hours!$I:$I,monthly_work_hours!$A:$A,'FTE 계산'!$A75,monthly_work_hours!$H:$H,'FTE 계산'!J$2)) - (SUMIFS(monthly_work_hours!$L:$L,monthly_work_hours!$A:$A,'FTE 계산'!$A75,monthly_work_hours!$H:$H,'FTE 계산'!J$2))</f>
        <v>15</v>
      </c>
    </row>
    <row r="76" spans="1:10" x14ac:dyDescent="0.45">
      <c r="A76">
        <v>1214054</v>
      </c>
      <c r="B76" t="str">
        <f>_xlfn.XLOOKUP(A76,monthly_work_hours!A:A,monthly_work_hours!B:B)</f>
        <v>나진수</v>
      </c>
      <c r="C76" t="e">
        <f>_xlfn.XLOOKUP(A76,monthly_work_hours!A:A,monthly_work_hours!E:E)</f>
        <v>#N/A</v>
      </c>
      <c r="D76" t="str">
        <f>_xlfn.XLOOKUP(A76,monthly_work_hours!A:A,monthly_work_hours!F:F)</f>
        <v>기능대리</v>
      </c>
      <c r="E76">
        <f>SUMIFS(monthly_work_hours!$M:$M,monthly_work_hours!$A:$A,'FTE 계산'!$A76,monthly_work_hours!$H:$H,'FTE 계산'!E$2)</f>
        <v>170.9</v>
      </c>
      <c r="F76">
        <f>SUMIFS(monthly_work_hours!$M:$M,monthly_work_hours!$A:$A,'FTE 계산'!$A76,monthly_work_hours!$H:$H,'FTE 계산'!F$2)</f>
        <v>107.6</v>
      </c>
      <c r="G76">
        <f>SUMIFS(monthly_work_hours!$M:$M,monthly_work_hours!$A:$A,'FTE 계산'!$A76,monthly_work_hours!$H:$H,'FTE 계산'!G$2)</f>
        <v>61.8</v>
      </c>
      <c r="H76">
        <f>(SUMIFS(monthly_work_hours!$I:$I,monthly_work_hours!$A:$A,'FTE 계산'!$A76,monthly_work_hours!$H:$H,'FTE 계산'!H$2)) - (SUMIFS(monthly_work_hours!$L:$L,monthly_work_hours!$A:$A,'FTE 계산'!$A76,monthly_work_hours!$H:$H,'FTE 계산'!H$2))</f>
        <v>19</v>
      </c>
      <c r="I76">
        <f>(SUMIFS(monthly_work_hours!$I:$I,monthly_work_hours!$A:$A,'FTE 계산'!$A76,monthly_work_hours!$H:$H,'FTE 계산'!I$2)) - (SUMIFS(monthly_work_hours!$L:$L,monthly_work_hours!$A:$A,'FTE 계산'!$A76,monthly_work_hours!$H:$H,'FTE 계산'!I$2))</f>
        <v>19</v>
      </c>
      <c r="J76">
        <f>(SUMIFS(monthly_work_hours!$I:$I,monthly_work_hours!$A:$A,'FTE 계산'!$A76,monthly_work_hours!$H:$H,'FTE 계산'!J$2)) - (SUMIFS(monthly_work_hours!$L:$L,monthly_work_hours!$A:$A,'FTE 계산'!$A76,monthly_work_hours!$H:$H,'FTE 계산'!J$2))</f>
        <v>15</v>
      </c>
    </row>
    <row r="77" spans="1:10" x14ac:dyDescent="0.45">
      <c r="A77">
        <v>1214099</v>
      </c>
      <c r="B77" t="str">
        <f>_xlfn.XLOOKUP(A77,monthly_work_hours!A:A,monthly_work_hours!B:B)</f>
        <v>성열민</v>
      </c>
      <c r="C77" t="str">
        <f>_xlfn.XLOOKUP(A77,monthly_work_hours!A:A,monthly_work_hours!E:E)</f>
        <v>B/H사업팀</v>
      </c>
      <c r="D77" t="str">
        <f>_xlfn.XLOOKUP(A77,monthly_work_hours!A:A,monthly_work_hours!F:F)</f>
        <v>책임</v>
      </c>
      <c r="E77">
        <f>SUMIFS(monthly_work_hours!$M:$M,monthly_work_hours!$A:$A,'FTE 계산'!$A77,monthly_work_hours!$H:$H,'FTE 계산'!E$2)</f>
        <v>194.6</v>
      </c>
      <c r="F77">
        <f>SUMIFS(monthly_work_hours!$M:$M,monthly_work_hours!$A:$A,'FTE 계산'!$A77,monthly_work_hours!$H:$H,'FTE 계산'!F$2)</f>
        <v>190.4</v>
      </c>
      <c r="G77">
        <f>SUMIFS(monthly_work_hours!$M:$M,monthly_work_hours!$A:$A,'FTE 계산'!$A77,monthly_work_hours!$H:$H,'FTE 계산'!G$2)</f>
        <v>156.6</v>
      </c>
      <c r="H77">
        <f>(SUMIFS(monthly_work_hours!$I:$I,monthly_work_hours!$A:$A,'FTE 계산'!$A77,monthly_work_hours!$H:$H,'FTE 계산'!H$2)) - (SUMIFS(monthly_work_hours!$L:$L,monthly_work_hours!$A:$A,'FTE 계산'!$A77,monthly_work_hours!$H:$H,'FTE 계산'!H$2))</f>
        <v>19</v>
      </c>
      <c r="I77">
        <f>(SUMIFS(monthly_work_hours!$I:$I,monthly_work_hours!$A:$A,'FTE 계산'!$A77,monthly_work_hours!$H:$H,'FTE 계산'!I$2)) - (SUMIFS(monthly_work_hours!$L:$L,monthly_work_hours!$A:$A,'FTE 계산'!$A77,monthly_work_hours!$H:$H,'FTE 계산'!I$2))</f>
        <v>19</v>
      </c>
      <c r="J77">
        <f>(SUMIFS(monthly_work_hours!$I:$I,monthly_work_hours!$A:$A,'FTE 계산'!$A77,monthly_work_hours!$H:$H,'FTE 계산'!J$2)) - (SUMIFS(monthly_work_hours!$L:$L,monthly_work_hours!$A:$A,'FTE 계산'!$A77,monthly_work_hours!$H:$H,'FTE 계산'!J$2))</f>
        <v>16</v>
      </c>
    </row>
    <row r="78" spans="1:10" x14ac:dyDescent="0.45">
      <c r="A78">
        <v>1214104</v>
      </c>
      <c r="B78" t="str">
        <f>_xlfn.XLOOKUP(A78,monthly_work_hours!A:A,monthly_work_hours!B:B)</f>
        <v>권순욱</v>
      </c>
      <c r="C78" t="str">
        <f>_xlfn.XLOOKUP(A78,monthly_work_hours!A:A,monthly_work_hours!E:E)</f>
        <v>열관리사업팀</v>
      </c>
      <c r="D78" t="str">
        <f>_xlfn.XLOOKUP(A78,monthly_work_hours!A:A,monthly_work_hours!F:F)</f>
        <v>선임</v>
      </c>
      <c r="E78">
        <f>SUMIFS(monthly_work_hours!$M:$M,monthly_work_hours!$A:$A,'FTE 계산'!$A78,monthly_work_hours!$H:$H,'FTE 계산'!E$2)</f>
        <v>150.30000000000001</v>
      </c>
      <c r="F78">
        <f>SUMIFS(monthly_work_hours!$M:$M,monthly_work_hours!$A:$A,'FTE 계산'!$A78,monthly_work_hours!$H:$H,'FTE 계산'!F$2)</f>
        <v>176.1</v>
      </c>
      <c r="G78">
        <f>SUMIFS(monthly_work_hours!$M:$M,monthly_work_hours!$A:$A,'FTE 계산'!$A78,monthly_work_hours!$H:$H,'FTE 계산'!G$2)</f>
        <v>139.6</v>
      </c>
      <c r="H78">
        <f>(SUMIFS(monthly_work_hours!$I:$I,monthly_work_hours!$A:$A,'FTE 계산'!$A78,monthly_work_hours!$H:$H,'FTE 계산'!H$2)) - (SUMIFS(monthly_work_hours!$L:$L,monthly_work_hours!$A:$A,'FTE 계산'!$A78,monthly_work_hours!$H:$H,'FTE 계산'!H$2))</f>
        <v>16</v>
      </c>
      <c r="I78">
        <f>(SUMIFS(monthly_work_hours!$I:$I,monthly_work_hours!$A:$A,'FTE 계산'!$A78,monthly_work_hours!$H:$H,'FTE 계산'!I$2)) - (SUMIFS(monthly_work_hours!$L:$L,monthly_work_hours!$A:$A,'FTE 계산'!$A78,monthly_work_hours!$H:$H,'FTE 계산'!I$2))</f>
        <v>18</v>
      </c>
      <c r="J78">
        <f>(SUMIFS(monthly_work_hours!$I:$I,monthly_work_hours!$A:$A,'FTE 계산'!$A78,monthly_work_hours!$H:$H,'FTE 계산'!J$2)) - (SUMIFS(monthly_work_hours!$L:$L,monthly_work_hours!$A:$A,'FTE 계산'!$A78,monthly_work_hours!$H:$H,'FTE 계산'!J$2))</f>
        <v>15</v>
      </c>
    </row>
    <row r="79" spans="1:10" x14ac:dyDescent="0.45">
      <c r="A79">
        <v>1214105</v>
      </c>
      <c r="B79" t="str">
        <f>_xlfn.XLOOKUP(A79,monthly_work_hours!A:A,monthly_work_hours!B:B)</f>
        <v>이기혁</v>
      </c>
      <c r="C79" t="str">
        <f>_xlfn.XLOOKUP(A79,monthly_work_hours!A:A,monthly_work_hours!E:E)</f>
        <v>SL구매팀</v>
      </c>
      <c r="D79" t="str">
        <f>_xlfn.XLOOKUP(A79,monthly_work_hours!A:A,monthly_work_hours!F:F)</f>
        <v>선임</v>
      </c>
      <c r="E79">
        <f>SUMIFS(monthly_work_hours!$M:$M,monthly_work_hours!$A:$A,'FTE 계산'!$A79,monthly_work_hours!$H:$H,'FTE 계산'!E$2)</f>
        <v>164.6</v>
      </c>
      <c r="F79">
        <f>SUMIFS(monthly_work_hours!$M:$M,monthly_work_hours!$A:$A,'FTE 계산'!$A79,monthly_work_hours!$H:$H,'FTE 계산'!F$2)</f>
        <v>159.19999999999999</v>
      </c>
      <c r="G79">
        <f>SUMIFS(monthly_work_hours!$M:$M,monthly_work_hours!$A:$A,'FTE 계산'!$A79,monthly_work_hours!$H:$H,'FTE 계산'!G$2)</f>
        <v>134.6</v>
      </c>
      <c r="H79">
        <f>(SUMIFS(monthly_work_hours!$I:$I,monthly_work_hours!$A:$A,'FTE 계산'!$A79,monthly_work_hours!$H:$H,'FTE 계산'!H$2)) - (SUMIFS(monthly_work_hours!$L:$L,monthly_work_hours!$A:$A,'FTE 계산'!$A79,monthly_work_hours!$H:$H,'FTE 계산'!H$2))</f>
        <v>18</v>
      </c>
      <c r="I79">
        <f>(SUMIFS(monthly_work_hours!$I:$I,monthly_work_hours!$A:$A,'FTE 계산'!$A79,monthly_work_hours!$H:$H,'FTE 계산'!I$2)) - (SUMIFS(monthly_work_hours!$L:$L,monthly_work_hours!$A:$A,'FTE 계산'!$A79,monthly_work_hours!$H:$H,'FTE 계산'!I$2))</f>
        <v>17</v>
      </c>
      <c r="J79">
        <f>(SUMIFS(monthly_work_hours!$I:$I,monthly_work_hours!$A:$A,'FTE 계산'!$A79,monthly_work_hours!$H:$H,'FTE 계산'!J$2)) - (SUMIFS(monthly_work_hours!$L:$L,monthly_work_hours!$A:$A,'FTE 계산'!$A79,monthly_work_hours!$H:$H,'FTE 계산'!J$2))</f>
        <v>14</v>
      </c>
    </row>
    <row r="80" spans="1:10" x14ac:dyDescent="0.45">
      <c r="A80">
        <v>1214138</v>
      </c>
      <c r="B80" t="str">
        <f>_xlfn.XLOOKUP(A80,monthly_work_hours!A:A,monthly_work_hours!B:B)</f>
        <v>강동영</v>
      </c>
      <c r="C80" t="str">
        <f>_xlfn.XLOOKUP(A80,monthly_work_hours!A:A,monthly_work_hours!E:E)</f>
        <v>SL생산팀</v>
      </c>
      <c r="D80" t="str">
        <f>_xlfn.XLOOKUP(A80,monthly_work_hours!A:A,monthly_work_hours!F:F)</f>
        <v>선임</v>
      </c>
      <c r="E80">
        <f>SUMIFS(monthly_work_hours!$M:$M,monthly_work_hours!$A:$A,'FTE 계산'!$A80,monthly_work_hours!$H:$H,'FTE 계산'!E$2)</f>
        <v>46.8</v>
      </c>
      <c r="F80">
        <f>SUMIFS(monthly_work_hours!$M:$M,monthly_work_hours!$A:$A,'FTE 계산'!$A80,monthly_work_hours!$H:$H,'FTE 계산'!F$2)</f>
        <v>75.2</v>
      </c>
      <c r="G80">
        <f>SUMIFS(monthly_work_hours!$M:$M,monthly_work_hours!$A:$A,'FTE 계산'!$A80,monthly_work_hours!$H:$H,'FTE 계산'!G$2)</f>
        <v>29</v>
      </c>
      <c r="H80">
        <f>(SUMIFS(monthly_work_hours!$I:$I,monthly_work_hours!$A:$A,'FTE 계산'!$A80,monthly_work_hours!$H:$H,'FTE 계산'!H$2)) - (SUMIFS(monthly_work_hours!$L:$L,monthly_work_hours!$A:$A,'FTE 계산'!$A80,monthly_work_hours!$H:$H,'FTE 계산'!H$2))</f>
        <v>8</v>
      </c>
      <c r="I80">
        <f>(SUMIFS(monthly_work_hours!$I:$I,monthly_work_hours!$A:$A,'FTE 계산'!$A80,monthly_work_hours!$H:$H,'FTE 계산'!I$2)) - (SUMIFS(monthly_work_hours!$L:$L,monthly_work_hours!$A:$A,'FTE 계산'!$A80,monthly_work_hours!$H:$H,'FTE 계산'!I$2))</f>
        <v>11</v>
      </c>
      <c r="J80">
        <f>(SUMIFS(monthly_work_hours!$I:$I,monthly_work_hours!$A:$A,'FTE 계산'!$A80,monthly_work_hours!$H:$H,'FTE 계산'!J$2)) - (SUMIFS(monthly_work_hours!$L:$L,monthly_work_hours!$A:$A,'FTE 계산'!$A80,monthly_work_hours!$H:$H,'FTE 계산'!J$2))</f>
        <v>6</v>
      </c>
    </row>
    <row r="81" spans="1:10" x14ac:dyDescent="0.45">
      <c r="A81">
        <v>1214159</v>
      </c>
      <c r="B81" t="str">
        <f>_xlfn.XLOOKUP(A81,monthly_work_hours!A:A,monthly_work_hours!B:B)</f>
        <v>이재혁</v>
      </c>
      <c r="C81" t="str">
        <f>_xlfn.XLOOKUP(A81,monthly_work_hours!A:A,monthly_work_hours!E:E)</f>
        <v>SL영업팀</v>
      </c>
      <c r="D81" t="str">
        <f>_xlfn.XLOOKUP(A81,monthly_work_hours!A:A,monthly_work_hours!F:F)</f>
        <v>선임</v>
      </c>
      <c r="E81">
        <f>SUMIFS(monthly_work_hours!$M:$M,monthly_work_hours!$A:$A,'FTE 계산'!$A81,monthly_work_hours!$H:$H,'FTE 계산'!E$2)</f>
        <v>164</v>
      </c>
      <c r="F81">
        <f>SUMIFS(monthly_work_hours!$M:$M,monthly_work_hours!$A:$A,'FTE 계산'!$A81,monthly_work_hours!$H:$H,'FTE 계산'!F$2)</f>
        <v>187.5</v>
      </c>
      <c r="G81">
        <f>SUMIFS(monthly_work_hours!$M:$M,monthly_work_hours!$A:$A,'FTE 계산'!$A81,monthly_work_hours!$H:$H,'FTE 계산'!G$2)</f>
        <v>136.1</v>
      </c>
      <c r="H81">
        <f>(SUMIFS(monthly_work_hours!$I:$I,monthly_work_hours!$A:$A,'FTE 계산'!$A81,monthly_work_hours!$H:$H,'FTE 계산'!H$2)) - (SUMIFS(monthly_work_hours!$L:$L,monthly_work_hours!$A:$A,'FTE 계산'!$A81,monthly_work_hours!$H:$H,'FTE 계산'!H$2))</f>
        <v>18</v>
      </c>
      <c r="I81">
        <f>(SUMIFS(monthly_work_hours!$I:$I,monthly_work_hours!$A:$A,'FTE 계산'!$A81,monthly_work_hours!$H:$H,'FTE 계산'!I$2)) - (SUMIFS(monthly_work_hours!$L:$L,monthly_work_hours!$A:$A,'FTE 계산'!$A81,monthly_work_hours!$H:$H,'FTE 계산'!I$2))</f>
        <v>20</v>
      </c>
      <c r="J81">
        <f>(SUMIFS(monthly_work_hours!$I:$I,monthly_work_hours!$A:$A,'FTE 계산'!$A81,monthly_work_hours!$H:$H,'FTE 계산'!J$2)) - (SUMIFS(monthly_work_hours!$L:$L,monthly_work_hours!$A:$A,'FTE 계산'!$A81,monthly_work_hours!$H:$H,'FTE 계산'!J$2))</f>
        <v>16</v>
      </c>
    </row>
    <row r="82" spans="1:10" x14ac:dyDescent="0.45">
      <c r="A82">
        <v>1214162</v>
      </c>
      <c r="B82" t="str">
        <f>_xlfn.XLOOKUP(A82,monthly_work_hours!A:A,monthly_work_hours!B:B)</f>
        <v>김재만</v>
      </c>
      <c r="C82" t="str">
        <f>_xlfn.XLOOKUP(A82,monthly_work_hours!A:A,monthly_work_hours!E:E)</f>
        <v>상생협력팀</v>
      </c>
      <c r="D82" t="str">
        <f>_xlfn.XLOOKUP(A82,monthly_work_hours!A:A,monthly_work_hours!F:F)</f>
        <v>선임</v>
      </c>
      <c r="E82">
        <f>SUMIFS(monthly_work_hours!$M:$M,monthly_work_hours!$A:$A,'FTE 계산'!$A82,monthly_work_hours!$H:$H,'FTE 계산'!E$2)</f>
        <v>170.5</v>
      </c>
      <c r="F82">
        <f>SUMIFS(monthly_work_hours!$M:$M,monthly_work_hours!$A:$A,'FTE 계산'!$A82,monthly_work_hours!$H:$H,'FTE 계산'!F$2)</f>
        <v>191.9</v>
      </c>
      <c r="G82">
        <f>SUMIFS(monthly_work_hours!$M:$M,monthly_work_hours!$A:$A,'FTE 계산'!$A82,monthly_work_hours!$H:$H,'FTE 계산'!G$2)</f>
        <v>133</v>
      </c>
      <c r="H82">
        <f>(SUMIFS(monthly_work_hours!$I:$I,monthly_work_hours!$A:$A,'FTE 계산'!$A82,monthly_work_hours!$H:$H,'FTE 계산'!H$2)) - (SUMIFS(monthly_work_hours!$L:$L,monthly_work_hours!$A:$A,'FTE 계산'!$A82,monthly_work_hours!$H:$H,'FTE 계산'!H$2))</f>
        <v>18</v>
      </c>
      <c r="I82">
        <f>(SUMIFS(monthly_work_hours!$I:$I,monthly_work_hours!$A:$A,'FTE 계산'!$A82,monthly_work_hours!$H:$H,'FTE 계산'!I$2)) - (SUMIFS(monthly_work_hours!$L:$L,monthly_work_hours!$A:$A,'FTE 계산'!$A82,monthly_work_hours!$H:$H,'FTE 계산'!I$2))</f>
        <v>19</v>
      </c>
      <c r="J82">
        <f>(SUMIFS(monthly_work_hours!$I:$I,monthly_work_hours!$A:$A,'FTE 계산'!$A82,monthly_work_hours!$H:$H,'FTE 계산'!J$2)) - (SUMIFS(monthly_work_hours!$L:$L,monthly_work_hours!$A:$A,'FTE 계산'!$A82,monthly_work_hours!$H:$H,'FTE 계산'!J$2))</f>
        <v>15</v>
      </c>
    </row>
    <row r="83" spans="1:10" x14ac:dyDescent="0.45">
      <c r="A83">
        <v>1214163</v>
      </c>
      <c r="B83" t="str">
        <f>_xlfn.XLOOKUP(A83,monthly_work_hours!A:A,monthly_work_hours!B:B)</f>
        <v>정종현</v>
      </c>
      <c r="C83" t="str">
        <f>_xlfn.XLOOKUP(A83,monthly_work_hours!A:A,monthly_work_hours!E:E)</f>
        <v>관체사업팀</v>
      </c>
      <c r="D83" t="str">
        <f>_xlfn.XLOOKUP(A83,monthly_work_hours!A:A,monthly_work_hours!F:F)</f>
        <v>선임</v>
      </c>
      <c r="E83">
        <f>SUMIFS(monthly_work_hours!$M:$M,monthly_work_hours!$A:$A,'FTE 계산'!$A83,monthly_work_hours!$H:$H,'FTE 계산'!E$2)</f>
        <v>185</v>
      </c>
      <c r="F83">
        <f>SUMIFS(monthly_work_hours!$M:$M,monthly_work_hours!$A:$A,'FTE 계산'!$A83,monthly_work_hours!$H:$H,'FTE 계산'!F$2)</f>
        <v>179.6</v>
      </c>
      <c r="G83">
        <f>SUMIFS(monthly_work_hours!$M:$M,monthly_work_hours!$A:$A,'FTE 계산'!$A83,monthly_work_hours!$H:$H,'FTE 계산'!G$2)</f>
        <v>146.69999999999999</v>
      </c>
      <c r="H83">
        <f>(SUMIFS(monthly_work_hours!$I:$I,monthly_work_hours!$A:$A,'FTE 계산'!$A83,monthly_work_hours!$H:$H,'FTE 계산'!H$2)) - (SUMIFS(monthly_work_hours!$L:$L,monthly_work_hours!$A:$A,'FTE 계산'!$A83,monthly_work_hours!$H:$H,'FTE 계산'!H$2))</f>
        <v>18</v>
      </c>
      <c r="I83">
        <f>(SUMIFS(monthly_work_hours!$I:$I,monthly_work_hours!$A:$A,'FTE 계산'!$A83,monthly_work_hours!$H:$H,'FTE 계산'!I$2)) - (SUMIFS(monthly_work_hours!$L:$L,monthly_work_hours!$A:$A,'FTE 계산'!$A83,monthly_work_hours!$H:$H,'FTE 계산'!I$2))</f>
        <v>17</v>
      </c>
      <c r="J83">
        <f>(SUMIFS(monthly_work_hours!$I:$I,monthly_work_hours!$A:$A,'FTE 계산'!$A83,monthly_work_hours!$H:$H,'FTE 계산'!J$2)) - (SUMIFS(monthly_work_hours!$L:$L,monthly_work_hours!$A:$A,'FTE 계산'!$A83,monthly_work_hours!$H:$H,'FTE 계산'!J$2))</f>
        <v>15</v>
      </c>
    </row>
    <row r="84" spans="1:10" x14ac:dyDescent="0.45">
      <c r="A84">
        <v>1214164</v>
      </c>
      <c r="B84" t="str">
        <f>_xlfn.XLOOKUP(A84,monthly_work_hours!A:A,monthly_work_hours!B:B)</f>
        <v>정성민</v>
      </c>
      <c r="C84" t="str">
        <f>_xlfn.XLOOKUP(A84,monthly_work_hours!A:A,monthly_work_hours!E:E)</f>
        <v>관체사업팀</v>
      </c>
      <c r="D84" t="str">
        <f>_xlfn.XLOOKUP(A84,monthly_work_hours!A:A,monthly_work_hours!F:F)</f>
        <v>선임</v>
      </c>
      <c r="E84">
        <f>SUMIFS(monthly_work_hours!$M:$M,monthly_work_hours!$A:$A,'FTE 계산'!$A84,monthly_work_hours!$H:$H,'FTE 계산'!E$2)</f>
        <v>223.1</v>
      </c>
      <c r="F84">
        <f>SUMIFS(monthly_work_hours!$M:$M,monthly_work_hours!$A:$A,'FTE 계산'!$A84,monthly_work_hours!$H:$H,'FTE 계산'!F$2)</f>
        <v>571.6</v>
      </c>
      <c r="G84">
        <f>SUMIFS(monthly_work_hours!$M:$M,monthly_work_hours!$A:$A,'FTE 계산'!$A84,monthly_work_hours!$H:$H,'FTE 계산'!G$2)</f>
        <v>433.1</v>
      </c>
      <c r="H84">
        <f>(SUMIFS(monthly_work_hours!$I:$I,monthly_work_hours!$A:$A,'FTE 계산'!$A84,monthly_work_hours!$H:$H,'FTE 계산'!H$2)) - (SUMIFS(monthly_work_hours!$L:$L,monthly_work_hours!$A:$A,'FTE 계산'!$A84,monthly_work_hours!$H:$H,'FTE 계산'!H$2))</f>
        <v>13</v>
      </c>
      <c r="I84">
        <f>(SUMIFS(monthly_work_hours!$I:$I,monthly_work_hours!$A:$A,'FTE 계산'!$A84,monthly_work_hours!$H:$H,'FTE 계산'!I$2)) - (SUMIFS(monthly_work_hours!$L:$L,monthly_work_hours!$A:$A,'FTE 계산'!$A84,monthly_work_hours!$H:$H,'FTE 계산'!I$2))</f>
        <v>19</v>
      </c>
      <c r="J84">
        <f>(SUMIFS(monthly_work_hours!$I:$I,monthly_work_hours!$A:$A,'FTE 계산'!$A84,monthly_work_hours!$H:$H,'FTE 계산'!J$2)) - (SUMIFS(monthly_work_hours!$L:$L,monthly_work_hours!$A:$A,'FTE 계산'!$A84,monthly_work_hours!$H:$H,'FTE 계산'!J$2))</f>
        <v>17</v>
      </c>
    </row>
    <row r="85" spans="1:10" x14ac:dyDescent="0.45">
      <c r="A85">
        <v>1214165</v>
      </c>
      <c r="B85" t="str">
        <f>_xlfn.XLOOKUP(A85,monthly_work_hours!A:A,monthly_work_hours!B:B)</f>
        <v>서성환</v>
      </c>
      <c r="C85" t="str">
        <f>_xlfn.XLOOKUP(A85,monthly_work_hours!A:A,monthly_work_hours!E:E)</f>
        <v>B/H사업팀</v>
      </c>
      <c r="D85" t="str">
        <f>_xlfn.XLOOKUP(A85,monthly_work_hours!A:A,monthly_work_hours!F:F)</f>
        <v>선임</v>
      </c>
      <c r="E85">
        <f>SUMIFS(monthly_work_hours!$M:$M,monthly_work_hours!$A:$A,'FTE 계산'!$A85,monthly_work_hours!$H:$H,'FTE 계산'!E$2)</f>
        <v>171.1</v>
      </c>
      <c r="F85">
        <f>SUMIFS(monthly_work_hours!$M:$M,monthly_work_hours!$A:$A,'FTE 계산'!$A85,monthly_work_hours!$H:$H,'FTE 계산'!F$2)</f>
        <v>165.3</v>
      </c>
      <c r="G85">
        <f>SUMIFS(monthly_work_hours!$M:$M,monthly_work_hours!$A:$A,'FTE 계산'!$A85,monthly_work_hours!$H:$H,'FTE 계산'!G$2)</f>
        <v>136.6</v>
      </c>
      <c r="H85">
        <f>(SUMIFS(monthly_work_hours!$I:$I,monthly_work_hours!$A:$A,'FTE 계산'!$A85,monthly_work_hours!$H:$H,'FTE 계산'!H$2)) - (SUMIFS(monthly_work_hours!$L:$L,monthly_work_hours!$A:$A,'FTE 계산'!$A85,monthly_work_hours!$H:$H,'FTE 계산'!H$2))</f>
        <v>19</v>
      </c>
      <c r="I85">
        <f>(SUMIFS(monthly_work_hours!$I:$I,monthly_work_hours!$A:$A,'FTE 계산'!$A85,monthly_work_hours!$H:$H,'FTE 계산'!I$2)) - (SUMIFS(monthly_work_hours!$L:$L,monthly_work_hours!$A:$A,'FTE 계산'!$A85,monthly_work_hours!$H:$H,'FTE 계산'!I$2))</f>
        <v>18</v>
      </c>
      <c r="J85">
        <f>(SUMIFS(monthly_work_hours!$I:$I,monthly_work_hours!$A:$A,'FTE 계산'!$A85,monthly_work_hours!$H:$H,'FTE 계산'!J$2)) - (SUMIFS(monthly_work_hours!$L:$L,monthly_work_hours!$A:$A,'FTE 계산'!$A85,monthly_work_hours!$H:$H,'FTE 계산'!J$2))</f>
        <v>16</v>
      </c>
    </row>
    <row r="86" spans="1:10" x14ac:dyDescent="0.45">
      <c r="A86">
        <v>1214170</v>
      </c>
      <c r="B86" t="str">
        <f>_xlfn.XLOOKUP(A86,monthly_work_hours!A:A,monthly_work_hours!B:B)</f>
        <v>김병주</v>
      </c>
      <c r="C86" t="str">
        <f>_xlfn.XLOOKUP(A86,monthly_work_hours!A:A,monthly_work_hours!E:E)</f>
        <v>FL설계팀</v>
      </c>
      <c r="D86" t="str">
        <f>_xlfn.XLOOKUP(A86,monthly_work_hours!A:A,monthly_work_hours!F:F)</f>
        <v>선임</v>
      </c>
      <c r="E86">
        <f>SUMIFS(monthly_work_hours!$M:$M,monthly_work_hours!$A:$A,'FTE 계산'!$A86,monthly_work_hours!$H:$H,'FTE 계산'!E$2)</f>
        <v>706.4</v>
      </c>
      <c r="F86">
        <f>SUMIFS(monthly_work_hours!$M:$M,monthly_work_hours!$A:$A,'FTE 계산'!$A86,monthly_work_hours!$H:$H,'FTE 계산'!F$2)</f>
        <v>728.4</v>
      </c>
      <c r="G86">
        <f>SUMIFS(monthly_work_hours!$M:$M,monthly_work_hours!$A:$A,'FTE 계산'!$A86,monthly_work_hours!$H:$H,'FTE 계산'!G$2)</f>
        <v>611.6</v>
      </c>
      <c r="H86">
        <f>(SUMIFS(monthly_work_hours!$I:$I,monthly_work_hours!$A:$A,'FTE 계산'!$A86,monthly_work_hours!$H:$H,'FTE 계산'!H$2)) - (SUMIFS(monthly_work_hours!$L:$L,monthly_work_hours!$A:$A,'FTE 계산'!$A86,monthly_work_hours!$H:$H,'FTE 계산'!H$2))</f>
        <v>21</v>
      </c>
      <c r="I86">
        <f>(SUMIFS(monthly_work_hours!$I:$I,monthly_work_hours!$A:$A,'FTE 계산'!$A86,monthly_work_hours!$H:$H,'FTE 계산'!I$2)) - (SUMIFS(monthly_work_hours!$L:$L,monthly_work_hours!$A:$A,'FTE 계산'!$A86,monthly_work_hours!$H:$H,'FTE 계산'!I$2))</f>
        <v>23</v>
      </c>
      <c r="J86">
        <f>(SUMIFS(monthly_work_hours!$I:$I,monthly_work_hours!$A:$A,'FTE 계산'!$A86,monthly_work_hours!$H:$H,'FTE 계산'!J$2)) - (SUMIFS(monthly_work_hours!$L:$L,monthly_work_hours!$A:$A,'FTE 계산'!$A86,monthly_work_hours!$H:$H,'FTE 계산'!J$2))</f>
        <v>18</v>
      </c>
    </row>
    <row r="87" spans="1:10" x14ac:dyDescent="0.45">
      <c r="A87">
        <v>1214178</v>
      </c>
      <c r="B87" t="str">
        <f>_xlfn.XLOOKUP(A87,monthly_work_hours!A:A,monthly_work_hours!B:B)</f>
        <v>최문석</v>
      </c>
      <c r="C87" t="str">
        <f>_xlfn.XLOOKUP(A87,monthly_work_hours!A:A,monthly_work_hours!E:E)</f>
        <v>선행개발팀</v>
      </c>
      <c r="D87" t="str">
        <f>_xlfn.XLOOKUP(A87,monthly_work_hours!A:A,monthly_work_hours!F:F)</f>
        <v>선임</v>
      </c>
      <c r="E87">
        <f>SUMIFS(monthly_work_hours!$M:$M,monthly_work_hours!$A:$A,'FTE 계산'!$A87,monthly_work_hours!$H:$H,'FTE 계산'!E$2)</f>
        <v>151.80000000000001</v>
      </c>
      <c r="F87">
        <f>SUMIFS(monthly_work_hours!$M:$M,monthly_work_hours!$A:$A,'FTE 계산'!$A87,monthly_work_hours!$H:$H,'FTE 계산'!F$2)</f>
        <v>110</v>
      </c>
      <c r="G87">
        <f>SUMIFS(monthly_work_hours!$M:$M,monthly_work_hours!$A:$A,'FTE 계산'!$A87,monthly_work_hours!$H:$H,'FTE 계산'!G$2)</f>
        <v>92</v>
      </c>
      <c r="H87">
        <f>(SUMIFS(monthly_work_hours!$I:$I,monthly_work_hours!$A:$A,'FTE 계산'!$A87,monthly_work_hours!$H:$H,'FTE 계산'!H$2)) - (SUMIFS(monthly_work_hours!$L:$L,monthly_work_hours!$A:$A,'FTE 계산'!$A87,monthly_work_hours!$H:$H,'FTE 계산'!H$2))</f>
        <v>16</v>
      </c>
      <c r="I87">
        <f>(SUMIFS(monthly_work_hours!$I:$I,monthly_work_hours!$A:$A,'FTE 계산'!$A87,monthly_work_hours!$H:$H,'FTE 계산'!I$2)) - (SUMIFS(monthly_work_hours!$L:$L,monthly_work_hours!$A:$A,'FTE 계산'!$A87,monthly_work_hours!$H:$H,'FTE 계산'!I$2))</f>
        <v>13</v>
      </c>
      <c r="J87">
        <f>(SUMIFS(monthly_work_hours!$I:$I,monthly_work_hours!$A:$A,'FTE 계산'!$A87,monthly_work_hours!$H:$H,'FTE 계산'!J$2)) - (SUMIFS(monthly_work_hours!$L:$L,monthly_work_hours!$A:$A,'FTE 계산'!$A87,monthly_work_hours!$H:$H,'FTE 계산'!J$2))</f>
        <v>11</v>
      </c>
    </row>
    <row r="88" spans="1:10" x14ac:dyDescent="0.45">
      <c r="A88">
        <v>1214181</v>
      </c>
      <c r="B88" t="str">
        <f>_xlfn.XLOOKUP(A88,monthly_work_hours!A:A,monthly_work_hours!B:B)</f>
        <v>이종성</v>
      </c>
      <c r="C88" t="str">
        <f>_xlfn.XLOOKUP(A88,monthly_work_hours!A:A,monthly_work_hours!E:E)</f>
        <v>성능개발팀</v>
      </c>
      <c r="D88" t="str">
        <f>_xlfn.XLOOKUP(A88,monthly_work_hours!A:A,monthly_work_hours!F:F)</f>
        <v>책임</v>
      </c>
      <c r="E88">
        <f>SUMIFS(monthly_work_hours!$M:$M,monthly_work_hours!$A:$A,'FTE 계산'!$A88,monthly_work_hours!$H:$H,'FTE 계산'!E$2)</f>
        <v>705.6</v>
      </c>
      <c r="F88">
        <f>SUMIFS(monthly_work_hours!$M:$M,monthly_work_hours!$A:$A,'FTE 계산'!$A88,monthly_work_hours!$H:$H,'FTE 계산'!F$2)</f>
        <v>563.6</v>
      </c>
      <c r="G88">
        <f>SUMIFS(monthly_work_hours!$M:$M,monthly_work_hours!$A:$A,'FTE 계산'!$A88,monthly_work_hours!$H:$H,'FTE 계산'!G$2)</f>
        <v>451.1</v>
      </c>
      <c r="H88">
        <f>(SUMIFS(monthly_work_hours!$I:$I,monthly_work_hours!$A:$A,'FTE 계산'!$A88,monthly_work_hours!$H:$H,'FTE 계산'!H$2)) - (SUMIFS(monthly_work_hours!$L:$L,monthly_work_hours!$A:$A,'FTE 계산'!$A88,monthly_work_hours!$H:$H,'FTE 계산'!H$2))</f>
        <v>21</v>
      </c>
      <c r="I88">
        <f>(SUMIFS(monthly_work_hours!$I:$I,monthly_work_hours!$A:$A,'FTE 계산'!$A88,monthly_work_hours!$H:$H,'FTE 계산'!I$2)) - (SUMIFS(monthly_work_hours!$L:$L,monthly_work_hours!$A:$A,'FTE 계산'!$A88,monthly_work_hours!$H:$H,'FTE 계산'!I$2))</f>
        <v>18</v>
      </c>
      <c r="J88">
        <f>(SUMIFS(monthly_work_hours!$I:$I,monthly_work_hours!$A:$A,'FTE 계산'!$A88,monthly_work_hours!$H:$H,'FTE 계산'!J$2)) - (SUMIFS(monthly_work_hours!$L:$L,monthly_work_hours!$A:$A,'FTE 계산'!$A88,monthly_work_hours!$H:$H,'FTE 계산'!J$2))</f>
        <v>17</v>
      </c>
    </row>
    <row r="89" spans="1:10" x14ac:dyDescent="0.45">
      <c r="A89">
        <v>1214201</v>
      </c>
      <c r="B89" t="str">
        <f>_xlfn.XLOOKUP(A89,monthly_work_hours!A:A,monthly_work_hours!B:B)</f>
        <v>박기범</v>
      </c>
      <c r="C89" t="str">
        <f>_xlfn.XLOOKUP(A89,monthly_work_hours!A:A,monthly_work_hours!E:E)</f>
        <v>공정혁신팀</v>
      </c>
      <c r="D89" t="str">
        <f>_xlfn.XLOOKUP(A89,monthly_work_hours!A:A,monthly_work_hours!F:F)</f>
        <v>책임</v>
      </c>
      <c r="E89">
        <f>SUMIFS(monthly_work_hours!$M:$M,monthly_work_hours!$A:$A,'FTE 계산'!$A89,monthly_work_hours!$H:$H,'FTE 계산'!E$2)</f>
        <v>192.8</v>
      </c>
      <c r="F89">
        <f>SUMIFS(monthly_work_hours!$M:$M,monthly_work_hours!$A:$A,'FTE 계산'!$A89,monthly_work_hours!$H:$H,'FTE 계산'!F$2)</f>
        <v>173</v>
      </c>
      <c r="G89">
        <f>SUMIFS(monthly_work_hours!$M:$M,monthly_work_hours!$A:$A,'FTE 계산'!$A89,monthly_work_hours!$H:$H,'FTE 계산'!G$2)</f>
        <v>113.5</v>
      </c>
      <c r="H89">
        <f>(SUMIFS(monthly_work_hours!$I:$I,monthly_work_hours!$A:$A,'FTE 계산'!$A89,monthly_work_hours!$H:$H,'FTE 계산'!H$2)) - (SUMIFS(monthly_work_hours!$L:$L,monthly_work_hours!$A:$A,'FTE 계산'!$A89,monthly_work_hours!$H:$H,'FTE 계산'!H$2))</f>
        <v>15</v>
      </c>
      <c r="I89">
        <f>(SUMIFS(monthly_work_hours!$I:$I,monthly_work_hours!$A:$A,'FTE 계산'!$A89,monthly_work_hours!$H:$H,'FTE 계산'!I$2)) - (SUMIFS(monthly_work_hours!$L:$L,monthly_work_hours!$A:$A,'FTE 계산'!$A89,monthly_work_hours!$H:$H,'FTE 계산'!I$2))</f>
        <v>18</v>
      </c>
      <c r="J89">
        <f>(SUMIFS(monthly_work_hours!$I:$I,monthly_work_hours!$A:$A,'FTE 계산'!$A89,monthly_work_hours!$H:$H,'FTE 계산'!J$2)) - (SUMIFS(monthly_work_hours!$L:$L,monthly_work_hours!$A:$A,'FTE 계산'!$A89,monthly_work_hours!$H:$H,'FTE 계산'!J$2))</f>
        <v>12</v>
      </c>
    </row>
    <row r="90" spans="1:10" x14ac:dyDescent="0.45">
      <c r="A90">
        <v>1215007</v>
      </c>
      <c r="B90" t="str">
        <f>_xlfn.XLOOKUP(A90,monthly_work_hours!A:A,monthly_work_hours!B:B)</f>
        <v>남동식</v>
      </c>
      <c r="C90" t="str">
        <f>_xlfn.XLOOKUP(A90,monthly_work_hours!A:A,monthly_work_hours!E:E)</f>
        <v>SL설계팀</v>
      </c>
      <c r="D90" t="str">
        <f>_xlfn.XLOOKUP(A90,monthly_work_hours!A:A,monthly_work_hours!F:F)</f>
        <v>선임</v>
      </c>
      <c r="E90">
        <f>SUMIFS(monthly_work_hours!$M:$M,monthly_work_hours!$A:$A,'FTE 계산'!$A90,monthly_work_hours!$H:$H,'FTE 계산'!E$2)</f>
        <v>0</v>
      </c>
      <c r="F90">
        <f>SUMIFS(monthly_work_hours!$M:$M,monthly_work_hours!$A:$A,'FTE 계산'!$A90,monthly_work_hours!$H:$H,'FTE 계산'!F$2)</f>
        <v>4.5</v>
      </c>
      <c r="G90">
        <f>SUMIFS(monthly_work_hours!$M:$M,monthly_work_hours!$A:$A,'FTE 계산'!$A90,monthly_work_hours!$H:$H,'FTE 계산'!G$2)</f>
        <v>0</v>
      </c>
      <c r="H90">
        <f>(SUMIFS(monthly_work_hours!$I:$I,monthly_work_hours!$A:$A,'FTE 계산'!$A90,monthly_work_hours!$H:$H,'FTE 계산'!H$2)) - (SUMIFS(monthly_work_hours!$L:$L,monthly_work_hours!$A:$A,'FTE 계산'!$A90,monthly_work_hours!$H:$H,'FTE 계산'!H$2))</f>
        <v>0</v>
      </c>
      <c r="I90">
        <f>(SUMIFS(monthly_work_hours!$I:$I,monthly_work_hours!$A:$A,'FTE 계산'!$A90,monthly_work_hours!$H:$H,'FTE 계산'!I$2)) - (SUMIFS(monthly_work_hours!$L:$L,monthly_work_hours!$A:$A,'FTE 계산'!$A90,monthly_work_hours!$H:$H,'FTE 계산'!I$2))</f>
        <v>2</v>
      </c>
      <c r="J90">
        <f>(SUMIFS(monthly_work_hours!$I:$I,monthly_work_hours!$A:$A,'FTE 계산'!$A90,monthly_work_hours!$H:$H,'FTE 계산'!J$2)) - (SUMIFS(monthly_work_hours!$L:$L,monthly_work_hours!$A:$A,'FTE 계산'!$A90,monthly_work_hours!$H:$H,'FTE 계산'!J$2))</f>
        <v>0</v>
      </c>
    </row>
    <row r="91" spans="1:10" x14ac:dyDescent="0.45">
      <c r="A91">
        <v>1215010</v>
      </c>
      <c r="B91" t="str">
        <f>_xlfn.XLOOKUP(A91,monthly_work_hours!A:A,monthly_work_hours!B:B)</f>
        <v>김운배</v>
      </c>
      <c r="C91" t="str">
        <f>_xlfn.XLOOKUP(A91,monthly_work_hours!A:A,monthly_work_hours!E:E)</f>
        <v>선행개발팀</v>
      </c>
      <c r="D91" t="str">
        <f>_xlfn.XLOOKUP(A91,monthly_work_hours!A:A,monthly_work_hours!F:F)</f>
        <v>선임</v>
      </c>
      <c r="E91">
        <f>SUMIFS(monthly_work_hours!$M:$M,monthly_work_hours!$A:$A,'FTE 계산'!$A91,monthly_work_hours!$H:$H,'FTE 계산'!E$2)</f>
        <v>154.5</v>
      </c>
      <c r="F91">
        <f>SUMIFS(monthly_work_hours!$M:$M,monthly_work_hours!$A:$A,'FTE 계산'!$A91,monthly_work_hours!$H:$H,'FTE 계산'!F$2)</f>
        <v>124</v>
      </c>
      <c r="G91">
        <f>SUMIFS(monthly_work_hours!$M:$M,monthly_work_hours!$A:$A,'FTE 계산'!$A91,monthly_work_hours!$H:$H,'FTE 계산'!G$2)</f>
        <v>130.69999999999999</v>
      </c>
      <c r="H91">
        <f>(SUMIFS(monthly_work_hours!$I:$I,monthly_work_hours!$A:$A,'FTE 계산'!$A91,monthly_work_hours!$H:$H,'FTE 계산'!H$2)) - (SUMIFS(monthly_work_hours!$L:$L,monthly_work_hours!$A:$A,'FTE 계산'!$A91,monthly_work_hours!$H:$H,'FTE 계산'!H$2))</f>
        <v>18</v>
      </c>
      <c r="I91">
        <f>(SUMIFS(monthly_work_hours!$I:$I,monthly_work_hours!$A:$A,'FTE 계산'!$A91,monthly_work_hours!$H:$H,'FTE 계산'!I$2)) - (SUMIFS(monthly_work_hours!$L:$L,monthly_work_hours!$A:$A,'FTE 계산'!$A91,monthly_work_hours!$H:$H,'FTE 계산'!I$2))</f>
        <v>14</v>
      </c>
      <c r="J91">
        <f>(SUMIFS(monthly_work_hours!$I:$I,monthly_work_hours!$A:$A,'FTE 계산'!$A91,monthly_work_hours!$H:$H,'FTE 계산'!J$2)) - (SUMIFS(monthly_work_hours!$L:$L,monthly_work_hours!$A:$A,'FTE 계산'!$A91,monthly_work_hours!$H:$H,'FTE 계산'!J$2))</f>
        <v>15</v>
      </c>
    </row>
    <row r="92" spans="1:10" x14ac:dyDescent="0.45">
      <c r="A92">
        <v>1215033</v>
      </c>
      <c r="B92" t="str">
        <f>_xlfn.XLOOKUP(A92,monthly_work_hours!A:A,monthly_work_hours!B:B)</f>
        <v>허재영</v>
      </c>
      <c r="C92" t="str">
        <f>_xlfn.XLOOKUP(A92,monthly_work_hours!A:A,monthly_work_hours!E:E)</f>
        <v>SL생산기술팀</v>
      </c>
      <c r="D92" t="str">
        <f>_xlfn.XLOOKUP(A92,monthly_work_hours!A:A,monthly_work_hours!F:F)</f>
        <v>선임</v>
      </c>
      <c r="E92">
        <f>SUMIFS(monthly_work_hours!$M:$M,monthly_work_hours!$A:$A,'FTE 계산'!$A92,monthly_work_hours!$H:$H,'FTE 계산'!E$2)</f>
        <v>159.5</v>
      </c>
      <c r="F92">
        <f>SUMIFS(monthly_work_hours!$M:$M,monthly_work_hours!$A:$A,'FTE 계산'!$A92,monthly_work_hours!$H:$H,'FTE 계산'!F$2)</f>
        <v>113.5</v>
      </c>
      <c r="G92">
        <f>SUMIFS(monthly_work_hours!$M:$M,monthly_work_hours!$A:$A,'FTE 계산'!$A92,monthly_work_hours!$H:$H,'FTE 계산'!G$2)</f>
        <v>124.4</v>
      </c>
      <c r="H92">
        <f>(SUMIFS(monthly_work_hours!$I:$I,monthly_work_hours!$A:$A,'FTE 계산'!$A92,monthly_work_hours!$H:$H,'FTE 계산'!H$2)) - (SUMIFS(monthly_work_hours!$L:$L,monthly_work_hours!$A:$A,'FTE 계산'!$A92,monthly_work_hours!$H:$H,'FTE 계산'!H$2))</f>
        <v>16</v>
      </c>
      <c r="I92">
        <f>(SUMIFS(monthly_work_hours!$I:$I,monthly_work_hours!$A:$A,'FTE 계산'!$A92,monthly_work_hours!$H:$H,'FTE 계산'!I$2)) - (SUMIFS(monthly_work_hours!$L:$L,monthly_work_hours!$A:$A,'FTE 계산'!$A92,monthly_work_hours!$H:$H,'FTE 계산'!I$2))</f>
        <v>17</v>
      </c>
      <c r="J92">
        <f>(SUMIFS(monthly_work_hours!$I:$I,monthly_work_hours!$A:$A,'FTE 계산'!$A92,monthly_work_hours!$H:$H,'FTE 계산'!J$2)) - (SUMIFS(monthly_work_hours!$L:$L,monthly_work_hours!$A:$A,'FTE 계산'!$A92,monthly_work_hours!$H:$H,'FTE 계산'!J$2))</f>
        <v>16</v>
      </c>
    </row>
    <row r="93" spans="1:10" x14ac:dyDescent="0.45">
      <c r="A93">
        <v>1215048</v>
      </c>
      <c r="B93" t="str">
        <f>_xlfn.XLOOKUP(A93,monthly_work_hours!A:A,monthly_work_hours!B:B)</f>
        <v>심재원</v>
      </c>
      <c r="C93" t="str">
        <f>_xlfn.XLOOKUP(A93,monthly_work_hours!A:A,monthly_work_hours!E:E)</f>
        <v>선행개발팀</v>
      </c>
      <c r="D93" t="str">
        <f>_xlfn.XLOOKUP(A93,monthly_work_hours!A:A,monthly_work_hours!F:F)</f>
        <v>선임</v>
      </c>
      <c r="E93">
        <f>SUMIFS(monthly_work_hours!$M:$M,monthly_work_hours!$A:$A,'FTE 계산'!$A93,monthly_work_hours!$H:$H,'FTE 계산'!E$2)</f>
        <v>142</v>
      </c>
      <c r="F93">
        <f>SUMIFS(monthly_work_hours!$M:$M,monthly_work_hours!$A:$A,'FTE 계산'!$A93,monthly_work_hours!$H:$H,'FTE 계산'!F$2)</f>
        <v>3.6</v>
      </c>
      <c r="G93">
        <f>SUMIFS(monthly_work_hours!$M:$M,monthly_work_hours!$A:$A,'FTE 계산'!$A93,monthly_work_hours!$H:$H,'FTE 계산'!G$2)</f>
        <v>0</v>
      </c>
      <c r="H93">
        <f>(SUMIFS(monthly_work_hours!$I:$I,monthly_work_hours!$A:$A,'FTE 계산'!$A93,monthly_work_hours!$H:$H,'FTE 계산'!H$2)) - (SUMIFS(monthly_work_hours!$L:$L,monthly_work_hours!$A:$A,'FTE 계산'!$A93,monthly_work_hours!$H:$H,'FTE 계산'!H$2))</f>
        <v>15</v>
      </c>
      <c r="I93">
        <f>(SUMIFS(monthly_work_hours!$I:$I,monthly_work_hours!$A:$A,'FTE 계산'!$A93,monthly_work_hours!$H:$H,'FTE 계산'!I$2)) - (SUMIFS(monthly_work_hours!$L:$L,monthly_work_hours!$A:$A,'FTE 계산'!$A93,monthly_work_hours!$H:$H,'FTE 계산'!I$2))</f>
        <v>2</v>
      </c>
      <c r="J93">
        <f>(SUMIFS(monthly_work_hours!$I:$I,monthly_work_hours!$A:$A,'FTE 계산'!$A93,monthly_work_hours!$H:$H,'FTE 계산'!J$2)) - (SUMIFS(monthly_work_hours!$L:$L,monthly_work_hours!$A:$A,'FTE 계산'!$A93,monthly_work_hours!$H:$H,'FTE 계산'!J$2))</f>
        <v>0</v>
      </c>
    </row>
    <row r="94" spans="1:10" x14ac:dyDescent="0.45">
      <c r="A94">
        <v>1215059</v>
      </c>
      <c r="B94" t="str">
        <f>_xlfn.XLOOKUP(A94,monthly_work_hours!A:A,monthly_work_hours!B:B)</f>
        <v>양재석</v>
      </c>
      <c r="C94" t="str">
        <f>_xlfn.XLOOKUP(A94,monthly_work_hours!A:A,monthly_work_hours!E:E)</f>
        <v>FL품질보증팀</v>
      </c>
      <c r="D94" t="str">
        <f>_xlfn.XLOOKUP(A94,monthly_work_hours!A:A,monthly_work_hours!F:F)</f>
        <v>선임</v>
      </c>
      <c r="E94">
        <f>SUMIFS(monthly_work_hours!$M:$M,monthly_work_hours!$A:$A,'FTE 계산'!$A94,monthly_work_hours!$H:$H,'FTE 계산'!E$2)</f>
        <v>185.4</v>
      </c>
      <c r="F94">
        <f>SUMIFS(monthly_work_hours!$M:$M,monthly_work_hours!$A:$A,'FTE 계산'!$A94,monthly_work_hours!$H:$H,'FTE 계산'!F$2)</f>
        <v>81.2</v>
      </c>
      <c r="G94">
        <f>SUMIFS(monthly_work_hours!$M:$M,monthly_work_hours!$A:$A,'FTE 계산'!$A94,monthly_work_hours!$H:$H,'FTE 계산'!G$2)</f>
        <v>116.8</v>
      </c>
      <c r="H94">
        <f>(SUMIFS(monthly_work_hours!$I:$I,monthly_work_hours!$A:$A,'FTE 계산'!$A94,monthly_work_hours!$H:$H,'FTE 계산'!H$2)) - (SUMIFS(monthly_work_hours!$L:$L,monthly_work_hours!$A:$A,'FTE 계산'!$A94,monthly_work_hours!$H:$H,'FTE 계산'!H$2))</f>
        <v>14</v>
      </c>
      <c r="I94">
        <f>(SUMIFS(monthly_work_hours!$I:$I,monthly_work_hours!$A:$A,'FTE 계산'!$A94,monthly_work_hours!$H:$H,'FTE 계산'!I$2)) - (SUMIFS(monthly_work_hours!$L:$L,monthly_work_hours!$A:$A,'FTE 계산'!$A94,monthly_work_hours!$H:$H,'FTE 계산'!I$2))</f>
        <v>11</v>
      </c>
      <c r="J94">
        <f>(SUMIFS(monthly_work_hours!$I:$I,monthly_work_hours!$A:$A,'FTE 계산'!$A94,monthly_work_hours!$H:$H,'FTE 계산'!J$2)) - (SUMIFS(monthly_work_hours!$L:$L,monthly_work_hours!$A:$A,'FTE 계산'!$A94,monthly_work_hours!$H:$H,'FTE 계산'!J$2))</f>
        <v>15</v>
      </c>
    </row>
    <row r="95" spans="1:10" x14ac:dyDescent="0.45">
      <c r="A95">
        <v>1215079</v>
      </c>
      <c r="B95" t="str">
        <f>_xlfn.XLOOKUP(A95,monthly_work_hours!A:A,monthly_work_hours!B:B)</f>
        <v>정기성</v>
      </c>
      <c r="C95" t="str">
        <f>_xlfn.XLOOKUP(A95,monthly_work_hours!A:A,monthly_work_hours!E:E)</f>
        <v>SL운영팀</v>
      </c>
      <c r="D95" t="str">
        <f>_xlfn.XLOOKUP(A95,monthly_work_hours!A:A,monthly_work_hours!F:F)</f>
        <v>책임</v>
      </c>
      <c r="E95">
        <f>SUMIFS(monthly_work_hours!$M:$M,monthly_work_hours!$A:$A,'FTE 계산'!$A95,monthly_work_hours!$H:$H,'FTE 계산'!E$2)</f>
        <v>164.7</v>
      </c>
      <c r="F95">
        <f>SUMIFS(monthly_work_hours!$M:$M,monthly_work_hours!$A:$A,'FTE 계산'!$A95,monthly_work_hours!$H:$H,'FTE 계산'!F$2)</f>
        <v>165.4</v>
      </c>
      <c r="G95">
        <f>SUMIFS(monthly_work_hours!$M:$M,monthly_work_hours!$A:$A,'FTE 계산'!$A95,monthly_work_hours!$H:$H,'FTE 계산'!G$2)</f>
        <v>141.19999999999999</v>
      </c>
      <c r="H95">
        <f>(SUMIFS(monthly_work_hours!$I:$I,monthly_work_hours!$A:$A,'FTE 계산'!$A95,monthly_work_hours!$H:$H,'FTE 계산'!H$2)) - (SUMIFS(monthly_work_hours!$L:$L,monthly_work_hours!$A:$A,'FTE 계산'!$A95,monthly_work_hours!$H:$H,'FTE 계산'!H$2))</f>
        <v>18</v>
      </c>
      <c r="I95">
        <f>(SUMIFS(monthly_work_hours!$I:$I,monthly_work_hours!$A:$A,'FTE 계산'!$A95,monthly_work_hours!$H:$H,'FTE 계산'!I$2)) - (SUMIFS(monthly_work_hours!$L:$L,monthly_work_hours!$A:$A,'FTE 계산'!$A95,monthly_work_hours!$H:$H,'FTE 계산'!I$2))</f>
        <v>17</v>
      </c>
      <c r="J95">
        <f>(SUMIFS(monthly_work_hours!$I:$I,monthly_work_hours!$A:$A,'FTE 계산'!$A95,monthly_work_hours!$H:$H,'FTE 계산'!J$2)) - (SUMIFS(monthly_work_hours!$L:$L,monthly_work_hours!$A:$A,'FTE 계산'!$A95,monthly_work_hours!$H:$H,'FTE 계산'!J$2))</f>
        <v>16</v>
      </c>
    </row>
    <row r="96" spans="1:10" x14ac:dyDescent="0.45">
      <c r="A96">
        <v>1215081</v>
      </c>
      <c r="B96" t="str">
        <f>_xlfn.XLOOKUP(A96,monthly_work_hours!A:A,monthly_work_hours!B:B)</f>
        <v>김영모</v>
      </c>
      <c r="C96" t="str">
        <f>_xlfn.XLOOKUP(A96,monthly_work_hours!A:A,monthly_work_hours!E:E)</f>
        <v>ESG팀</v>
      </c>
      <c r="D96" t="str">
        <f>_xlfn.XLOOKUP(A96,monthly_work_hours!A:A,monthly_work_hours!F:F)</f>
        <v>책임</v>
      </c>
      <c r="E96">
        <f>SUMIFS(monthly_work_hours!$M:$M,monthly_work_hours!$A:$A,'FTE 계산'!$A96,monthly_work_hours!$H:$H,'FTE 계산'!E$2)</f>
        <v>254.8</v>
      </c>
      <c r="F96">
        <f>SUMIFS(monthly_work_hours!$M:$M,monthly_work_hours!$A:$A,'FTE 계산'!$A96,monthly_work_hours!$H:$H,'FTE 계산'!F$2)</f>
        <v>221.9</v>
      </c>
      <c r="G96">
        <f>SUMIFS(monthly_work_hours!$M:$M,monthly_work_hours!$A:$A,'FTE 계산'!$A96,monthly_work_hours!$H:$H,'FTE 계산'!G$2)</f>
        <v>192.5</v>
      </c>
      <c r="H96">
        <f>(SUMIFS(monthly_work_hours!$I:$I,monthly_work_hours!$A:$A,'FTE 계산'!$A96,monthly_work_hours!$H:$H,'FTE 계산'!H$2)) - (SUMIFS(monthly_work_hours!$L:$L,monthly_work_hours!$A:$A,'FTE 계산'!$A96,monthly_work_hours!$H:$H,'FTE 계산'!H$2))</f>
        <v>18</v>
      </c>
      <c r="I96">
        <f>(SUMIFS(monthly_work_hours!$I:$I,monthly_work_hours!$A:$A,'FTE 계산'!$A96,monthly_work_hours!$H:$H,'FTE 계산'!I$2)) - (SUMIFS(monthly_work_hours!$L:$L,monthly_work_hours!$A:$A,'FTE 계산'!$A96,monthly_work_hours!$H:$H,'FTE 계산'!I$2))</f>
        <v>16</v>
      </c>
      <c r="J96">
        <f>(SUMIFS(monthly_work_hours!$I:$I,monthly_work_hours!$A:$A,'FTE 계산'!$A96,monthly_work_hours!$H:$H,'FTE 계산'!J$2)) - (SUMIFS(monthly_work_hours!$L:$L,monthly_work_hours!$A:$A,'FTE 계산'!$A96,monthly_work_hours!$H:$H,'FTE 계산'!J$2))</f>
        <v>16</v>
      </c>
    </row>
    <row r="97" spans="1:10" x14ac:dyDescent="0.45">
      <c r="A97">
        <v>1215084</v>
      </c>
      <c r="B97" t="str">
        <f>_xlfn.XLOOKUP(A97,monthly_work_hours!A:A,monthly_work_hours!B:B)</f>
        <v>배진형</v>
      </c>
      <c r="C97" t="str">
        <f>_xlfn.XLOOKUP(A97,monthly_work_hours!A:A,monthly_work_hours!E:E)</f>
        <v>SL설계팀</v>
      </c>
      <c r="D97" t="str">
        <f>_xlfn.XLOOKUP(A97,monthly_work_hours!A:A,monthly_work_hours!F:F)</f>
        <v>책임</v>
      </c>
      <c r="E97">
        <f>SUMIFS(monthly_work_hours!$M:$M,monthly_work_hours!$A:$A,'FTE 계산'!$A97,monthly_work_hours!$H:$H,'FTE 계산'!E$2)</f>
        <v>18.2</v>
      </c>
      <c r="F97">
        <f>SUMIFS(monthly_work_hours!$M:$M,monthly_work_hours!$A:$A,'FTE 계산'!$A97,monthly_work_hours!$H:$H,'FTE 계산'!F$2)</f>
        <v>67.900000000000006</v>
      </c>
      <c r="G97">
        <f>SUMIFS(monthly_work_hours!$M:$M,monthly_work_hours!$A:$A,'FTE 계산'!$A97,monthly_work_hours!$H:$H,'FTE 계산'!G$2)</f>
        <v>43.6</v>
      </c>
      <c r="H97">
        <f>(SUMIFS(monthly_work_hours!$I:$I,monthly_work_hours!$A:$A,'FTE 계산'!$A97,monthly_work_hours!$H:$H,'FTE 계산'!H$2)) - (SUMIFS(monthly_work_hours!$L:$L,monthly_work_hours!$A:$A,'FTE 계산'!$A97,monthly_work_hours!$H:$H,'FTE 계산'!H$2))</f>
        <v>2</v>
      </c>
      <c r="I97">
        <f>(SUMIFS(monthly_work_hours!$I:$I,monthly_work_hours!$A:$A,'FTE 계산'!$A97,monthly_work_hours!$H:$H,'FTE 계산'!I$2)) - (SUMIFS(monthly_work_hours!$L:$L,monthly_work_hours!$A:$A,'FTE 계산'!$A97,monthly_work_hours!$H:$H,'FTE 계산'!I$2))</f>
        <v>7</v>
      </c>
      <c r="J97">
        <f>(SUMIFS(monthly_work_hours!$I:$I,monthly_work_hours!$A:$A,'FTE 계산'!$A97,monthly_work_hours!$H:$H,'FTE 계산'!J$2)) - (SUMIFS(monthly_work_hours!$L:$L,monthly_work_hours!$A:$A,'FTE 계산'!$A97,monthly_work_hours!$H:$H,'FTE 계산'!J$2))</f>
        <v>5</v>
      </c>
    </row>
    <row r="98" spans="1:10" x14ac:dyDescent="0.45">
      <c r="A98">
        <v>1215086</v>
      </c>
      <c r="B98" t="str">
        <f>_xlfn.XLOOKUP(A98,monthly_work_hours!A:A,monthly_work_hours!B:B)</f>
        <v>박종호</v>
      </c>
      <c r="C98" t="str">
        <f>_xlfn.XLOOKUP(A98,monthly_work_hours!A:A,monthly_work_hours!E:E)</f>
        <v>공정혁신팀</v>
      </c>
      <c r="D98" t="str">
        <f>_xlfn.XLOOKUP(A98,monthly_work_hours!A:A,monthly_work_hours!F:F)</f>
        <v>책임</v>
      </c>
      <c r="E98">
        <f>SUMIFS(monthly_work_hours!$M:$M,monthly_work_hours!$A:$A,'FTE 계산'!$A98,monthly_work_hours!$H:$H,'FTE 계산'!E$2)</f>
        <v>199.8</v>
      </c>
      <c r="F98">
        <f>SUMIFS(monthly_work_hours!$M:$M,monthly_work_hours!$A:$A,'FTE 계산'!$A98,monthly_work_hours!$H:$H,'FTE 계산'!F$2)</f>
        <v>204.2</v>
      </c>
      <c r="G98">
        <f>SUMIFS(monthly_work_hours!$M:$M,monthly_work_hours!$A:$A,'FTE 계산'!$A98,monthly_work_hours!$H:$H,'FTE 계산'!G$2)</f>
        <v>158.9</v>
      </c>
      <c r="H98">
        <f>(SUMIFS(monthly_work_hours!$I:$I,monthly_work_hours!$A:$A,'FTE 계산'!$A98,monthly_work_hours!$H:$H,'FTE 계산'!H$2)) - (SUMIFS(monthly_work_hours!$L:$L,monthly_work_hours!$A:$A,'FTE 계산'!$A98,monthly_work_hours!$H:$H,'FTE 계산'!H$2))</f>
        <v>19</v>
      </c>
      <c r="I98">
        <f>(SUMIFS(monthly_work_hours!$I:$I,monthly_work_hours!$A:$A,'FTE 계산'!$A98,monthly_work_hours!$H:$H,'FTE 계산'!I$2)) - (SUMIFS(monthly_work_hours!$L:$L,monthly_work_hours!$A:$A,'FTE 계산'!$A98,monthly_work_hours!$H:$H,'FTE 계산'!I$2))</f>
        <v>19</v>
      </c>
      <c r="J98">
        <f>(SUMIFS(monthly_work_hours!$I:$I,monthly_work_hours!$A:$A,'FTE 계산'!$A98,monthly_work_hours!$H:$H,'FTE 계산'!J$2)) - (SUMIFS(monthly_work_hours!$L:$L,monthly_work_hours!$A:$A,'FTE 계산'!$A98,monthly_work_hours!$H:$H,'FTE 계산'!J$2))</f>
        <v>16</v>
      </c>
    </row>
    <row r="99" spans="1:10" x14ac:dyDescent="0.45">
      <c r="A99">
        <v>1215098</v>
      </c>
      <c r="B99" t="str">
        <f>_xlfn.XLOOKUP(A99,monthly_work_hours!A:A,monthly_work_hours!B:B)</f>
        <v>손성우</v>
      </c>
      <c r="C99" t="str">
        <f>_xlfn.XLOOKUP(A99,monthly_work_hours!A:A,monthly_work_hours!E:E)</f>
        <v>SL품질보증팀</v>
      </c>
      <c r="D99" t="str">
        <f>_xlfn.XLOOKUP(A99,monthly_work_hours!A:A,monthly_work_hours!F:F)</f>
        <v>선임</v>
      </c>
      <c r="E99">
        <f>SUMIFS(monthly_work_hours!$M:$M,monthly_work_hours!$A:$A,'FTE 계산'!$A99,monthly_work_hours!$H:$H,'FTE 계산'!E$2)</f>
        <v>210.3</v>
      </c>
      <c r="F99">
        <f>SUMIFS(monthly_work_hours!$M:$M,monthly_work_hours!$A:$A,'FTE 계산'!$A99,monthly_work_hours!$H:$H,'FTE 계산'!F$2)</f>
        <v>92.4</v>
      </c>
      <c r="G99">
        <f>SUMIFS(monthly_work_hours!$M:$M,monthly_work_hours!$A:$A,'FTE 계산'!$A99,monthly_work_hours!$H:$H,'FTE 계산'!G$2)</f>
        <v>41</v>
      </c>
      <c r="H99">
        <f>(SUMIFS(monthly_work_hours!$I:$I,monthly_work_hours!$A:$A,'FTE 계산'!$A99,monthly_work_hours!$H:$H,'FTE 계산'!H$2)) - (SUMIFS(monthly_work_hours!$L:$L,monthly_work_hours!$A:$A,'FTE 계산'!$A99,monthly_work_hours!$H:$H,'FTE 계산'!H$2))</f>
        <v>16</v>
      </c>
      <c r="I99">
        <f>(SUMIFS(monthly_work_hours!$I:$I,monthly_work_hours!$A:$A,'FTE 계산'!$A99,monthly_work_hours!$H:$H,'FTE 계산'!I$2)) - (SUMIFS(monthly_work_hours!$L:$L,monthly_work_hours!$A:$A,'FTE 계산'!$A99,monthly_work_hours!$H:$H,'FTE 계산'!I$2))</f>
        <v>10</v>
      </c>
      <c r="J99">
        <f>(SUMIFS(monthly_work_hours!$I:$I,monthly_work_hours!$A:$A,'FTE 계산'!$A99,monthly_work_hours!$H:$H,'FTE 계산'!J$2)) - (SUMIFS(monthly_work_hours!$L:$L,monthly_work_hours!$A:$A,'FTE 계산'!$A99,monthly_work_hours!$H:$H,'FTE 계산'!J$2))</f>
        <v>5</v>
      </c>
    </row>
    <row r="100" spans="1:10" x14ac:dyDescent="0.45">
      <c r="A100">
        <v>1215099</v>
      </c>
      <c r="B100" t="str">
        <f>_xlfn.XLOOKUP(A100,monthly_work_hours!A:A,monthly_work_hours!B:B)</f>
        <v>김진수</v>
      </c>
      <c r="C100" t="str">
        <f>_xlfn.XLOOKUP(A100,monthly_work_hours!A:A,monthly_work_hours!E:E)</f>
        <v>품질경영팀</v>
      </c>
      <c r="D100" t="str">
        <f>_xlfn.XLOOKUP(A100,monthly_work_hours!A:A,monthly_work_hours!F:F)</f>
        <v>선임</v>
      </c>
      <c r="E100">
        <f>SUMIFS(monthly_work_hours!$M:$M,monthly_work_hours!$A:$A,'FTE 계산'!$A100,monthly_work_hours!$H:$H,'FTE 계산'!E$2)</f>
        <v>179.1</v>
      </c>
      <c r="F100">
        <f>SUMIFS(monthly_work_hours!$M:$M,monthly_work_hours!$A:$A,'FTE 계산'!$A100,monthly_work_hours!$H:$H,'FTE 계산'!F$2)</f>
        <v>176.3</v>
      </c>
      <c r="G100">
        <f>SUMIFS(monthly_work_hours!$M:$M,monthly_work_hours!$A:$A,'FTE 계산'!$A100,monthly_work_hours!$H:$H,'FTE 계산'!G$2)</f>
        <v>140.4</v>
      </c>
      <c r="H100">
        <f>(SUMIFS(monthly_work_hours!$I:$I,monthly_work_hours!$A:$A,'FTE 계산'!$A100,monthly_work_hours!$H:$H,'FTE 계산'!H$2)) - (SUMIFS(monthly_work_hours!$L:$L,monthly_work_hours!$A:$A,'FTE 계산'!$A100,monthly_work_hours!$H:$H,'FTE 계산'!H$2))</f>
        <v>19</v>
      </c>
      <c r="I100">
        <f>(SUMIFS(monthly_work_hours!$I:$I,monthly_work_hours!$A:$A,'FTE 계산'!$A100,monthly_work_hours!$H:$H,'FTE 계산'!I$2)) - (SUMIFS(monthly_work_hours!$L:$L,monthly_work_hours!$A:$A,'FTE 계산'!$A100,monthly_work_hours!$H:$H,'FTE 계산'!I$2))</f>
        <v>19</v>
      </c>
      <c r="J100">
        <f>(SUMIFS(monthly_work_hours!$I:$I,monthly_work_hours!$A:$A,'FTE 계산'!$A100,monthly_work_hours!$H:$H,'FTE 계산'!J$2)) - (SUMIFS(monthly_work_hours!$L:$L,monthly_work_hours!$A:$A,'FTE 계산'!$A100,monthly_work_hours!$H:$H,'FTE 계산'!J$2))</f>
        <v>16</v>
      </c>
    </row>
    <row r="101" spans="1:10" x14ac:dyDescent="0.45">
      <c r="A101">
        <v>1215101</v>
      </c>
      <c r="B101" t="str">
        <f>_xlfn.XLOOKUP(A101,monthly_work_hours!A:A,monthly_work_hours!B:B)</f>
        <v>이중희</v>
      </c>
      <c r="C101" t="str">
        <f>_xlfn.XLOOKUP(A101,monthly_work_hours!A:A,monthly_work_hours!E:E)</f>
        <v>FL품질보증팀</v>
      </c>
      <c r="D101" t="str">
        <f>_xlfn.XLOOKUP(A101,monthly_work_hours!A:A,monthly_work_hours!F:F)</f>
        <v>책임</v>
      </c>
      <c r="E101">
        <f>SUMIFS(monthly_work_hours!$M:$M,monthly_work_hours!$A:$A,'FTE 계산'!$A101,monthly_work_hours!$H:$H,'FTE 계산'!E$2)</f>
        <v>174.9</v>
      </c>
      <c r="F101">
        <f>SUMIFS(monthly_work_hours!$M:$M,monthly_work_hours!$A:$A,'FTE 계산'!$A101,monthly_work_hours!$H:$H,'FTE 계산'!F$2)</f>
        <v>138.4</v>
      </c>
      <c r="G101">
        <f>SUMIFS(monthly_work_hours!$M:$M,monthly_work_hours!$A:$A,'FTE 계산'!$A101,monthly_work_hours!$H:$H,'FTE 계산'!G$2)</f>
        <v>144.9</v>
      </c>
      <c r="H101">
        <f>(SUMIFS(monthly_work_hours!$I:$I,monthly_work_hours!$A:$A,'FTE 계산'!$A101,monthly_work_hours!$H:$H,'FTE 계산'!H$2)) - (SUMIFS(monthly_work_hours!$L:$L,monthly_work_hours!$A:$A,'FTE 계산'!$A101,monthly_work_hours!$H:$H,'FTE 계산'!H$2))</f>
        <v>16</v>
      </c>
      <c r="I101">
        <f>(SUMIFS(monthly_work_hours!$I:$I,monthly_work_hours!$A:$A,'FTE 계산'!$A101,monthly_work_hours!$H:$H,'FTE 계산'!I$2)) - (SUMIFS(monthly_work_hours!$L:$L,monthly_work_hours!$A:$A,'FTE 계산'!$A101,monthly_work_hours!$H:$H,'FTE 계산'!I$2))</f>
        <v>12</v>
      </c>
      <c r="J101">
        <f>(SUMIFS(monthly_work_hours!$I:$I,monthly_work_hours!$A:$A,'FTE 계산'!$A101,monthly_work_hours!$H:$H,'FTE 계산'!J$2)) - (SUMIFS(monthly_work_hours!$L:$L,monthly_work_hours!$A:$A,'FTE 계산'!$A101,monthly_work_hours!$H:$H,'FTE 계산'!J$2))</f>
        <v>14</v>
      </c>
    </row>
    <row r="102" spans="1:10" x14ac:dyDescent="0.45">
      <c r="A102">
        <v>1215137</v>
      </c>
      <c r="B102" t="str">
        <f>_xlfn.XLOOKUP(A102,monthly_work_hours!A:A,monthly_work_hours!B:B)</f>
        <v>김용섭</v>
      </c>
      <c r="C102" t="str">
        <f>_xlfn.XLOOKUP(A102,monthly_work_hours!A:A,monthly_work_hours!E:E)</f>
        <v>SL영업팀</v>
      </c>
      <c r="D102" t="str">
        <f>_xlfn.XLOOKUP(A102,monthly_work_hours!A:A,monthly_work_hours!F:F)</f>
        <v>선임</v>
      </c>
      <c r="E102">
        <f>SUMIFS(monthly_work_hours!$M:$M,monthly_work_hours!$A:$A,'FTE 계산'!$A102,monthly_work_hours!$H:$H,'FTE 계산'!E$2)</f>
        <v>185.8</v>
      </c>
      <c r="F102">
        <f>SUMIFS(monthly_work_hours!$M:$M,monthly_work_hours!$A:$A,'FTE 계산'!$A102,monthly_work_hours!$H:$H,'FTE 계산'!F$2)</f>
        <v>122.9</v>
      </c>
      <c r="G102">
        <f>SUMIFS(monthly_work_hours!$M:$M,monthly_work_hours!$A:$A,'FTE 계산'!$A102,monthly_work_hours!$H:$H,'FTE 계산'!G$2)</f>
        <v>134.80000000000001</v>
      </c>
      <c r="H102">
        <f>(SUMIFS(monthly_work_hours!$I:$I,monthly_work_hours!$A:$A,'FTE 계산'!$A102,monthly_work_hours!$H:$H,'FTE 계산'!H$2)) - (SUMIFS(monthly_work_hours!$L:$L,monthly_work_hours!$A:$A,'FTE 계산'!$A102,monthly_work_hours!$H:$H,'FTE 계산'!H$2))</f>
        <v>19</v>
      </c>
      <c r="I102">
        <f>(SUMIFS(monthly_work_hours!$I:$I,monthly_work_hours!$A:$A,'FTE 계산'!$A102,monthly_work_hours!$H:$H,'FTE 계산'!I$2)) - (SUMIFS(monthly_work_hours!$L:$L,monthly_work_hours!$A:$A,'FTE 계산'!$A102,monthly_work_hours!$H:$H,'FTE 계산'!I$2))</f>
        <v>13</v>
      </c>
      <c r="J102">
        <f>(SUMIFS(monthly_work_hours!$I:$I,monthly_work_hours!$A:$A,'FTE 계산'!$A102,monthly_work_hours!$H:$H,'FTE 계산'!J$2)) - (SUMIFS(monthly_work_hours!$L:$L,monthly_work_hours!$A:$A,'FTE 계산'!$A102,monthly_work_hours!$H:$H,'FTE 계산'!J$2))</f>
        <v>15</v>
      </c>
    </row>
    <row r="103" spans="1:10" x14ac:dyDescent="0.45">
      <c r="A103">
        <v>1215138</v>
      </c>
      <c r="B103" t="str">
        <f>_xlfn.XLOOKUP(A103,monthly_work_hours!A:A,monthly_work_hours!B:B)</f>
        <v>이병윤</v>
      </c>
      <c r="C103" t="str">
        <f>_xlfn.XLOOKUP(A103,monthly_work_hours!A:A,monthly_work_hours!E:E)</f>
        <v>구매원가팀</v>
      </c>
      <c r="D103" t="str">
        <f>_xlfn.XLOOKUP(A103,monthly_work_hours!A:A,monthly_work_hours!F:F)</f>
        <v>선임</v>
      </c>
      <c r="E103">
        <f>SUMIFS(monthly_work_hours!$M:$M,monthly_work_hours!$A:$A,'FTE 계산'!$A103,monthly_work_hours!$H:$H,'FTE 계산'!E$2)</f>
        <v>167.6</v>
      </c>
      <c r="F103">
        <f>SUMIFS(monthly_work_hours!$M:$M,monthly_work_hours!$A:$A,'FTE 계산'!$A103,monthly_work_hours!$H:$H,'FTE 계산'!F$2)</f>
        <v>178.9</v>
      </c>
      <c r="G103">
        <f>SUMIFS(monthly_work_hours!$M:$M,monthly_work_hours!$A:$A,'FTE 계산'!$A103,monthly_work_hours!$H:$H,'FTE 계산'!G$2)</f>
        <v>159.1</v>
      </c>
      <c r="H103">
        <f>(SUMIFS(monthly_work_hours!$I:$I,monthly_work_hours!$A:$A,'FTE 계산'!$A103,monthly_work_hours!$H:$H,'FTE 계산'!H$2)) - (SUMIFS(monthly_work_hours!$L:$L,monthly_work_hours!$A:$A,'FTE 계산'!$A103,monthly_work_hours!$H:$H,'FTE 계산'!H$2))</f>
        <v>16</v>
      </c>
      <c r="I103">
        <f>(SUMIFS(monthly_work_hours!$I:$I,monthly_work_hours!$A:$A,'FTE 계산'!$A103,monthly_work_hours!$H:$H,'FTE 계산'!I$2)) - (SUMIFS(monthly_work_hours!$L:$L,monthly_work_hours!$A:$A,'FTE 계산'!$A103,monthly_work_hours!$H:$H,'FTE 계산'!I$2))</f>
        <v>17</v>
      </c>
      <c r="J103">
        <f>(SUMIFS(monthly_work_hours!$I:$I,monthly_work_hours!$A:$A,'FTE 계산'!$A103,monthly_work_hours!$H:$H,'FTE 계산'!J$2)) - (SUMIFS(monthly_work_hours!$L:$L,monthly_work_hours!$A:$A,'FTE 계산'!$A103,monthly_work_hours!$H:$H,'FTE 계산'!J$2))</f>
        <v>15</v>
      </c>
    </row>
    <row r="104" spans="1:10" x14ac:dyDescent="0.45">
      <c r="A104">
        <v>1215149</v>
      </c>
      <c r="B104" t="str">
        <f>_xlfn.XLOOKUP(A104,monthly_work_hours!A:A,monthly_work_hours!B:B)</f>
        <v>이화주</v>
      </c>
      <c r="C104" t="str">
        <f>_xlfn.XLOOKUP(A104,monthly_work_hours!A:A,monthly_work_hours!E:E)</f>
        <v>경영지원팀</v>
      </c>
      <c r="D104" t="str">
        <f>_xlfn.XLOOKUP(A104,monthly_work_hours!A:A,monthly_work_hours!F:F)</f>
        <v>선임</v>
      </c>
      <c r="E104">
        <f>SUMIFS(monthly_work_hours!$M:$M,monthly_work_hours!$A:$A,'FTE 계산'!$A104,monthly_work_hours!$H:$H,'FTE 계산'!E$2)</f>
        <v>187</v>
      </c>
      <c r="F104">
        <f>SUMIFS(monthly_work_hours!$M:$M,monthly_work_hours!$A:$A,'FTE 계산'!$A104,monthly_work_hours!$H:$H,'FTE 계산'!F$2)</f>
        <v>189.7</v>
      </c>
      <c r="G104">
        <f>SUMIFS(monthly_work_hours!$M:$M,monthly_work_hours!$A:$A,'FTE 계산'!$A104,monthly_work_hours!$H:$H,'FTE 계산'!G$2)</f>
        <v>150.80000000000001</v>
      </c>
      <c r="H104">
        <f>(SUMIFS(monthly_work_hours!$I:$I,monthly_work_hours!$A:$A,'FTE 계산'!$A104,monthly_work_hours!$H:$H,'FTE 계산'!H$2)) - (SUMIFS(monthly_work_hours!$L:$L,monthly_work_hours!$A:$A,'FTE 계산'!$A104,monthly_work_hours!$H:$H,'FTE 계산'!H$2))</f>
        <v>19</v>
      </c>
      <c r="I104">
        <f>(SUMIFS(monthly_work_hours!$I:$I,monthly_work_hours!$A:$A,'FTE 계산'!$A104,monthly_work_hours!$H:$H,'FTE 계산'!I$2)) - (SUMIFS(monthly_work_hours!$L:$L,monthly_work_hours!$A:$A,'FTE 계산'!$A104,monthly_work_hours!$H:$H,'FTE 계산'!I$2))</f>
        <v>19</v>
      </c>
      <c r="J104">
        <f>(SUMIFS(monthly_work_hours!$I:$I,monthly_work_hours!$A:$A,'FTE 계산'!$A104,monthly_work_hours!$H:$H,'FTE 계산'!J$2)) - (SUMIFS(monthly_work_hours!$L:$L,monthly_work_hours!$A:$A,'FTE 계산'!$A104,monthly_work_hours!$H:$H,'FTE 계산'!J$2))</f>
        <v>16</v>
      </c>
    </row>
    <row r="105" spans="1:10" x14ac:dyDescent="0.45">
      <c r="A105">
        <v>1216011</v>
      </c>
      <c r="B105" t="str">
        <f>_xlfn.XLOOKUP(A105,monthly_work_hours!A:A,monthly_work_hours!B:B)</f>
        <v>이민희</v>
      </c>
      <c r="C105" t="str">
        <f>_xlfn.XLOOKUP(A105,monthly_work_hours!A:A,monthly_work_hours!E:E)</f>
        <v>SL개발팀</v>
      </c>
      <c r="D105" t="str">
        <f>_xlfn.XLOOKUP(A105,monthly_work_hours!A:A,monthly_work_hours!F:F)</f>
        <v>선임</v>
      </c>
      <c r="E105">
        <f>SUMIFS(monthly_work_hours!$M:$M,monthly_work_hours!$A:$A,'FTE 계산'!$A105,monthly_work_hours!$H:$H,'FTE 계산'!E$2)</f>
        <v>131.4</v>
      </c>
      <c r="F105">
        <f>SUMIFS(monthly_work_hours!$M:$M,monthly_work_hours!$A:$A,'FTE 계산'!$A105,monthly_work_hours!$H:$H,'FTE 계산'!F$2)</f>
        <v>146.5</v>
      </c>
      <c r="G105">
        <f>SUMIFS(monthly_work_hours!$M:$M,monthly_work_hours!$A:$A,'FTE 계산'!$A105,monthly_work_hours!$H:$H,'FTE 계산'!G$2)</f>
        <v>132.80000000000001</v>
      </c>
      <c r="H105">
        <f>(SUMIFS(monthly_work_hours!$I:$I,monthly_work_hours!$A:$A,'FTE 계산'!$A105,monthly_work_hours!$H:$H,'FTE 계산'!H$2)) - (SUMIFS(monthly_work_hours!$L:$L,monthly_work_hours!$A:$A,'FTE 계산'!$A105,monthly_work_hours!$H:$H,'FTE 계산'!H$2))</f>
        <v>15</v>
      </c>
      <c r="I105">
        <f>(SUMIFS(monthly_work_hours!$I:$I,monthly_work_hours!$A:$A,'FTE 계산'!$A105,monthly_work_hours!$H:$H,'FTE 계산'!I$2)) - (SUMIFS(monthly_work_hours!$L:$L,monthly_work_hours!$A:$A,'FTE 계산'!$A105,monthly_work_hours!$H:$H,'FTE 계산'!I$2))</f>
        <v>15</v>
      </c>
      <c r="J105">
        <f>(SUMIFS(monthly_work_hours!$I:$I,monthly_work_hours!$A:$A,'FTE 계산'!$A105,monthly_work_hours!$H:$H,'FTE 계산'!J$2)) - (SUMIFS(monthly_work_hours!$L:$L,monthly_work_hours!$A:$A,'FTE 계산'!$A105,monthly_work_hours!$H:$H,'FTE 계산'!J$2))</f>
        <v>14</v>
      </c>
    </row>
    <row r="106" spans="1:10" x14ac:dyDescent="0.45">
      <c r="A106">
        <v>1216012</v>
      </c>
      <c r="B106" t="str">
        <f>_xlfn.XLOOKUP(A106,monthly_work_hours!A:A,monthly_work_hours!B:B)</f>
        <v>김홍민</v>
      </c>
      <c r="C106" t="str">
        <f>_xlfn.XLOOKUP(A106,monthly_work_hours!A:A,monthly_work_hours!E:E)</f>
        <v>공정혁신팀</v>
      </c>
      <c r="D106" t="str">
        <f>_xlfn.XLOOKUP(A106,monthly_work_hours!A:A,monthly_work_hours!F:F)</f>
        <v>선임</v>
      </c>
      <c r="E106">
        <f>SUMIFS(monthly_work_hours!$M:$M,monthly_work_hours!$A:$A,'FTE 계산'!$A106,monthly_work_hours!$H:$H,'FTE 계산'!E$2)</f>
        <v>144.4</v>
      </c>
      <c r="F106">
        <f>SUMIFS(monthly_work_hours!$M:$M,monthly_work_hours!$A:$A,'FTE 계산'!$A106,monthly_work_hours!$H:$H,'FTE 계산'!F$2)</f>
        <v>147.6</v>
      </c>
      <c r="G106">
        <f>SUMIFS(monthly_work_hours!$M:$M,monthly_work_hours!$A:$A,'FTE 계산'!$A106,monthly_work_hours!$H:$H,'FTE 계산'!G$2)</f>
        <v>138.9</v>
      </c>
      <c r="H106">
        <f>(SUMIFS(monthly_work_hours!$I:$I,monthly_work_hours!$A:$A,'FTE 계산'!$A106,monthly_work_hours!$H:$H,'FTE 계산'!H$2)) - (SUMIFS(monthly_work_hours!$L:$L,monthly_work_hours!$A:$A,'FTE 계산'!$A106,monthly_work_hours!$H:$H,'FTE 계산'!H$2))</f>
        <v>17</v>
      </c>
      <c r="I106">
        <f>(SUMIFS(monthly_work_hours!$I:$I,monthly_work_hours!$A:$A,'FTE 계산'!$A106,monthly_work_hours!$H:$H,'FTE 계산'!I$2)) - (SUMIFS(monthly_work_hours!$L:$L,monthly_work_hours!$A:$A,'FTE 계산'!$A106,monthly_work_hours!$H:$H,'FTE 계산'!I$2))</f>
        <v>17</v>
      </c>
      <c r="J106">
        <f>(SUMIFS(monthly_work_hours!$I:$I,monthly_work_hours!$A:$A,'FTE 계산'!$A106,monthly_work_hours!$H:$H,'FTE 계산'!J$2)) - (SUMIFS(monthly_work_hours!$L:$L,monthly_work_hours!$A:$A,'FTE 계산'!$A106,monthly_work_hours!$H:$H,'FTE 계산'!J$2))</f>
        <v>16</v>
      </c>
    </row>
    <row r="107" spans="1:10" x14ac:dyDescent="0.45">
      <c r="A107">
        <v>1216022</v>
      </c>
      <c r="B107" t="str">
        <f>_xlfn.XLOOKUP(A107,monthly_work_hours!A:A,monthly_work_hours!B:B)</f>
        <v>전현하</v>
      </c>
      <c r="C107" t="str">
        <f>_xlfn.XLOOKUP(A107,monthly_work_hours!A:A,monthly_work_hours!E:E)</f>
        <v>관체사업팀</v>
      </c>
      <c r="D107" t="str">
        <f>_xlfn.XLOOKUP(A107,monthly_work_hours!A:A,monthly_work_hours!F:F)</f>
        <v>사원</v>
      </c>
      <c r="E107">
        <f>SUMIFS(monthly_work_hours!$M:$M,monthly_work_hours!$A:$A,'FTE 계산'!$A107,monthly_work_hours!$H:$H,'FTE 계산'!E$2)</f>
        <v>161.30000000000001</v>
      </c>
      <c r="F107">
        <f>SUMIFS(monthly_work_hours!$M:$M,monthly_work_hours!$A:$A,'FTE 계산'!$A107,monthly_work_hours!$H:$H,'FTE 계산'!F$2)</f>
        <v>160.19999999999999</v>
      </c>
      <c r="G107">
        <f>SUMIFS(monthly_work_hours!$M:$M,monthly_work_hours!$A:$A,'FTE 계산'!$A107,monthly_work_hours!$H:$H,'FTE 계산'!G$2)</f>
        <v>125.8</v>
      </c>
      <c r="H107">
        <f>(SUMIFS(monthly_work_hours!$I:$I,monthly_work_hours!$A:$A,'FTE 계산'!$A107,monthly_work_hours!$H:$H,'FTE 계산'!H$2)) - (SUMIFS(monthly_work_hours!$L:$L,monthly_work_hours!$A:$A,'FTE 계산'!$A107,monthly_work_hours!$H:$H,'FTE 계산'!H$2))</f>
        <v>19</v>
      </c>
      <c r="I107">
        <f>(SUMIFS(monthly_work_hours!$I:$I,monthly_work_hours!$A:$A,'FTE 계산'!$A107,monthly_work_hours!$H:$H,'FTE 계산'!I$2)) - (SUMIFS(monthly_work_hours!$L:$L,monthly_work_hours!$A:$A,'FTE 계산'!$A107,monthly_work_hours!$H:$H,'FTE 계산'!I$2))</f>
        <v>18</v>
      </c>
      <c r="J107">
        <f>(SUMIFS(monthly_work_hours!$I:$I,monthly_work_hours!$A:$A,'FTE 계산'!$A107,monthly_work_hours!$H:$H,'FTE 계산'!J$2)) - (SUMIFS(monthly_work_hours!$L:$L,monthly_work_hours!$A:$A,'FTE 계산'!$A107,monthly_work_hours!$H:$H,'FTE 계산'!J$2))</f>
        <v>13</v>
      </c>
    </row>
    <row r="108" spans="1:10" x14ac:dyDescent="0.45">
      <c r="A108">
        <v>1216025</v>
      </c>
      <c r="B108" t="str">
        <f>_xlfn.XLOOKUP(A108,monthly_work_hours!A:A,monthly_work_hours!B:B)</f>
        <v>여성호</v>
      </c>
      <c r="C108" t="str">
        <f>_xlfn.XLOOKUP(A108,monthly_work_hours!A:A,monthly_work_hours!E:E)</f>
        <v>SL설계팀</v>
      </c>
      <c r="D108" t="str">
        <f>_xlfn.XLOOKUP(A108,monthly_work_hours!A:A,monthly_work_hours!F:F)</f>
        <v>선임</v>
      </c>
      <c r="E108">
        <f>SUMIFS(monthly_work_hours!$M:$M,monthly_work_hours!$A:$A,'FTE 계산'!$A108,monthly_work_hours!$H:$H,'FTE 계산'!E$2)</f>
        <v>101.6</v>
      </c>
      <c r="F108">
        <f>SUMIFS(monthly_work_hours!$M:$M,monthly_work_hours!$A:$A,'FTE 계산'!$A108,monthly_work_hours!$H:$H,'FTE 계산'!F$2)</f>
        <v>94.4</v>
      </c>
      <c r="G108">
        <f>SUMIFS(monthly_work_hours!$M:$M,monthly_work_hours!$A:$A,'FTE 계산'!$A108,monthly_work_hours!$H:$H,'FTE 계산'!G$2)</f>
        <v>49.5</v>
      </c>
      <c r="H108">
        <f>(SUMIFS(monthly_work_hours!$I:$I,monthly_work_hours!$A:$A,'FTE 계산'!$A108,monthly_work_hours!$H:$H,'FTE 계산'!H$2)) - (SUMIFS(monthly_work_hours!$L:$L,monthly_work_hours!$A:$A,'FTE 계산'!$A108,monthly_work_hours!$H:$H,'FTE 계산'!H$2))</f>
        <v>12</v>
      </c>
      <c r="I108">
        <f>(SUMIFS(monthly_work_hours!$I:$I,monthly_work_hours!$A:$A,'FTE 계산'!$A108,monthly_work_hours!$H:$H,'FTE 계산'!I$2)) - (SUMIFS(monthly_work_hours!$L:$L,monthly_work_hours!$A:$A,'FTE 계산'!$A108,monthly_work_hours!$H:$H,'FTE 계산'!I$2))</f>
        <v>13</v>
      </c>
      <c r="J108">
        <f>(SUMIFS(monthly_work_hours!$I:$I,monthly_work_hours!$A:$A,'FTE 계산'!$A108,monthly_work_hours!$H:$H,'FTE 계산'!J$2)) - (SUMIFS(monthly_work_hours!$L:$L,monthly_work_hours!$A:$A,'FTE 계산'!$A108,monthly_work_hours!$H:$H,'FTE 계산'!J$2))</f>
        <v>6</v>
      </c>
    </row>
    <row r="109" spans="1:10" x14ac:dyDescent="0.45">
      <c r="A109">
        <v>1216044</v>
      </c>
      <c r="B109" t="str">
        <f>_xlfn.XLOOKUP(A109,monthly_work_hours!A:A,monthly_work_hours!B:B)</f>
        <v>이세리</v>
      </c>
      <c r="C109" t="str">
        <f>_xlfn.XLOOKUP(A109,monthly_work_hours!A:A,monthly_work_hours!E:E)</f>
        <v>구매원가팀</v>
      </c>
      <c r="D109" t="str">
        <f>_xlfn.XLOOKUP(A109,monthly_work_hours!A:A,monthly_work_hours!F:F)</f>
        <v>사원</v>
      </c>
      <c r="E109">
        <f>SUMIFS(monthly_work_hours!$M:$M,monthly_work_hours!$A:$A,'FTE 계산'!$A109,monthly_work_hours!$H:$H,'FTE 계산'!E$2)</f>
        <v>185.9</v>
      </c>
      <c r="F109">
        <f>SUMIFS(monthly_work_hours!$M:$M,monthly_work_hours!$A:$A,'FTE 계산'!$A109,monthly_work_hours!$H:$H,'FTE 계산'!F$2)</f>
        <v>177.8</v>
      </c>
      <c r="G109">
        <f>SUMIFS(monthly_work_hours!$M:$M,monthly_work_hours!$A:$A,'FTE 계산'!$A109,monthly_work_hours!$H:$H,'FTE 계산'!G$2)</f>
        <v>166.3</v>
      </c>
      <c r="H109">
        <f>(SUMIFS(monthly_work_hours!$I:$I,monthly_work_hours!$A:$A,'FTE 계산'!$A109,monthly_work_hours!$H:$H,'FTE 계산'!H$2)) - (SUMIFS(monthly_work_hours!$L:$L,monthly_work_hours!$A:$A,'FTE 계산'!$A109,monthly_work_hours!$H:$H,'FTE 계산'!H$2))</f>
        <v>18</v>
      </c>
      <c r="I109">
        <f>(SUMIFS(monthly_work_hours!$I:$I,monthly_work_hours!$A:$A,'FTE 계산'!$A109,monthly_work_hours!$H:$H,'FTE 계산'!I$2)) - (SUMIFS(monthly_work_hours!$L:$L,monthly_work_hours!$A:$A,'FTE 계산'!$A109,monthly_work_hours!$H:$H,'FTE 계산'!I$2))</f>
        <v>18</v>
      </c>
      <c r="J109">
        <f>(SUMIFS(monthly_work_hours!$I:$I,monthly_work_hours!$A:$A,'FTE 계산'!$A109,monthly_work_hours!$H:$H,'FTE 계산'!J$2)) - (SUMIFS(monthly_work_hours!$L:$L,monthly_work_hours!$A:$A,'FTE 계산'!$A109,monthly_work_hours!$H:$H,'FTE 계산'!J$2))</f>
        <v>16</v>
      </c>
    </row>
    <row r="110" spans="1:10" x14ac:dyDescent="0.45">
      <c r="A110">
        <v>1216071</v>
      </c>
      <c r="B110" t="str">
        <f>_xlfn.XLOOKUP(A110,monthly_work_hours!A:A,monthly_work_hours!B:B)</f>
        <v>김용신</v>
      </c>
      <c r="C110" t="str">
        <f>_xlfn.XLOOKUP(A110,monthly_work_hours!A:A,monthly_work_hours!E:E)</f>
        <v>안전보안팀</v>
      </c>
      <c r="D110" t="str">
        <f>_xlfn.XLOOKUP(A110,monthly_work_hours!A:A,monthly_work_hours!F:F)</f>
        <v>책임</v>
      </c>
      <c r="E110">
        <f>SUMIFS(monthly_work_hours!$M:$M,monthly_work_hours!$A:$A,'FTE 계산'!$A110,monthly_work_hours!$H:$H,'FTE 계산'!E$2)</f>
        <v>608.20000000000005</v>
      </c>
      <c r="F110">
        <f>SUMIFS(monthly_work_hours!$M:$M,monthly_work_hours!$A:$A,'FTE 계산'!$A110,monthly_work_hours!$H:$H,'FTE 계산'!F$2)</f>
        <v>634.9</v>
      </c>
      <c r="G110">
        <f>SUMIFS(monthly_work_hours!$M:$M,monthly_work_hours!$A:$A,'FTE 계산'!$A110,monthly_work_hours!$H:$H,'FTE 계산'!G$2)</f>
        <v>355</v>
      </c>
      <c r="H110">
        <f>(SUMIFS(monthly_work_hours!$I:$I,monthly_work_hours!$A:$A,'FTE 계산'!$A110,monthly_work_hours!$H:$H,'FTE 계산'!H$2)) - (SUMIFS(monthly_work_hours!$L:$L,monthly_work_hours!$A:$A,'FTE 계산'!$A110,monthly_work_hours!$H:$H,'FTE 계산'!H$2))</f>
        <v>21</v>
      </c>
      <c r="I110">
        <f>(SUMIFS(monthly_work_hours!$I:$I,monthly_work_hours!$A:$A,'FTE 계산'!$A110,monthly_work_hours!$H:$H,'FTE 계산'!I$2)) - (SUMIFS(monthly_work_hours!$L:$L,monthly_work_hours!$A:$A,'FTE 계산'!$A110,monthly_work_hours!$H:$H,'FTE 계산'!I$2))</f>
        <v>21</v>
      </c>
      <c r="J110">
        <f>(SUMIFS(monthly_work_hours!$I:$I,monthly_work_hours!$A:$A,'FTE 계산'!$A110,monthly_work_hours!$H:$H,'FTE 계산'!J$2)) - (SUMIFS(monthly_work_hours!$L:$L,monthly_work_hours!$A:$A,'FTE 계산'!$A110,monthly_work_hours!$H:$H,'FTE 계산'!J$2))</f>
        <v>16</v>
      </c>
    </row>
    <row r="111" spans="1:10" x14ac:dyDescent="0.45">
      <c r="A111">
        <v>1216118</v>
      </c>
      <c r="B111" t="str">
        <f>_xlfn.XLOOKUP(A111,monthly_work_hours!A:A,monthly_work_hours!B:B)</f>
        <v>예송</v>
      </c>
      <c r="C111" t="str">
        <f>_xlfn.XLOOKUP(A111,monthly_work_hours!A:A,monthly_work_hours!E:E)</f>
        <v>재무팀</v>
      </c>
      <c r="D111" t="str">
        <f>_xlfn.XLOOKUP(A111,monthly_work_hours!A:A,monthly_work_hours!F:F)</f>
        <v>선임</v>
      </c>
      <c r="E111">
        <f>SUMIFS(monthly_work_hours!$M:$M,monthly_work_hours!$A:$A,'FTE 계산'!$A111,monthly_work_hours!$H:$H,'FTE 계산'!E$2)</f>
        <v>190</v>
      </c>
      <c r="F111">
        <f>SUMIFS(monthly_work_hours!$M:$M,monthly_work_hours!$A:$A,'FTE 계산'!$A111,monthly_work_hours!$H:$H,'FTE 계산'!F$2)</f>
        <v>227.7</v>
      </c>
      <c r="G111">
        <f>SUMIFS(monthly_work_hours!$M:$M,monthly_work_hours!$A:$A,'FTE 계산'!$A111,monthly_work_hours!$H:$H,'FTE 계산'!G$2)</f>
        <v>138.5</v>
      </c>
      <c r="H111">
        <f>(SUMIFS(monthly_work_hours!$I:$I,monthly_work_hours!$A:$A,'FTE 계산'!$A111,monthly_work_hours!$H:$H,'FTE 계산'!H$2)) - (SUMIFS(monthly_work_hours!$L:$L,monthly_work_hours!$A:$A,'FTE 계산'!$A111,monthly_work_hours!$H:$H,'FTE 계산'!H$2))</f>
        <v>19</v>
      </c>
      <c r="I111">
        <f>(SUMIFS(monthly_work_hours!$I:$I,monthly_work_hours!$A:$A,'FTE 계산'!$A111,monthly_work_hours!$H:$H,'FTE 계산'!I$2)) - (SUMIFS(monthly_work_hours!$L:$L,monthly_work_hours!$A:$A,'FTE 계산'!$A111,monthly_work_hours!$H:$H,'FTE 계산'!I$2))</f>
        <v>22</v>
      </c>
      <c r="J111">
        <f>(SUMIFS(monthly_work_hours!$I:$I,monthly_work_hours!$A:$A,'FTE 계산'!$A111,monthly_work_hours!$H:$H,'FTE 계산'!J$2)) - (SUMIFS(monthly_work_hours!$L:$L,monthly_work_hours!$A:$A,'FTE 계산'!$A111,monthly_work_hours!$H:$H,'FTE 계산'!J$2))</f>
        <v>15</v>
      </c>
    </row>
    <row r="112" spans="1:10" x14ac:dyDescent="0.45">
      <c r="A112">
        <v>1216119</v>
      </c>
      <c r="B112" t="str">
        <f>_xlfn.XLOOKUP(A112,monthly_work_hours!A:A,monthly_work_hours!B:B)</f>
        <v>이승효</v>
      </c>
      <c r="C112" t="str">
        <f>_xlfn.XLOOKUP(A112,monthly_work_hours!A:A,monthly_work_hours!E:E)</f>
        <v>선행개발팀</v>
      </c>
      <c r="D112" t="str">
        <f>_xlfn.XLOOKUP(A112,monthly_work_hours!A:A,monthly_work_hours!F:F)</f>
        <v>선임</v>
      </c>
      <c r="E112">
        <f>SUMIFS(monthly_work_hours!$M:$M,monthly_work_hours!$A:$A,'FTE 계산'!$A112,monthly_work_hours!$H:$H,'FTE 계산'!E$2)</f>
        <v>187.1</v>
      </c>
      <c r="F112">
        <f>SUMIFS(monthly_work_hours!$M:$M,monthly_work_hours!$A:$A,'FTE 계산'!$A112,monthly_work_hours!$H:$H,'FTE 계산'!F$2)</f>
        <v>262</v>
      </c>
      <c r="G112">
        <f>SUMIFS(monthly_work_hours!$M:$M,monthly_work_hours!$A:$A,'FTE 계산'!$A112,monthly_work_hours!$H:$H,'FTE 계산'!G$2)</f>
        <v>141.6</v>
      </c>
      <c r="H112">
        <f>(SUMIFS(monthly_work_hours!$I:$I,monthly_work_hours!$A:$A,'FTE 계산'!$A112,monthly_work_hours!$H:$H,'FTE 계산'!H$2)) - (SUMIFS(monthly_work_hours!$L:$L,monthly_work_hours!$A:$A,'FTE 계산'!$A112,monthly_work_hours!$H:$H,'FTE 계산'!H$2))</f>
        <v>17</v>
      </c>
      <c r="I112">
        <f>(SUMIFS(monthly_work_hours!$I:$I,monthly_work_hours!$A:$A,'FTE 계산'!$A112,monthly_work_hours!$H:$H,'FTE 계산'!I$2)) - (SUMIFS(monthly_work_hours!$L:$L,monthly_work_hours!$A:$A,'FTE 계산'!$A112,monthly_work_hours!$H:$H,'FTE 계산'!I$2))</f>
        <v>20</v>
      </c>
      <c r="J112">
        <f>(SUMIFS(monthly_work_hours!$I:$I,monthly_work_hours!$A:$A,'FTE 계산'!$A112,monthly_work_hours!$H:$H,'FTE 계산'!J$2)) - (SUMIFS(monthly_work_hours!$L:$L,monthly_work_hours!$A:$A,'FTE 계산'!$A112,monthly_work_hours!$H:$H,'FTE 계산'!J$2))</f>
        <v>16</v>
      </c>
    </row>
    <row r="113" spans="1:10" x14ac:dyDescent="0.45">
      <c r="A113">
        <v>1216123</v>
      </c>
      <c r="B113" t="str">
        <f>_xlfn.XLOOKUP(A113,monthly_work_hours!A:A,monthly_work_hours!B:B)</f>
        <v>박용승</v>
      </c>
      <c r="C113" t="str">
        <f>_xlfn.XLOOKUP(A113,monthly_work_hours!A:A,monthly_work_hours!E:E)</f>
        <v>FL영업팀</v>
      </c>
      <c r="D113" t="str">
        <f>_xlfn.XLOOKUP(A113,monthly_work_hours!A:A,monthly_work_hours!F:F)</f>
        <v>선임</v>
      </c>
      <c r="E113">
        <f>SUMIFS(monthly_work_hours!$M:$M,monthly_work_hours!$A:$A,'FTE 계산'!$A113,monthly_work_hours!$H:$H,'FTE 계산'!E$2)</f>
        <v>191.7</v>
      </c>
      <c r="F113">
        <f>SUMIFS(monthly_work_hours!$M:$M,monthly_work_hours!$A:$A,'FTE 계산'!$A113,monthly_work_hours!$H:$H,'FTE 계산'!F$2)</f>
        <v>189.4</v>
      </c>
      <c r="G113">
        <f>SUMIFS(monthly_work_hours!$M:$M,monthly_work_hours!$A:$A,'FTE 계산'!$A113,monthly_work_hours!$H:$H,'FTE 계산'!G$2)</f>
        <v>177.7</v>
      </c>
      <c r="H113">
        <f>(SUMIFS(monthly_work_hours!$I:$I,monthly_work_hours!$A:$A,'FTE 계산'!$A113,monthly_work_hours!$H:$H,'FTE 계산'!H$2)) - (SUMIFS(monthly_work_hours!$L:$L,monthly_work_hours!$A:$A,'FTE 계산'!$A113,monthly_work_hours!$H:$H,'FTE 계산'!H$2))</f>
        <v>17</v>
      </c>
      <c r="I113">
        <f>(SUMIFS(monthly_work_hours!$I:$I,monthly_work_hours!$A:$A,'FTE 계산'!$A113,monthly_work_hours!$H:$H,'FTE 계산'!I$2)) - (SUMIFS(monthly_work_hours!$L:$L,monthly_work_hours!$A:$A,'FTE 계산'!$A113,monthly_work_hours!$H:$H,'FTE 계산'!I$2))</f>
        <v>17</v>
      </c>
      <c r="J113">
        <f>(SUMIFS(monthly_work_hours!$I:$I,monthly_work_hours!$A:$A,'FTE 계산'!$A113,monthly_work_hours!$H:$H,'FTE 계산'!J$2)) - (SUMIFS(monthly_work_hours!$L:$L,monthly_work_hours!$A:$A,'FTE 계산'!$A113,monthly_work_hours!$H:$H,'FTE 계산'!J$2))</f>
        <v>15</v>
      </c>
    </row>
    <row r="114" spans="1:10" x14ac:dyDescent="0.45">
      <c r="A114">
        <v>1216125</v>
      </c>
      <c r="B114" t="str">
        <f>_xlfn.XLOOKUP(A114,monthly_work_hours!A:A,monthly_work_hours!B:B)</f>
        <v>류병훈</v>
      </c>
      <c r="C114" t="str">
        <f>_xlfn.XLOOKUP(A114,monthly_work_hours!A:A,monthly_work_hours!E:E)</f>
        <v>FL영업팀</v>
      </c>
      <c r="D114" t="str">
        <f>_xlfn.XLOOKUP(A114,monthly_work_hours!A:A,monthly_work_hours!F:F)</f>
        <v>선임</v>
      </c>
      <c r="E114">
        <f>SUMIFS(monthly_work_hours!$M:$M,monthly_work_hours!$A:$A,'FTE 계산'!$A114,monthly_work_hours!$H:$H,'FTE 계산'!E$2)</f>
        <v>208.6</v>
      </c>
      <c r="F114">
        <f>SUMIFS(monthly_work_hours!$M:$M,monthly_work_hours!$A:$A,'FTE 계산'!$A114,monthly_work_hours!$H:$H,'FTE 계산'!F$2)</f>
        <v>202.2</v>
      </c>
      <c r="G114">
        <f>SUMIFS(monthly_work_hours!$M:$M,monthly_work_hours!$A:$A,'FTE 계산'!$A114,monthly_work_hours!$H:$H,'FTE 계산'!G$2)</f>
        <v>182.1</v>
      </c>
      <c r="H114">
        <f>(SUMIFS(monthly_work_hours!$I:$I,monthly_work_hours!$A:$A,'FTE 계산'!$A114,monthly_work_hours!$H:$H,'FTE 계산'!H$2)) - (SUMIFS(monthly_work_hours!$L:$L,monthly_work_hours!$A:$A,'FTE 계산'!$A114,monthly_work_hours!$H:$H,'FTE 계산'!H$2))</f>
        <v>18</v>
      </c>
      <c r="I114">
        <f>(SUMIFS(monthly_work_hours!$I:$I,monthly_work_hours!$A:$A,'FTE 계산'!$A114,monthly_work_hours!$H:$H,'FTE 계산'!I$2)) - (SUMIFS(monthly_work_hours!$L:$L,monthly_work_hours!$A:$A,'FTE 계산'!$A114,monthly_work_hours!$H:$H,'FTE 계산'!I$2))</f>
        <v>17</v>
      </c>
      <c r="J114">
        <f>(SUMIFS(monthly_work_hours!$I:$I,monthly_work_hours!$A:$A,'FTE 계산'!$A114,monthly_work_hours!$H:$H,'FTE 계산'!J$2)) - (SUMIFS(monthly_work_hours!$L:$L,monthly_work_hours!$A:$A,'FTE 계산'!$A114,monthly_work_hours!$H:$H,'FTE 계산'!J$2))</f>
        <v>16</v>
      </c>
    </row>
    <row r="115" spans="1:10" x14ac:dyDescent="0.45">
      <c r="A115">
        <v>1216132</v>
      </c>
      <c r="B115" t="str">
        <f>_xlfn.XLOOKUP(A115,monthly_work_hours!A:A,monthly_work_hours!B:B)</f>
        <v>정영주</v>
      </c>
      <c r="C115" t="str">
        <f>_xlfn.XLOOKUP(A115,monthly_work_hours!A:A,monthly_work_hours!E:E)</f>
        <v>FL설계팀</v>
      </c>
      <c r="D115" t="str">
        <f>_xlfn.XLOOKUP(A115,monthly_work_hours!A:A,monthly_work_hours!F:F)</f>
        <v>책임</v>
      </c>
      <c r="E115">
        <f>SUMIFS(monthly_work_hours!$M:$M,monthly_work_hours!$A:$A,'FTE 계산'!$A115,monthly_work_hours!$H:$H,'FTE 계산'!E$2)</f>
        <v>288.39999999999998</v>
      </c>
      <c r="F115">
        <f>SUMIFS(monthly_work_hours!$M:$M,monthly_work_hours!$A:$A,'FTE 계산'!$A115,monthly_work_hours!$H:$H,'FTE 계산'!F$2)</f>
        <v>219.9</v>
      </c>
      <c r="G115">
        <f>SUMIFS(monthly_work_hours!$M:$M,monthly_work_hours!$A:$A,'FTE 계산'!$A115,monthly_work_hours!$H:$H,'FTE 계산'!G$2)</f>
        <v>174.3</v>
      </c>
      <c r="H115">
        <f>(SUMIFS(monthly_work_hours!$I:$I,monthly_work_hours!$A:$A,'FTE 계산'!$A115,monthly_work_hours!$H:$H,'FTE 계산'!H$2)) - (SUMIFS(monthly_work_hours!$L:$L,monthly_work_hours!$A:$A,'FTE 계산'!$A115,monthly_work_hours!$H:$H,'FTE 계산'!H$2))</f>
        <v>17</v>
      </c>
      <c r="I115">
        <f>(SUMIFS(monthly_work_hours!$I:$I,monthly_work_hours!$A:$A,'FTE 계산'!$A115,monthly_work_hours!$H:$H,'FTE 계산'!I$2)) - (SUMIFS(monthly_work_hours!$L:$L,monthly_work_hours!$A:$A,'FTE 계산'!$A115,monthly_work_hours!$H:$H,'FTE 계산'!I$2))</f>
        <v>18</v>
      </c>
      <c r="J115">
        <f>(SUMIFS(monthly_work_hours!$I:$I,monthly_work_hours!$A:$A,'FTE 계산'!$A115,monthly_work_hours!$H:$H,'FTE 계산'!J$2)) - (SUMIFS(monthly_work_hours!$L:$L,monthly_work_hours!$A:$A,'FTE 계산'!$A115,monthly_work_hours!$H:$H,'FTE 계산'!J$2))</f>
        <v>15</v>
      </c>
    </row>
    <row r="116" spans="1:10" x14ac:dyDescent="0.45">
      <c r="A116">
        <v>1216155</v>
      </c>
      <c r="B116" t="str">
        <f>_xlfn.XLOOKUP(A116,monthly_work_hours!A:A,monthly_work_hours!B:B)</f>
        <v>이소영</v>
      </c>
      <c r="C116" t="str">
        <f>_xlfn.XLOOKUP(A116,monthly_work_hours!A:A,monthly_work_hours!E:E)</f>
        <v>품질경영팀</v>
      </c>
      <c r="D116" t="str">
        <f>_xlfn.XLOOKUP(A116,monthly_work_hours!A:A,monthly_work_hours!F:F)</f>
        <v>사원</v>
      </c>
      <c r="E116">
        <f>SUMIFS(monthly_work_hours!$M:$M,monthly_work_hours!$A:$A,'FTE 계산'!$A116,monthly_work_hours!$H:$H,'FTE 계산'!E$2)</f>
        <v>168.5</v>
      </c>
      <c r="F116">
        <f>SUMIFS(monthly_work_hours!$M:$M,monthly_work_hours!$A:$A,'FTE 계산'!$A116,monthly_work_hours!$H:$H,'FTE 계산'!F$2)</f>
        <v>155.69999999999999</v>
      </c>
      <c r="G116">
        <f>SUMIFS(monthly_work_hours!$M:$M,monthly_work_hours!$A:$A,'FTE 계산'!$A116,monthly_work_hours!$H:$H,'FTE 계산'!G$2)</f>
        <v>139.6</v>
      </c>
      <c r="H116">
        <f>(SUMIFS(monthly_work_hours!$I:$I,monthly_work_hours!$A:$A,'FTE 계산'!$A116,monthly_work_hours!$H:$H,'FTE 계산'!H$2)) - (SUMIFS(monthly_work_hours!$L:$L,monthly_work_hours!$A:$A,'FTE 계산'!$A116,monthly_work_hours!$H:$H,'FTE 계산'!H$2))</f>
        <v>18</v>
      </c>
      <c r="I116">
        <f>(SUMIFS(monthly_work_hours!$I:$I,monthly_work_hours!$A:$A,'FTE 계산'!$A116,monthly_work_hours!$H:$H,'FTE 계산'!I$2)) - (SUMIFS(monthly_work_hours!$L:$L,monthly_work_hours!$A:$A,'FTE 계산'!$A116,monthly_work_hours!$H:$H,'FTE 계산'!I$2))</f>
        <v>17</v>
      </c>
      <c r="J116">
        <f>(SUMIFS(monthly_work_hours!$I:$I,monthly_work_hours!$A:$A,'FTE 계산'!$A116,monthly_work_hours!$H:$H,'FTE 계산'!J$2)) - (SUMIFS(monthly_work_hours!$L:$L,monthly_work_hours!$A:$A,'FTE 계산'!$A116,monthly_work_hours!$H:$H,'FTE 계산'!J$2))</f>
        <v>16</v>
      </c>
    </row>
    <row r="117" spans="1:10" x14ac:dyDescent="0.45">
      <c r="A117">
        <v>1216179</v>
      </c>
      <c r="B117" t="str">
        <f>_xlfn.XLOOKUP(A117,monthly_work_hours!A:A,monthly_work_hours!B:B)</f>
        <v>데니스</v>
      </c>
      <c r="C117" t="str">
        <f>_xlfn.XLOOKUP(A117,monthly_work_hours!A:A,monthly_work_hours!E:E)</f>
        <v>SL생산기술팀</v>
      </c>
      <c r="D117" t="str">
        <f>_xlfn.XLOOKUP(A117,monthly_work_hours!A:A,monthly_work_hours!F:F)</f>
        <v>책임</v>
      </c>
      <c r="E117">
        <f>SUMIFS(monthly_work_hours!$M:$M,monthly_work_hours!$A:$A,'FTE 계산'!$A117,monthly_work_hours!$H:$H,'FTE 계산'!E$2)</f>
        <v>165.9</v>
      </c>
      <c r="F117">
        <f>SUMIFS(monthly_work_hours!$M:$M,monthly_work_hours!$A:$A,'FTE 계산'!$A117,monthly_work_hours!$H:$H,'FTE 계산'!F$2)</f>
        <v>185.6</v>
      </c>
      <c r="G117">
        <f>SUMIFS(monthly_work_hours!$M:$M,monthly_work_hours!$A:$A,'FTE 계산'!$A117,monthly_work_hours!$H:$H,'FTE 계산'!G$2)</f>
        <v>136.6</v>
      </c>
      <c r="H117">
        <f>(SUMIFS(monthly_work_hours!$I:$I,monthly_work_hours!$A:$A,'FTE 계산'!$A117,monthly_work_hours!$H:$H,'FTE 계산'!H$2)) - (SUMIFS(monthly_work_hours!$L:$L,monthly_work_hours!$A:$A,'FTE 계산'!$A117,monthly_work_hours!$H:$H,'FTE 계산'!H$2))</f>
        <v>17</v>
      </c>
      <c r="I117">
        <f>(SUMIFS(monthly_work_hours!$I:$I,monthly_work_hours!$A:$A,'FTE 계산'!$A117,monthly_work_hours!$H:$H,'FTE 계산'!I$2)) - (SUMIFS(monthly_work_hours!$L:$L,monthly_work_hours!$A:$A,'FTE 계산'!$A117,monthly_work_hours!$H:$H,'FTE 계산'!I$2))</f>
        <v>19</v>
      </c>
      <c r="J117">
        <f>(SUMIFS(monthly_work_hours!$I:$I,monthly_work_hours!$A:$A,'FTE 계산'!$A117,monthly_work_hours!$H:$H,'FTE 계산'!J$2)) - (SUMIFS(monthly_work_hours!$L:$L,monthly_work_hours!$A:$A,'FTE 계산'!$A117,monthly_work_hours!$H:$H,'FTE 계산'!J$2))</f>
        <v>15</v>
      </c>
    </row>
    <row r="118" spans="1:10" x14ac:dyDescent="0.45">
      <c r="A118">
        <v>1216181</v>
      </c>
      <c r="B118" t="str">
        <f>_xlfn.XLOOKUP(A118,monthly_work_hours!A:A,monthly_work_hours!B:B)</f>
        <v>박수진</v>
      </c>
      <c r="C118" t="str">
        <f>_xlfn.XLOOKUP(A118,monthly_work_hours!A:A,monthly_work_hours!E:E)</f>
        <v>SL생산팀</v>
      </c>
      <c r="D118" t="str">
        <f>_xlfn.XLOOKUP(A118,monthly_work_hours!A:A,monthly_work_hours!F:F)</f>
        <v>사원</v>
      </c>
      <c r="E118">
        <f>SUMIFS(monthly_work_hours!$M:$M,monthly_work_hours!$A:$A,'FTE 계산'!$A118,monthly_work_hours!$H:$H,'FTE 계산'!E$2)</f>
        <v>151.9</v>
      </c>
      <c r="F118">
        <f>SUMIFS(monthly_work_hours!$M:$M,monthly_work_hours!$A:$A,'FTE 계산'!$A118,monthly_work_hours!$H:$H,'FTE 계산'!F$2)</f>
        <v>163.80000000000001</v>
      </c>
      <c r="G118">
        <f>SUMIFS(monthly_work_hours!$M:$M,monthly_work_hours!$A:$A,'FTE 계산'!$A118,monthly_work_hours!$H:$H,'FTE 계산'!G$2)</f>
        <v>138.4</v>
      </c>
      <c r="H118">
        <f>(SUMIFS(monthly_work_hours!$I:$I,monthly_work_hours!$A:$A,'FTE 계산'!$A118,monthly_work_hours!$H:$H,'FTE 계산'!H$2)) - (SUMIFS(monthly_work_hours!$L:$L,monthly_work_hours!$A:$A,'FTE 계산'!$A118,monthly_work_hours!$H:$H,'FTE 계산'!H$2))</f>
        <v>17</v>
      </c>
      <c r="I118">
        <f>(SUMIFS(monthly_work_hours!$I:$I,monthly_work_hours!$A:$A,'FTE 계산'!$A118,monthly_work_hours!$H:$H,'FTE 계산'!I$2)) - (SUMIFS(monthly_work_hours!$L:$L,monthly_work_hours!$A:$A,'FTE 계산'!$A118,monthly_work_hours!$H:$H,'FTE 계산'!I$2))</f>
        <v>18</v>
      </c>
      <c r="J118">
        <f>(SUMIFS(monthly_work_hours!$I:$I,monthly_work_hours!$A:$A,'FTE 계산'!$A118,monthly_work_hours!$H:$H,'FTE 계산'!J$2)) - (SUMIFS(monthly_work_hours!$L:$L,monthly_work_hours!$A:$A,'FTE 계산'!$A118,monthly_work_hours!$H:$H,'FTE 계산'!J$2))</f>
        <v>16</v>
      </c>
    </row>
    <row r="119" spans="1:10" x14ac:dyDescent="0.45">
      <c r="A119">
        <v>1216192</v>
      </c>
      <c r="B119" t="str">
        <f>_xlfn.XLOOKUP(A119,monthly_work_hours!A:A,monthly_work_hours!B:B)</f>
        <v>김재기</v>
      </c>
      <c r="C119" t="str">
        <f>_xlfn.XLOOKUP(A119,monthly_work_hours!A:A,monthly_work_hours!E:E)</f>
        <v>SL개발팀</v>
      </c>
      <c r="D119" t="str">
        <f>_xlfn.XLOOKUP(A119,monthly_work_hours!A:A,monthly_work_hours!F:F)</f>
        <v>책임</v>
      </c>
      <c r="E119">
        <f>SUMIFS(monthly_work_hours!$M:$M,monthly_work_hours!$A:$A,'FTE 계산'!$A119,monthly_work_hours!$H:$H,'FTE 계산'!E$2)</f>
        <v>165.7</v>
      </c>
      <c r="F119">
        <f>SUMIFS(monthly_work_hours!$M:$M,monthly_work_hours!$A:$A,'FTE 계산'!$A119,monthly_work_hours!$H:$H,'FTE 계산'!F$2)</f>
        <v>155.19999999999999</v>
      </c>
      <c r="G119">
        <f>SUMIFS(monthly_work_hours!$M:$M,monthly_work_hours!$A:$A,'FTE 계산'!$A119,monthly_work_hours!$H:$H,'FTE 계산'!G$2)</f>
        <v>133.6</v>
      </c>
      <c r="H119">
        <f>(SUMIFS(monthly_work_hours!$I:$I,monthly_work_hours!$A:$A,'FTE 계산'!$A119,monthly_work_hours!$H:$H,'FTE 계산'!H$2)) - (SUMIFS(monthly_work_hours!$L:$L,monthly_work_hours!$A:$A,'FTE 계산'!$A119,monthly_work_hours!$H:$H,'FTE 계산'!H$2))</f>
        <v>19</v>
      </c>
      <c r="I119">
        <f>(SUMIFS(monthly_work_hours!$I:$I,monthly_work_hours!$A:$A,'FTE 계산'!$A119,monthly_work_hours!$H:$H,'FTE 계산'!I$2)) - (SUMIFS(monthly_work_hours!$L:$L,monthly_work_hours!$A:$A,'FTE 계산'!$A119,monthly_work_hours!$H:$H,'FTE 계산'!I$2))</f>
        <v>18</v>
      </c>
      <c r="J119">
        <f>(SUMIFS(monthly_work_hours!$I:$I,monthly_work_hours!$A:$A,'FTE 계산'!$A119,monthly_work_hours!$H:$H,'FTE 계산'!J$2)) - (SUMIFS(monthly_work_hours!$L:$L,monthly_work_hours!$A:$A,'FTE 계산'!$A119,monthly_work_hours!$H:$H,'FTE 계산'!J$2))</f>
        <v>16</v>
      </c>
    </row>
    <row r="120" spans="1:10" x14ac:dyDescent="0.45">
      <c r="A120">
        <v>1217012</v>
      </c>
      <c r="B120" t="str">
        <f>_xlfn.XLOOKUP(A120,monthly_work_hours!A:A,monthly_work_hours!B:B)</f>
        <v>김라성</v>
      </c>
      <c r="C120" t="str">
        <f>_xlfn.XLOOKUP(A120,monthly_work_hours!A:A,monthly_work_hours!E:E)</f>
        <v>성능개발팀</v>
      </c>
      <c r="D120" t="str">
        <f>_xlfn.XLOOKUP(A120,monthly_work_hours!A:A,monthly_work_hours!F:F)</f>
        <v>선임</v>
      </c>
      <c r="E120">
        <f>SUMIFS(monthly_work_hours!$M:$M,monthly_work_hours!$A:$A,'FTE 계산'!$A120,monthly_work_hours!$H:$H,'FTE 계산'!E$2)</f>
        <v>568.4</v>
      </c>
      <c r="F120">
        <f>SUMIFS(monthly_work_hours!$M:$M,monthly_work_hours!$A:$A,'FTE 계산'!$A120,monthly_work_hours!$H:$H,'FTE 계산'!F$2)</f>
        <v>477.9</v>
      </c>
      <c r="G120">
        <f>SUMIFS(monthly_work_hours!$M:$M,monthly_work_hours!$A:$A,'FTE 계산'!$A120,monthly_work_hours!$H:$H,'FTE 계산'!G$2)</f>
        <v>489.5</v>
      </c>
      <c r="H120">
        <f>(SUMIFS(monthly_work_hours!$I:$I,monthly_work_hours!$A:$A,'FTE 계산'!$A120,monthly_work_hours!$H:$H,'FTE 계산'!H$2)) - (SUMIFS(monthly_work_hours!$L:$L,monthly_work_hours!$A:$A,'FTE 계산'!$A120,monthly_work_hours!$H:$H,'FTE 계산'!H$2))</f>
        <v>21</v>
      </c>
      <c r="I120">
        <f>(SUMIFS(monthly_work_hours!$I:$I,monthly_work_hours!$A:$A,'FTE 계산'!$A120,monthly_work_hours!$H:$H,'FTE 계산'!I$2)) - (SUMIFS(monthly_work_hours!$L:$L,monthly_work_hours!$A:$A,'FTE 계산'!$A120,monthly_work_hours!$H:$H,'FTE 계산'!I$2))</f>
        <v>20</v>
      </c>
      <c r="J120">
        <f>(SUMIFS(monthly_work_hours!$I:$I,monthly_work_hours!$A:$A,'FTE 계산'!$A120,monthly_work_hours!$H:$H,'FTE 계산'!J$2)) - (SUMIFS(monthly_work_hours!$L:$L,monthly_work_hours!$A:$A,'FTE 계산'!$A120,monthly_work_hours!$H:$H,'FTE 계산'!J$2))</f>
        <v>16</v>
      </c>
    </row>
    <row r="121" spans="1:10" x14ac:dyDescent="0.45">
      <c r="A121">
        <v>1217016</v>
      </c>
      <c r="B121" t="str">
        <f>_xlfn.XLOOKUP(A121,monthly_work_hours!A:A,monthly_work_hours!B:B)</f>
        <v>김하나</v>
      </c>
      <c r="C121" t="str">
        <f>_xlfn.XLOOKUP(A121,monthly_work_hours!A:A,monthly_work_hours!E:E)</f>
        <v>열관리사업팀</v>
      </c>
      <c r="D121" t="str">
        <f>_xlfn.XLOOKUP(A121,monthly_work_hours!A:A,monthly_work_hours!F:F)</f>
        <v>선임</v>
      </c>
      <c r="E121">
        <f>SUMIFS(monthly_work_hours!$M:$M,monthly_work_hours!$A:$A,'FTE 계산'!$A121,monthly_work_hours!$H:$H,'FTE 계산'!E$2)</f>
        <v>178.2</v>
      </c>
      <c r="F121">
        <f>SUMIFS(monthly_work_hours!$M:$M,monthly_work_hours!$A:$A,'FTE 계산'!$A121,monthly_work_hours!$H:$H,'FTE 계산'!F$2)</f>
        <v>176.9</v>
      </c>
      <c r="G121">
        <f>SUMIFS(monthly_work_hours!$M:$M,monthly_work_hours!$A:$A,'FTE 계산'!$A121,monthly_work_hours!$H:$H,'FTE 계산'!G$2)</f>
        <v>147</v>
      </c>
      <c r="H121">
        <f>(SUMIFS(monthly_work_hours!$I:$I,monthly_work_hours!$A:$A,'FTE 계산'!$A121,monthly_work_hours!$H:$H,'FTE 계산'!H$2)) - (SUMIFS(monthly_work_hours!$L:$L,monthly_work_hours!$A:$A,'FTE 계산'!$A121,monthly_work_hours!$H:$H,'FTE 계산'!H$2))</f>
        <v>18</v>
      </c>
      <c r="I121">
        <f>(SUMIFS(monthly_work_hours!$I:$I,monthly_work_hours!$A:$A,'FTE 계산'!$A121,monthly_work_hours!$H:$H,'FTE 계산'!I$2)) - (SUMIFS(monthly_work_hours!$L:$L,monthly_work_hours!$A:$A,'FTE 계산'!$A121,monthly_work_hours!$H:$H,'FTE 계산'!I$2))</f>
        <v>18</v>
      </c>
      <c r="J121">
        <f>(SUMIFS(monthly_work_hours!$I:$I,monthly_work_hours!$A:$A,'FTE 계산'!$A121,monthly_work_hours!$H:$H,'FTE 계산'!J$2)) - (SUMIFS(monthly_work_hours!$L:$L,monthly_work_hours!$A:$A,'FTE 계산'!$A121,monthly_work_hours!$H:$H,'FTE 계산'!J$2))</f>
        <v>16</v>
      </c>
    </row>
    <row r="122" spans="1:10" x14ac:dyDescent="0.45">
      <c r="A122">
        <v>1217023</v>
      </c>
      <c r="B122" t="str">
        <f>_xlfn.XLOOKUP(A122,monthly_work_hours!A:A,monthly_work_hours!B:B)</f>
        <v>김장권</v>
      </c>
      <c r="C122" t="str">
        <f>_xlfn.XLOOKUP(A122,monthly_work_hours!A:A,monthly_work_hours!E:E)</f>
        <v>SL설계팀</v>
      </c>
      <c r="D122" t="str">
        <f>_xlfn.XLOOKUP(A122,monthly_work_hours!A:A,monthly_work_hours!F:F)</f>
        <v>선임</v>
      </c>
      <c r="E122">
        <f>SUMIFS(monthly_work_hours!$M:$M,monthly_work_hours!$A:$A,'FTE 계산'!$A122,monthly_work_hours!$H:$H,'FTE 계산'!E$2)</f>
        <v>0</v>
      </c>
      <c r="F122">
        <f>SUMIFS(monthly_work_hours!$M:$M,monthly_work_hours!$A:$A,'FTE 계산'!$A122,monthly_work_hours!$H:$H,'FTE 계산'!F$2)</f>
        <v>34.200000000000003</v>
      </c>
      <c r="G122">
        <f>SUMIFS(monthly_work_hours!$M:$M,monthly_work_hours!$A:$A,'FTE 계산'!$A122,monthly_work_hours!$H:$H,'FTE 계산'!G$2)</f>
        <v>0</v>
      </c>
      <c r="H122">
        <f>(SUMIFS(monthly_work_hours!$I:$I,monthly_work_hours!$A:$A,'FTE 계산'!$A122,monthly_work_hours!$H:$H,'FTE 계산'!H$2)) - (SUMIFS(monthly_work_hours!$L:$L,monthly_work_hours!$A:$A,'FTE 계산'!$A122,monthly_work_hours!$H:$H,'FTE 계산'!H$2))</f>
        <v>0</v>
      </c>
      <c r="I122">
        <f>(SUMIFS(monthly_work_hours!$I:$I,monthly_work_hours!$A:$A,'FTE 계산'!$A122,monthly_work_hours!$H:$H,'FTE 계산'!I$2)) - (SUMIFS(monthly_work_hours!$L:$L,monthly_work_hours!$A:$A,'FTE 계산'!$A122,monthly_work_hours!$H:$H,'FTE 계산'!I$2))</f>
        <v>4</v>
      </c>
      <c r="J122">
        <f>(SUMIFS(monthly_work_hours!$I:$I,monthly_work_hours!$A:$A,'FTE 계산'!$A122,monthly_work_hours!$H:$H,'FTE 계산'!J$2)) - (SUMIFS(monthly_work_hours!$L:$L,monthly_work_hours!$A:$A,'FTE 계산'!$A122,monthly_work_hours!$H:$H,'FTE 계산'!J$2))</f>
        <v>0</v>
      </c>
    </row>
    <row r="123" spans="1:10" x14ac:dyDescent="0.45">
      <c r="A123">
        <v>1217029</v>
      </c>
      <c r="B123" t="str">
        <f>_xlfn.XLOOKUP(A123,monthly_work_hours!A:A,monthly_work_hours!B:B)</f>
        <v>진주현</v>
      </c>
      <c r="C123" t="str">
        <f>_xlfn.XLOOKUP(A123,monthly_work_hours!A:A,monthly_work_hours!E:E)</f>
        <v>SL생산기술팀</v>
      </c>
      <c r="D123" t="str">
        <f>_xlfn.XLOOKUP(A123,monthly_work_hours!A:A,monthly_work_hours!F:F)</f>
        <v>책임</v>
      </c>
      <c r="E123">
        <f>SUMIFS(monthly_work_hours!$M:$M,monthly_work_hours!$A:$A,'FTE 계산'!$A123,monthly_work_hours!$H:$H,'FTE 계산'!E$2)</f>
        <v>164.3</v>
      </c>
      <c r="F123">
        <f>SUMIFS(monthly_work_hours!$M:$M,monthly_work_hours!$A:$A,'FTE 계산'!$A123,monthly_work_hours!$H:$H,'FTE 계산'!F$2)</f>
        <v>173.6</v>
      </c>
      <c r="G123">
        <f>SUMIFS(monthly_work_hours!$M:$M,monthly_work_hours!$A:$A,'FTE 계산'!$A123,monthly_work_hours!$H:$H,'FTE 계산'!G$2)</f>
        <v>129</v>
      </c>
      <c r="H123">
        <f>(SUMIFS(monthly_work_hours!$I:$I,monthly_work_hours!$A:$A,'FTE 계산'!$A123,monthly_work_hours!$H:$H,'FTE 계산'!H$2)) - (SUMIFS(monthly_work_hours!$L:$L,monthly_work_hours!$A:$A,'FTE 계산'!$A123,monthly_work_hours!$H:$H,'FTE 계산'!H$2))</f>
        <v>17</v>
      </c>
      <c r="I123">
        <f>(SUMIFS(monthly_work_hours!$I:$I,monthly_work_hours!$A:$A,'FTE 계산'!$A123,monthly_work_hours!$H:$H,'FTE 계산'!I$2)) - (SUMIFS(monthly_work_hours!$L:$L,monthly_work_hours!$A:$A,'FTE 계산'!$A123,monthly_work_hours!$H:$H,'FTE 계산'!I$2))</f>
        <v>18</v>
      </c>
      <c r="J123">
        <f>(SUMIFS(monthly_work_hours!$I:$I,monthly_work_hours!$A:$A,'FTE 계산'!$A123,monthly_work_hours!$H:$H,'FTE 계산'!J$2)) - (SUMIFS(monthly_work_hours!$L:$L,monthly_work_hours!$A:$A,'FTE 계산'!$A123,monthly_work_hours!$H:$H,'FTE 계산'!J$2))</f>
        <v>14</v>
      </c>
    </row>
    <row r="124" spans="1:10" x14ac:dyDescent="0.45">
      <c r="A124">
        <v>1217043</v>
      </c>
      <c r="B124" t="str">
        <f>_xlfn.XLOOKUP(A124,monthly_work_hours!A:A,monthly_work_hours!B:B)</f>
        <v>최동호</v>
      </c>
      <c r="C124" t="str">
        <f>_xlfn.XLOOKUP(A124,monthly_work_hours!A:A,monthly_work_hours!E:E)</f>
        <v>열관리사업팀</v>
      </c>
      <c r="D124" t="str">
        <f>_xlfn.XLOOKUP(A124,monthly_work_hours!A:A,monthly_work_hours!F:F)</f>
        <v>선임</v>
      </c>
      <c r="E124">
        <f>SUMIFS(monthly_work_hours!$M:$M,monthly_work_hours!$A:$A,'FTE 계산'!$A124,monthly_work_hours!$H:$H,'FTE 계산'!E$2)</f>
        <v>175.1</v>
      </c>
      <c r="F124">
        <f>SUMIFS(monthly_work_hours!$M:$M,monthly_work_hours!$A:$A,'FTE 계산'!$A124,monthly_work_hours!$H:$H,'FTE 계산'!F$2)</f>
        <v>185.1</v>
      </c>
      <c r="G124">
        <f>SUMIFS(monthly_work_hours!$M:$M,monthly_work_hours!$A:$A,'FTE 계산'!$A124,monthly_work_hours!$H:$H,'FTE 계산'!G$2)</f>
        <v>131.5</v>
      </c>
      <c r="H124">
        <f>(SUMIFS(monthly_work_hours!$I:$I,monthly_work_hours!$A:$A,'FTE 계산'!$A124,monthly_work_hours!$H:$H,'FTE 계산'!H$2)) - (SUMIFS(monthly_work_hours!$L:$L,monthly_work_hours!$A:$A,'FTE 계산'!$A124,monthly_work_hours!$H:$H,'FTE 계산'!H$2))</f>
        <v>18</v>
      </c>
      <c r="I124">
        <f>(SUMIFS(monthly_work_hours!$I:$I,monthly_work_hours!$A:$A,'FTE 계산'!$A124,monthly_work_hours!$H:$H,'FTE 계산'!I$2)) - (SUMIFS(monthly_work_hours!$L:$L,monthly_work_hours!$A:$A,'FTE 계산'!$A124,monthly_work_hours!$H:$H,'FTE 계산'!I$2))</f>
        <v>18</v>
      </c>
      <c r="J124">
        <f>(SUMIFS(monthly_work_hours!$I:$I,monthly_work_hours!$A:$A,'FTE 계산'!$A124,monthly_work_hours!$H:$H,'FTE 계산'!J$2)) - (SUMIFS(monthly_work_hours!$L:$L,monthly_work_hours!$A:$A,'FTE 계산'!$A124,monthly_work_hours!$H:$H,'FTE 계산'!J$2))</f>
        <v>15</v>
      </c>
    </row>
    <row r="125" spans="1:10" x14ac:dyDescent="0.45">
      <c r="A125">
        <v>1217067</v>
      </c>
      <c r="B125" t="str">
        <f>_xlfn.XLOOKUP(A125,monthly_work_hours!A:A,monthly_work_hours!B:B)</f>
        <v>서귀옥</v>
      </c>
      <c r="C125" t="str">
        <f>_xlfn.XLOOKUP(A125,monthly_work_hours!A:A,monthly_work_hours!E:E)</f>
        <v>노동조합</v>
      </c>
      <c r="D125" t="str">
        <f>_xlfn.XLOOKUP(A125,monthly_work_hours!A:A,monthly_work_hours!F:F)</f>
        <v>사원</v>
      </c>
      <c r="E125">
        <f>SUMIFS(monthly_work_hours!$M:$M,monthly_work_hours!$A:$A,'FTE 계산'!$A125,monthly_work_hours!$H:$H,'FTE 계산'!E$2)</f>
        <v>137.30000000000001</v>
      </c>
      <c r="F125">
        <f>SUMIFS(monthly_work_hours!$M:$M,monthly_work_hours!$A:$A,'FTE 계산'!$A125,monthly_work_hours!$H:$H,'FTE 계산'!F$2)</f>
        <v>177.8</v>
      </c>
      <c r="G125">
        <f>SUMIFS(monthly_work_hours!$M:$M,monthly_work_hours!$A:$A,'FTE 계산'!$A125,monthly_work_hours!$H:$H,'FTE 계산'!G$2)</f>
        <v>138.1</v>
      </c>
      <c r="H125">
        <f>(SUMIFS(monthly_work_hours!$I:$I,monthly_work_hours!$A:$A,'FTE 계산'!$A125,monthly_work_hours!$H:$H,'FTE 계산'!H$2)) - (SUMIFS(monthly_work_hours!$L:$L,monthly_work_hours!$A:$A,'FTE 계산'!$A125,monthly_work_hours!$H:$H,'FTE 계산'!H$2))</f>
        <v>16</v>
      </c>
      <c r="I125">
        <f>(SUMIFS(monthly_work_hours!$I:$I,monthly_work_hours!$A:$A,'FTE 계산'!$A125,monthly_work_hours!$H:$H,'FTE 계산'!I$2)) - (SUMIFS(monthly_work_hours!$L:$L,monthly_work_hours!$A:$A,'FTE 계산'!$A125,monthly_work_hours!$H:$H,'FTE 계산'!I$2))</f>
        <v>19</v>
      </c>
      <c r="J125">
        <f>(SUMIFS(monthly_work_hours!$I:$I,monthly_work_hours!$A:$A,'FTE 계산'!$A125,monthly_work_hours!$H:$H,'FTE 계산'!J$2)) - (SUMIFS(monthly_work_hours!$L:$L,monthly_work_hours!$A:$A,'FTE 계산'!$A125,monthly_work_hours!$H:$H,'FTE 계산'!J$2))</f>
        <v>16</v>
      </c>
    </row>
    <row r="126" spans="1:10" x14ac:dyDescent="0.45">
      <c r="A126">
        <v>1217068</v>
      </c>
      <c r="B126" t="str">
        <f>_xlfn.XLOOKUP(A126,monthly_work_hours!A:A,monthly_work_hours!B:B)</f>
        <v>김규진</v>
      </c>
      <c r="C126" t="str">
        <f>_xlfn.XLOOKUP(A126,monthly_work_hours!A:A,monthly_work_hours!E:E)</f>
        <v>SL설계팀</v>
      </c>
      <c r="D126" t="str">
        <f>_xlfn.XLOOKUP(A126,monthly_work_hours!A:A,monthly_work_hours!F:F)</f>
        <v>선임</v>
      </c>
      <c r="E126">
        <f>SUMIFS(monthly_work_hours!$M:$M,monthly_work_hours!$A:$A,'FTE 계산'!$A126,monthly_work_hours!$H:$H,'FTE 계산'!E$2)</f>
        <v>475.1</v>
      </c>
      <c r="F126">
        <f>SUMIFS(monthly_work_hours!$M:$M,monthly_work_hours!$A:$A,'FTE 계산'!$A126,monthly_work_hours!$H:$H,'FTE 계산'!F$2)</f>
        <v>330</v>
      </c>
      <c r="G126">
        <f>SUMIFS(monthly_work_hours!$M:$M,monthly_work_hours!$A:$A,'FTE 계산'!$A126,monthly_work_hours!$H:$H,'FTE 계산'!G$2)</f>
        <v>198.6</v>
      </c>
      <c r="H126">
        <f>(SUMIFS(monthly_work_hours!$I:$I,monthly_work_hours!$A:$A,'FTE 계산'!$A126,monthly_work_hours!$H:$H,'FTE 계산'!H$2)) - (SUMIFS(monthly_work_hours!$L:$L,monthly_work_hours!$A:$A,'FTE 계산'!$A126,monthly_work_hours!$H:$H,'FTE 계산'!H$2))</f>
        <v>21</v>
      </c>
      <c r="I126">
        <f>(SUMIFS(monthly_work_hours!$I:$I,monthly_work_hours!$A:$A,'FTE 계산'!$A126,monthly_work_hours!$H:$H,'FTE 계산'!I$2)) - (SUMIFS(monthly_work_hours!$L:$L,monthly_work_hours!$A:$A,'FTE 계산'!$A126,monthly_work_hours!$H:$H,'FTE 계산'!I$2))</f>
        <v>19</v>
      </c>
      <c r="J126">
        <f>(SUMIFS(monthly_work_hours!$I:$I,monthly_work_hours!$A:$A,'FTE 계산'!$A126,monthly_work_hours!$H:$H,'FTE 계산'!J$2)) - (SUMIFS(monthly_work_hours!$L:$L,monthly_work_hours!$A:$A,'FTE 계산'!$A126,monthly_work_hours!$H:$H,'FTE 계산'!J$2))</f>
        <v>17</v>
      </c>
    </row>
    <row r="127" spans="1:10" x14ac:dyDescent="0.45">
      <c r="A127">
        <v>1218006</v>
      </c>
      <c r="B127" t="str">
        <f>_xlfn.XLOOKUP(A127,monthly_work_hours!A:A,monthly_work_hours!B:B)</f>
        <v>배준호</v>
      </c>
      <c r="C127" t="str">
        <f>_xlfn.XLOOKUP(A127,monthly_work_hours!A:A,monthly_work_hours!E:E)</f>
        <v>SL설계팀</v>
      </c>
      <c r="D127" t="str">
        <f>_xlfn.XLOOKUP(A127,monthly_work_hours!A:A,monthly_work_hours!F:F)</f>
        <v>선임</v>
      </c>
      <c r="E127">
        <f>SUMIFS(monthly_work_hours!$M:$M,monthly_work_hours!$A:$A,'FTE 계산'!$A127,monthly_work_hours!$H:$H,'FTE 계산'!E$2)</f>
        <v>49.3</v>
      </c>
      <c r="F127">
        <f>SUMIFS(monthly_work_hours!$M:$M,monthly_work_hours!$A:$A,'FTE 계산'!$A127,monthly_work_hours!$H:$H,'FTE 계산'!F$2)</f>
        <v>109.4</v>
      </c>
      <c r="G127">
        <f>SUMIFS(monthly_work_hours!$M:$M,monthly_work_hours!$A:$A,'FTE 계산'!$A127,monthly_work_hours!$H:$H,'FTE 계산'!G$2)</f>
        <v>78.599999999999994</v>
      </c>
      <c r="H127">
        <f>(SUMIFS(monthly_work_hours!$I:$I,monthly_work_hours!$A:$A,'FTE 계산'!$A127,monthly_work_hours!$H:$H,'FTE 계산'!H$2)) - (SUMIFS(monthly_work_hours!$L:$L,monthly_work_hours!$A:$A,'FTE 계산'!$A127,monthly_work_hours!$H:$H,'FTE 계산'!H$2))</f>
        <v>7</v>
      </c>
      <c r="I127">
        <f>(SUMIFS(monthly_work_hours!$I:$I,monthly_work_hours!$A:$A,'FTE 계산'!$A127,monthly_work_hours!$H:$H,'FTE 계산'!I$2)) - (SUMIFS(monthly_work_hours!$L:$L,monthly_work_hours!$A:$A,'FTE 계산'!$A127,monthly_work_hours!$H:$H,'FTE 계산'!I$2))</f>
        <v>12</v>
      </c>
      <c r="J127">
        <f>(SUMIFS(monthly_work_hours!$I:$I,monthly_work_hours!$A:$A,'FTE 계산'!$A127,monthly_work_hours!$H:$H,'FTE 계산'!J$2)) - (SUMIFS(monthly_work_hours!$L:$L,monthly_work_hours!$A:$A,'FTE 계산'!$A127,monthly_work_hours!$H:$H,'FTE 계산'!J$2))</f>
        <v>11</v>
      </c>
    </row>
    <row r="128" spans="1:10" x14ac:dyDescent="0.45">
      <c r="A128">
        <v>1218008</v>
      </c>
      <c r="B128" t="str">
        <f>_xlfn.XLOOKUP(A128,monthly_work_hours!A:A,monthly_work_hours!B:B)</f>
        <v>신중현</v>
      </c>
      <c r="C128" t="str">
        <f>_xlfn.XLOOKUP(A128,monthly_work_hours!A:A,monthly_work_hours!E:E)</f>
        <v>선행개발팀</v>
      </c>
      <c r="D128" t="str">
        <f>_xlfn.XLOOKUP(A128,monthly_work_hours!A:A,monthly_work_hours!F:F)</f>
        <v>책임</v>
      </c>
      <c r="E128">
        <f>SUMIFS(monthly_work_hours!$M:$M,monthly_work_hours!$A:$A,'FTE 계산'!$A128,monthly_work_hours!$H:$H,'FTE 계산'!E$2)</f>
        <v>140.4</v>
      </c>
      <c r="F128">
        <f>SUMIFS(monthly_work_hours!$M:$M,monthly_work_hours!$A:$A,'FTE 계산'!$A128,monthly_work_hours!$H:$H,'FTE 계산'!F$2)</f>
        <v>148.6</v>
      </c>
      <c r="G128">
        <f>SUMIFS(monthly_work_hours!$M:$M,monthly_work_hours!$A:$A,'FTE 계산'!$A128,monthly_work_hours!$H:$H,'FTE 계산'!G$2)</f>
        <v>134.19999999999999</v>
      </c>
      <c r="H128">
        <f>(SUMIFS(monthly_work_hours!$I:$I,monthly_work_hours!$A:$A,'FTE 계산'!$A128,monthly_work_hours!$H:$H,'FTE 계산'!H$2)) - (SUMIFS(monthly_work_hours!$L:$L,monthly_work_hours!$A:$A,'FTE 계산'!$A128,monthly_work_hours!$H:$H,'FTE 계산'!H$2))</f>
        <v>17</v>
      </c>
      <c r="I128">
        <f>(SUMIFS(monthly_work_hours!$I:$I,monthly_work_hours!$A:$A,'FTE 계산'!$A128,monthly_work_hours!$H:$H,'FTE 계산'!I$2)) - (SUMIFS(monthly_work_hours!$L:$L,monthly_work_hours!$A:$A,'FTE 계산'!$A128,monthly_work_hours!$H:$H,'FTE 계산'!I$2))</f>
        <v>16</v>
      </c>
      <c r="J128">
        <f>(SUMIFS(monthly_work_hours!$I:$I,monthly_work_hours!$A:$A,'FTE 계산'!$A128,monthly_work_hours!$H:$H,'FTE 계산'!J$2)) - (SUMIFS(monthly_work_hours!$L:$L,monthly_work_hours!$A:$A,'FTE 계산'!$A128,monthly_work_hours!$H:$H,'FTE 계산'!J$2))</f>
        <v>16</v>
      </c>
    </row>
    <row r="129" spans="1:10" x14ac:dyDescent="0.45">
      <c r="A129">
        <v>1219011</v>
      </c>
      <c r="B129" t="str">
        <f>_xlfn.XLOOKUP(A129,monthly_work_hours!A:A,monthly_work_hours!B:B)</f>
        <v>김성우</v>
      </c>
      <c r="C129" t="str">
        <f>_xlfn.XLOOKUP(A129,monthly_work_hours!A:A,monthly_work_hours!E:E)</f>
        <v>재무팀</v>
      </c>
      <c r="D129" t="str">
        <f>_xlfn.XLOOKUP(A129,monthly_work_hours!A:A,monthly_work_hours!F:F)</f>
        <v>선임</v>
      </c>
      <c r="E129">
        <f>SUMIFS(monthly_work_hours!$M:$M,monthly_work_hours!$A:$A,'FTE 계산'!$A129,monthly_work_hours!$H:$H,'FTE 계산'!E$2)</f>
        <v>179.4</v>
      </c>
      <c r="F129">
        <f>SUMIFS(monthly_work_hours!$M:$M,monthly_work_hours!$A:$A,'FTE 계산'!$A129,monthly_work_hours!$H:$H,'FTE 계산'!F$2)</f>
        <v>240.7</v>
      </c>
      <c r="G129">
        <f>SUMIFS(monthly_work_hours!$M:$M,monthly_work_hours!$A:$A,'FTE 계산'!$A129,monthly_work_hours!$H:$H,'FTE 계산'!G$2)</f>
        <v>136.80000000000001</v>
      </c>
      <c r="H129">
        <f>(SUMIFS(monthly_work_hours!$I:$I,monthly_work_hours!$A:$A,'FTE 계산'!$A129,monthly_work_hours!$H:$H,'FTE 계산'!H$2)) - (SUMIFS(monthly_work_hours!$L:$L,monthly_work_hours!$A:$A,'FTE 계산'!$A129,monthly_work_hours!$H:$H,'FTE 계산'!H$2))</f>
        <v>18</v>
      </c>
      <c r="I129">
        <f>(SUMIFS(monthly_work_hours!$I:$I,monthly_work_hours!$A:$A,'FTE 계산'!$A129,monthly_work_hours!$H:$H,'FTE 계산'!I$2)) - (SUMIFS(monthly_work_hours!$L:$L,monthly_work_hours!$A:$A,'FTE 계산'!$A129,monthly_work_hours!$H:$H,'FTE 계산'!I$2))</f>
        <v>23</v>
      </c>
      <c r="J129">
        <f>(SUMIFS(monthly_work_hours!$I:$I,monthly_work_hours!$A:$A,'FTE 계산'!$A129,monthly_work_hours!$H:$H,'FTE 계산'!J$2)) - (SUMIFS(monthly_work_hours!$L:$L,monthly_work_hours!$A:$A,'FTE 계산'!$A129,monthly_work_hours!$H:$H,'FTE 계산'!J$2))</f>
        <v>16</v>
      </c>
    </row>
    <row r="130" spans="1:10" x14ac:dyDescent="0.45">
      <c r="A130">
        <v>1219013</v>
      </c>
      <c r="B130" t="str">
        <f>_xlfn.XLOOKUP(A130,monthly_work_hours!A:A,monthly_work_hours!B:B)</f>
        <v>박재문</v>
      </c>
      <c r="C130" t="str">
        <f>_xlfn.XLOOKUP(A130,monthly_work_hours!A:A,monthly_work_hours!E:E)</f>
        <v>FL개발팀</v>
      </c>
      <c r="D130" t="str">
        <f>_xlfn.XLOOKUP(A130,monthly_work_hours!A:A,monthly_work_hours!F:F)</f>
        <v>선임</v>
      </c>
      <c r="E130">
        <f>SUMIFS(monthly_work_hours!$M:$M,monthly_work_hours!$A:$A,'FTE 계산'!$A130,monthly_work_hours!$H:$H,'FTE 계산'!E$2)</f>
        <v>160.80000000000001</v>
      </c>
      <c r="F130">
        <f>SUMIFS(monthly_work_hours!$M:$M,monthly_work_hours!$A:$A,'FTE 계산'!$A130,monthly_work_hours!$H:$H,'FTE 계산'!F$2)</f>
        <v>152</v>
      </c>
      <c r="G130">
        <f>SUMIFS(monthly_work_hours!$M:$M,monthly_work_hours!$A:$A,'FTE 계산'!$A130,monthly_work_hours!$H:$H,'FTE 계산'!G$2)</f>
        <v>111.4</v>
      </c>
      <c r="H130">
        <f>(SUMIFS(monthly_work_hours!$I:$I,monthly_work_hours!$A:$A,'FTE 계산'!$A130,monthly_work_hours!$H:$H,'FTE 계산'!H$2)) - (SUMIFS(monthly_work_hours!$L:$L,monthly_work_hours!$A:$A,'FTE 계산'!$A130,monthly_work_hours!$H:$H,'FTE 계산'!H$2))</f>
        <v>19</v>
      </c>
      <c r="I130">
        <f>(SUMIFS(monthly_work_hours!$I:$I,monthly_work_hours!$A:$A,'FTE 계산'!$A130,monthly_work_hours!$H:$H,'FTE 계산'!I$2)) - (SUMIFS(monthly_work_hours!$L:$L,monthly_work_hours!$A:$A,'FTE 계산'!$A130,monthly_work_hours!$H:$H,'FTE 계산'!I$2))</f>
        <v>16</v>
      </c>
      <c r="J130">
        <f>(SUMIFS(monthly_work_hours!$I:$I,monthly_work_hours!$A:$A,'FTE 계산'!$A130,monthly_work_hours!$H:$H,'FTE 계산'!J$2)) - (SUMIFS(monthly_work_hours!$L:$L,monthly_work_hours!$A:$A,'FTE 계산'!$A130,monthly_work_hours!$H:$H,'FTE 계산'!J$2))</f>
        <v>15</v>
      </c>
    </row>
    <row r="131" spans="1:10" x14ac:dyDescent="0.45">
      <c r="A131">
        <v>1219014</v>
      </c>
      <c r="B131" t="str">
        <f>_xlfn.XLOOKUP(A131,monthly_work_hours!A:A,monthly_work_hours!B:B)</f>
        <v>이진경</v>
      </c>
      <c r="C131" t="str">
        <f>_xlfn.XLOOKUP(A131,monthly_work_hours!A:A,monthly_work_hours!E:E)</f>
        <v>FL개발팀</v>
      </c>
      <c r="D131" t="str">
        <f>_xlfn.XLOOKUP(A131,monthly_work_hours!A:A,monthly_work_hours!F:F)</f>
        <v>선임</v>
      </c>
      <c r="E131">
        <f>SUMIFS(monthly_work_hours!$M:$M,monthly_work_hours!$A:$A,'FTE 계산'!$A131,monthly_work_hours!$H:$H,'FTE 계산'!E$2)</f>
        <v>156.80000000000001</v>
      </c>
      <c r="F131">
        <f>SUMIFS(monthly_work_hours!$M:$M,monthly_work_hours!$A:$A,'FTE 계산'!$A131,monthly_work_hours!$H:$H,'FTE 계산'!F$2)</f>
        <v>176.9</v>
      </c>
      <c r="G131">
        <f>SUMIFS(monthly_work_hours!$M:$M,monthly_work_hours!$A:$A,'FTE 계산'!$A131,monthly_work_hours!$H:$H,'FTE 계산'!G$2)</f>
        <v>135.30000000000001</v>
      </c>
      <c r="H131">
        <f>(SUMIFS(monthly_work_hours!$I:$I,monthly_work_hours!$A:$A,'FTE 계산'!$A131,monthly_work_hours!$H:$H,'FTE 계산'!H$2)) - (SUMIFS(monthly_work_hours!$L:$L,monthly_work_hours!$A:$A,'FTE 계산'!$A131,monthly_work_hours!$H:$H,'FTE 계산'!H$2))</f>
        <v>18</v>
      </c>
      <c r="I131">
        <f>(SUMIFS(monthly_work_hours!$I:$I,monthly_work_hours!$A:$A,'FTE 계산'!$A131,monthly_work_hours!$H:$H,'FTE 계산'!I$2)) - (SUMIFS(monthly_work_hours!$L:$L,monthly_work_hours!$A:$A,'FTE 계산'!$A131,monthly_work_hours!$H:$H,'FTE 계산'!I$2))</f>
        <v>18</v>
      </c>
      <c r="J131">
        <f>(SUMIFS(monthly_work_hours!$I:$I,monthly_work_hours!$A:$A,'FTE 계산'!$A131,monthly_work_hours!$H:$H,'FTE 계산'!J$2)) - (SUMIFS(monthly_work_hours!$L:$L,monthly_work_hours!$A:$A,'FTE 계산'!$A131,monthly_work_hours!$H:$H,'FTE 계산'!J$2))</f>
        <v>16</v>
      </c>
    </row>
    <row r="132" spans="1:10" x14ac:dyDescent="0.45">
      <c r="A132">
        <v>1219016</v>
      </c>
      <c r="B132" t="str">
        <f>_xlfn.XLOOKUP(A132,monthly_work_hours!A:A,monthly_work_hours!B:B)</f>
        <v>이한솔</v>
      </c>
      <c r="C132" t="str">
        <f>_xlfn.XLOOKUP(A132,monthly_work_hours!A:A,monthly_work_hours!E:E)</f>
        <v>기획팀</v>
      </c>
      <c r="D132" t="str">
        <f>_xlfn.XLOOKUP(A132,monthly_work_hours!A:A,monthly_work_hours!F:F)</f>
        <v>선임</v>
      </c>
      <c r="E132">
        <f>SUMIFS(monthly_work_hours!$M:$M,monthly_work_hours!$A:$A,'FTE 계산'!$A132,monthly_work_hours!$H:$H,'FTE 계산'!E$2)</f>
        <v>191.1</v>
      </c>
      <c r="F132">
        <f>SUMIFS(monthly_work_hours!$M:$M,monthly_work_hours!$A:$A,'FTE 계산'!$A132,monthly_work_hours!$H:$H,'FTE 계산'!F$2)</f>
        <v>188.7</v>
      </c>
      <c r="G132">
        <f>SUMIFS(monthly_work_hours!$M:$M,monthly_work_hours!$A:$A,'FTE 계산'!$A132,monthly_work_hours!$H:$H,'FTE 계산'!G$2)</f>
        <v>147.4</v>
      </c>
      <c r="H132">
        <f>(SUMIFS(monthly_work_hours!$I:$I,monthly_work_hours!$A:$A,'FTE 계산'!$A132,monthly_work_hours!$H:$H,'FTE 계산'!H$2)) - (SUMIFS(monthly_work_hours!$L:$L,monthly_work_hours!$A:$A,'FTE 계산'!$A132,monthly_work_hours!$H:$H,'FTE 계산'!H$2))</f>
        <v>19</v>
      </c>
      <c r="I132">
        <f>(SUMIFS(monthly_work_hours!$I:$I,monthly_work_hours!$A:$A,'FTE 계산'!$A132,monthly_work_hours!$H:$H,'FTE 계산'!I$2)) - (SUMIFS(monthly_work_hours!$L:$L,monthly_work_hours!$A:$A,'FTE 계산'!$A132,monthly_work_hours!$H:$H,'FTE 계산'!I$2))</f>
        <v>18</v>
      </c>
      <c r="J132">
        <f>(SUMIFS(monthly_work_hours!$I:$I,monthly_work_hours!$A:$A,'FTE 계산'!$A132,monthly_work_hours!$H:$H,'FTE 계산'!J$2)) - (SUMIFS(monthly_work_hours!$L:$L,monthly_work_hours!$A:$A,'FTE 계산'!$A132,monthly_work_hours!$H:$H,'FTE 계산'!J$2))</f>
        <v>15</v>
      </c>
    </row>
    <row r="133" spans="1:10" x14ac:dyDescent="0.45">
      <c r="A133">
        <v>1220016</v>
      </c>
      <c r="B133" t="str">
        <f>_xlfn.XLOOKUP(A133,monthly_work_hours!A:A,monthly_work_hours!B:B)</f>
        <v>이승보</v>
      </c>
      <c r="C133" t="str">
        <f>_xlfn.XLOOKUP(A133,monthly_work_hours!A:A,monthly_work_hours!E:E)</f>
        <v>재무팀</v>
      </c>
      <c r="D133" t="str">
        <f>_xlfn.XLOOKUP(A133,monthly_work_hours!A:A,monthly_work_hours!F:F)</f>
        <v>책임</v>
      </c>
      <c r="E133">
        <f>SUMIFS(monthly_work_hours!$M:$M,monthly_work_hours!$A:$A,'FTE 계산'!$A133,monthly_work_hours!$H:$H,'FTE 계산'!E$2)</f>
        <v>228.3</v>
      </c>
      <c r="F133">
        <f>SUMIFS(monthly_work_hours!$M:$M,monthly_work_hours!$A:$A,'FTE 계산'!$A133,monthly_work_hours!$H:$H,'FTE 계산'!F$2)</f>
        <v>236.8</v>
      </c>
      <c r="G133">
        <f>SUMIFS(monthly_work_hours!$M:$M,monthly_work_hours!$A:$A,'FTE 계산'!$A133,monthly_work_hours!$H:$H,'FTE 계산'!G$2)</f>
        <v>181.1</v>
      </c>
      <c r="H133">
        <f>(SUMIFS(monthly_work_hours!$I:$I,monthly_work_hours!$A:$A,'FTE 계산'!$A133,monthly_work_hours!$H:$H,'FTE 계산'!H$2)) - (SUMIFS(monthly_work_hours!$L:$L,monthly_work_hours!$A:$A,'FTE 계산'!$A133,monthly_work_hours!$H:$H,'FTE 계산'!H$2))</f>
        <v>19</v>
      </c>
      <c r="I133">
        <f>(SUMIFS(monthly_work_hours!$I:$I,monthly_work_hours!$A:$A,'FTE 계산'!$A133,monthly_work_hours!$H:$H,'FTE 계산'!I$2)) - (SUMIFS(monthly_work_hours!$L:$L,monthly_work_hours!$A:$A,'FTE 계산'!$A133,monthly_work_hours!$H:$H,'FTE 계산'!I$2))</f>
        <v>23</v>
      </c>
      <c r="J133">
        <f>(SUMIFS(monthly_work_hours!$I:$I,monthly_work_hours!$A:$A,'FTE 계산'!$A133,monthly_work_hours!$H:$H,'FTE 계산'!J$2)) - (SUMIFS(monthly_work_hours!$L:$L,monthly_work_hours!$A:$A,'FTE 계산'!$A133,monthly_work_hours!$H:$H,'FTE 계산'!J$2))</f>
        <v>17</v>
      </c>
    </row>
    <row r="134" spans="1:10" x14ac:dyDescent="0.45">
      <c r="A134">
        <v>1221026</v>
      </c>
      <c r="B134" t="str">
        <f>_xlfn.XLOOKUP(A134,monthly_work_hours!A:A,monthly_work_hours!B:B)</f>
        <v>정기연</v>
      </c>
      <c r="C134" t="str">
        <f>_xlfn.XLOOKUP(A134,monthly_work_hours!A:A,monthly_work_hours!E:E)</f>
        <v>제조자동화팀</v>
      </c>
      <c r="D134" t="str">
        <f>_xlfn.XLOOKUP(A134,monthly_work_hours!A:A,monthly_work_hours!F:F)</f>
        <v>사원</v>
      </c>
      <c r="E134">
        <f>SUMIFS(monthly_work_hours!$M:$M,monthly_work_hours!$A:$A,'FTE 계산'!$A134,monthly_work_hours!$H:$H,'FTE 계산'!E$2)</f>
        <v>161.80000000000001</v>
      </c>
      <c r="F134">
        <f>SUMIFS(monthly_work_hours!$M:$M,monthly_work_hours!$A:$A,'FTE 계산'!$A134,monthly_work_hours!$H:$H,'FTE 계산'!F$2)</f>
        <v>176.6</v>
      </c>
      <c r="G134">
        <f>SUMIFS(monthly_work_hours!$M:$M,monthly_work_hours!$A:$A,'FTE 계산'!$A134,monthly_work_hours!$H:$H,'FTE 계산'!G$2)</f>
        <v>145.9</v>
      </c>
      <c r="H134">
        <f>(SUMIFS(monthly_work_hours!$I:$I,monthly_work_hours!$A:$A,'FTE 계산'!$A134,monthly_work_hours!$H:$H,'FTE 계산'!H$2)) - (SUMIFS(monthly_work_hours!$L:$L,monthly_work_hours!$A:$A,'FTE 계산'!$A134,monthly_work_hours!$H:$H,'FTE 계산'!H$2))</f>
        <v>17</v>
      </c>
      <c r="I134">
        <f>(SUMIFS(monthly_work_hours!$I:$I,monthly_work_hours!$A:$A,'FTE 계산'!$A134,monthly_work_hours!$H:$H,'FTE 계산'!I$2)) - (SUMIFS(monthly_work_hours!$L:$L,monthly_work_hours!$A:$A,'FTE 계산'!$A134,monthly_work_hours!$H:$H,'FTE 계산'!I$2))</f>
        <v>19</v>
      </c>
      <c r="J134">
        <f>(SUMIFS(monthly_work_hours!$I:$I,monthly_work_hours!$A:$A,'FTE 계산'!$A134,monthly_work_hours!$H:$H,'FTE 계산'!J$2)) - (SUMIFS(monthly_work_hours!$L:$L,monthly_work_hours!$A:$A,'FTE 계산'!$A134,monthly_work_hours!$H:$H,'FTE 계산'!J$2))</f>
        <v>16</v>
      </c>
    </row>
    <row r="135" spans="1:10" x14ac:dyDescent="0.45">
      <c r="A135">
        <v>1221034</v>
      </c>
      <c r="B135" t="str">
        <f>_xlfn.XLOOKUP(A135,monthly_work_hours!A:A,monthly_work_hours!B:B)</f>
        <v>배성한</v>
      </c>
      <c r="C135" t="str">
        <f>_xlfn.XLOOKUP(A135,monthly_work_hours!A:A,monthly_work_hours!E:E)</f>
        <v>SL품질보증팀</v>
      </c>
      <c r="D135" t="str">
        <f>_xlfn.XLOOKUP(A135,monthly_work_hours!A:A,monthly_work_hours!F:F)</f>
        <v>선임</v>
      </c>
      <c r="E135">
        <f>SUMIFS(monthly_work_hours!$M:$M,monthly_work_hours!$A:$A,'FTE 계산'!$A135,monthly_work_hours!$H:$H,'FTE 계산'!E$2)</f>
        <v>158.4</v>
      </c>
      <c r="F135">
        <f>SUMIFS(monthly_work_hours!$M:$M,monthly_work_hours!$A:$A,'FTE 계산'!$A135,monthly_work_hours!$H:$H,'FTE 계산'!F$2)</f>
        <v>151.30000000000001</v>
      </c>
      <c r="G135">
        <f>SUMIFS(monthly_work_hours!$M:$M,monthly_work_hours!$A:$A,'FTE 계산'!$A135,monthly_work_hours!$H:$H,'FTE 계산'!G$2)</f>
        <v>124.1</v>
      </c>
      <c r="H135">
        <f>(SUMIFS(monthly_work_hours!$I:$I,monthly_work_hours!$A:$A,'FTE 계산'!$A135,monthly_work_hours!$H:$H,'FTE 계산'!H$2)) - (SUMIFS(monthly_work_hours!$L:$L,monthly_work_hours!$A:$A,'FTE 계산'!$A135,monthly_work_hours!$H:$H,'FTE 계산'!H$2))</f>
        <v>17</v>
      </c>
      <c r="I135">
        <f>(SUMIFS(monthly_work_hours!$I:$I,monthly_work_hours!$A:$A,'FTE 계산'!$A135,monthly_work_hours!$H:$H,'FTE 계산'!I$2)) - (SUMIFS(monthly_work_hours!$L:$L,monthly_work_hours!$A:$A,'FTE 계산'!$A135,monthly_work_hours!$H:$H,'FTE 계산'!I$2))</f>
        <v>16</v>
      </c>
      <c r="J135">
        <f>(SUMIFS(monthly_work_hours!$I:$I,monthly_work_hours!$A:$A,'FTE 계산'!$A135,monthly_work_hours!$H:$H,'FTE 계산'!J$2)) - (SUMIFS(monthly_work_hours!$L:$L,monthly_work_hours!$A:$A,'FTE 계산'!$A135,monthly_work_hours!$H:$H,'FTE 계산'!J$2))</f>
        <v>14</v>
      </c>
    </row>
    <row r="136" spans="1:10" x14ac:dyDescent="0.45">
      <c r="A136">
        <v>1221050</v>
      </c>
      <c r="B136" t="str">
        <f>_xlfn.XLOOKUP(A136,monthly_work_hours!A:A,monthly_work_hours!B:B)</f>
        <v>김현철</v>
      </c>
      <c r="C136" t="e">
        <f>_xlfn.XLOOKUP(A136,monthly_work_hours!A:A,monthly_work_hours!E:E)</f>
        <v>#N/A</v>
      </c>
      <c r="D136" t="str">
        <f>_xlfn.XLOOKUP(A136,monthly_work_hours!A:A,monthly_work_hours!F:F)</f>
        <v>선임</v>
      </c>
      <c r="E136">
        <f>SUMIFS(monthly_work_hours!$M:$M,monthly_work_hours!$A:$A,'FTE 계산'!$A136,monthly_work_hours!$H:$H,'FTE 계산'!E$2)</f>
        <v>118.9</v>
      </c>
      <c r="F136">
        <f>SUMIFS(monthly_work_hours!$M:$M,monthly_work_hours!$A:$A,'FTE 계산'!$A136,monthly_work_hours!$H:$H,'FTE 계산'!F$2)</f>
        <v>174.3</v>
      </c>
      <c r="G136">
        <f>SUMIFS(monthly_work_hours!$M:$M,monthly_work_hours!$A:$A,'FTE 계산'!$A136,monthly_work_hours!$H:$H,'FTE 계산'!G$2)</f>
        <v>153.6</v>
      </c>
      <c r="H136">
        <f>(SUMIFS(monthly_work_hours!$I:$I,monthly_work_hours!$A:$A,'FTE 계산'!$A136,monthly_work_hours!$H:$H,'FTE 계산'!H$2)) - (SUMIFS(monthly_work_hours!$L:$L,monthly_work_hours!$A:$A,'FTE 계산'!$A136,monthly_work_hours!$H:$H,'FTE 계산'!H$2))</f>
        <v>13</v>
      </c>
      <c r="I136">
        <f>(SUMIFS(monthly_work_hours!$I:$I,monthly_work_hours!$A:$A,'FTE 계산'!$A136,monthly_work_hours!$H:$H,'FTE 계산'!I$2)) - (SUMIFS(monthly_work_hours!$L:$L,monthly_work_hours!$A:$A,'FTE 계산'!$A136,monthly_work_hours!$H:$H,'FTE 계산'!I$2))</f>
        <v>13</v>
      </c>
      <c r="J136">
        <f>(SUMIFS(monthly_work_hours!$I:$I,monthly_work_hours!$A:$A,'FTE 계산'!$A136,monthly_work_hours!$H:$H,'FTE 계산'!J$2)) - (SUMIFS(monthly_work_hours!$L:$L,monthly_work_hours!$A:$A,'FTE 계산'!$A136,monthly_work_hours!$H:$H,'FTE 계산'!J$2))</f>
        <v>15</v>
      </c>
    </row>
    <row r="137" spans="1:10" x14ac:dyDescent="0.45">
      <c r="A137">
        <v>1222008</v>
      </c>
      <c r="B137" t="str">
        <f>_xlfn.XLOOKUP(A137,monthly_work_hours!A:A,monthly_work_hours!B:B)</f>
        <v>서준만</v>
      </c>
      <c r="C137" t="str">
        <f>_xlfn.XLOOKUP(A137,monthly_work_hours!A:A,monthly_work_hours!E:E)</f>
        <v>제조자동화팀</v>
      </c>
      <c r="D137" t="str">
        <f>_xlfn.XLOOKUP(A137,monthly_work_hours!A:A,monthly_work_hours!F:F)</f>
        <v>책임</v>
      </c>
      <c r="E137">
        <f>SUMIFS(monthly_work_hours!$M:$M,monthly_work_hours!$A:$A,'FTE 계산'!$A137,monthly_work_hours!$H:$H,'FTE 계산'!E$2)</f>
        <v>135.69999999999999</v>
      </c>
      <c r="F137">
        <f>SUMIFS(monthly_work_hours!$M:$M,monthly_work_hours!$A:$A,'FTE 계산'!$A137,monthly_work_hours!$H:$H,'FTE 계산'!F$2)</f>
        <v>183</v>
      </c>
      <c r="G137">
        <f>SUMIFS(monthly_work_hours!$M:$M,monthly_work_hours!$A:$A,'FTE 계산'!$A137,monthly_work_hours!$H:$H,'FTE 계산'!G$2)</f>
        <v>130</v>
      </c>
      <c r="H137">
        <f>(SUMIFS(monthly_work_hours!$I:$I,monthly_work_hours!$A:$A,'FTE 계산'!$A137,monthly_work_hours!$H:$H,'FTE 계산'!H$2)) - (SUMIFS(monthly_work_hours!$L:$L,monthly_work_hours!$A:$A,'FTE 계산'!$A137,monthly_work_hours!$H:$H,'FTE 계산'!H$2))</f>
        <v>14</v>
      </c>
      <c r="I137">
        <f>(SUMIFS(monthly_work_hours!$I:$I,monthly_work_hours!$A:$A,'FTE 계산'!$A137,monthly_work_hours!$H:$H,'FTE 계산'!I$2)) - (SUMIFS(monthly_work_hours!$L:$L,monthly_work_hours!$A:$A,'FTE 계산'!$A137,monthly_work_hours!$H:$H,'FTE 계산'!I$2))</f>
        <v>19</v>
      </c>
      <c r="J137">
        <f>(SUMIFS(monthly_work_hours!$I:$I,monthly_work_hours!$A:$A,'FTE 계산'!$A137,monthly_work_hours!$H:$H,'FTE 계산'!J$2)) - (SUMIFS(monthly_work_hours!$L:$L,monthly_work_hours!$A:$A,'FTE 계산'!$A137,monthly_work_hours!$H:$H,'FTE 계산'!J$2))</f>
        <v>14</v>
      </c>
    </row>
    <row r="138" spans="1:10" x14ac:dyDescent="0.45">
      <c r="A138">
        <v>1222011</v>
      </c>
      <c r="B138" t="str">
        <f>_xlfn.XLOOKUP(A138,monthly_work_hours!A:A,monthly_work_hours!B:B)</f>
        <v>김준영</v>
      </c>
      <c r="C138" t="str">
        <f>_xlfn.XLOOKUP(A138,monthly_work_hours!A:A,monthly_work_hours!E:E)</f>
        <v>안전보안팀</v>
      </c>
      <c r="D138" t="str">
        <f>_xlfn.XLOOKUP(A138,monthly_work_hours!A:A,monthly_work_hours!F:F)</f>
        <v>선임</v>
      </c>
      <c r="E138">
        <f>SUMIFS(monthly_work_hours!$M:$M,monthly_work_hours!$A:$A,'FTE 계산'!$A138,monthly_work_hours!$H:$H,'FTE 계산'!E$2)</f>
        <v>298.89999999999998</v>
      </c>
      <c r="F138">
        <f>SUMIFS(monthly_work_hours!$M:$M,monthly_work_hours!$A:$A,'FTE 계산'!$A138,monthly_work_hours!$H:$H,'FTE 계산'!F$2)</f>
        <v>140</v>
      </c>
      <c r="G138">
        <f>SUMIFS(monthly_work_hours!$M:$M,monthly_work_hours!$A:$A,'FTE 계산'!$A138,monthly_work_hours!$H:$H,'FTE 계산'!G$2)</f>
        <v>125.7</v>
      </c>
      <c r="H138">
        <f>(SUMIFS(monthly_work_hours!$I:$I,monthly_work_hours!$A:$A,'FTE 계산'!$A138,monthly_work_hours!$H:$H,'FTE 계산'!H$2)) - (SUMIFS(monthly_work_hours!$L:$L,monthly_work_hours!$A:$A,'FTE 계산'!$A138,monthly_work_hours!$H:$H,'FTE 계산'!H$2))</f>
        <v>19</v>
      </c>
      <c r="I138">
        <f>(SUMIFS(monthly_work_hours!$I:$I,monthly_work_hours!$A:$A,'FTE 계산'!$A138,monthly_work_hours!$H:$H,'FTE 계산'!I$2)) - (SUMIFS(monthly_work_hours!$L:$L,monthly_work_hours!$A:$A,'FTE 계산'!$A138,monthly_work_hours!$H:$H,'FTE 계산'!I$2))</f>
        <v>16</v>
      </c>
      <c r="J138">
        <f>(SUMIFS(monthly_work_hours!$I:$I,monthly_work_hours!$A:$A,'FTE 계산'!$A138,monthly_work_hours!$H:$H,'FTE 계산'!J$2)) - (SUMIFS(monthly_work_hours!$L:$L,monthly_work_hours!$A:$A,'FTE 계산'!$A138,monthly_work_hours!$H:$H,'FTE 계산'!J$2))</f>
        <v>14</v>
      </c>
    </row>
    <row r="139" spans="1:10" x14ac:dyDescent="0.45">
      <c r="A139">
        <v>1222012</v>
      </c>
      <c r="B139" t="str">
        <f>_xlfn.XLOOKUP(A139,monthly_work_hours!A:A,monthly_work_hours!B:B)</f>
        <v>김준혁</v>
      </c>
      <c r="C139" t="str">
        <f>_xlfn.XLOOKUP(A139,monthly_work_hours!A:A,monthly_work_hours!E:E)</f>
        <v>HR팀</v>
      </c>
      <c r="D139" t="str">
        <f>_xlfn.XLOOKUP(A139,monthly_work_hours!A:A,monthly_work_hours!F:F)</f>
        <v>사원</v>
      </c>
      <c r="E139">
        <f>SUMIFS(monthly_work_hours!$M:$M,monthly_work_hours!$A:$A,'FTE 계산'!$A139,monthly_work_hours!$H:$H,'FTE 계산'!E$2)</f>
        <v>185</v>
      </c>
      <c r="F139">
        <f>SUMIFS(monthly_work_hours!$M:$M,monthly_work_hours!$A:$A,'FTE 계산'!$A139,monthly_work_hours!$H:$H,'FTE 계산'!F$2)</f>
        <v>177.4</v>
      </c>
      <c r="G139">
        <f>SUMIFS(monthly_work_hours!$M:$M,monthly_work_hours!$A:$A,'FTE 계산'!$A139,monthly_work_hours!$H:$H,'FTE 계산'!G$2)</f>
        <v>146.80000000000001</v>
      </c>
      <c r="H139">
        <f>(SUMIFS(monthly_work_hours!$I:$I,monthly_work_hours!$A:$A,'FTE 계산'!$A139,monthly_work_hours!$H:$H,'FTE 계산'!H$2)) - (SUMIFS(monthly_work_hours!$L:$L,monthly_work_hours!$A:$A,'FTE 계산'!$A139,monthly_work_hours!$H:$H,'FTE 계산'!H$2))</f>
        <v>19</v>
      </c>
      <c r="I139">
        <f>(SUMIFS(monthly_work_hours!$I:$I,monthly_work_hours!$A:$A,'FTE 계산'!$A139,monthly_work_hours!$H:$H,'FTE 계산'!I$2)) - (SUMIFS(monthly_work_hours!$L:$L,monthly_work_hours!$A:$A,'FTE 계산'!$A139,monthly_work_hours!$H:$H,'FTE 계산'!I$2))</f>
        <v>20</v>
      </c>
      <c r="J139">
        <f>(SUMIFS(monthly_work_hours!$I:$I,monthly_work_hours!$A:$A,'FTE 계산'!$A139,monthly_work_hours!$H:$H,'FTE 계산'!J$2)) - (SUMIFS(monthly_work_hours!$L:$L,monthly_work_hours!$A:$A,'FTE 계산'!$A139,monthly_work_hours!$H:$H,'FTE 계산'!J$2))</f>
        <v>16</v>
      </c>
    </row>
    <row r="140" spans="1:10" x14ac:dyDescent="0.45">
      <c r="A140">
        <v>1222019</v>
      </c>
      <c r="B140" t="str">
        <f>_xlfn.XLOOKUP(A140,monthly_work_hours!A:A,monthly_work_hours!B:B)</f>
        <v>정경태</v>
      </c>
      <c r="C140" t="str">
        <f>_xlfn.XLOOKUP(A140,monthly_work_hours!A:A,monthly_work_hours!E:E)</f>
        <v>안전보안팀</v>
      </c>
      <c r="D140" t="str">
        <f>_xlfn.XLOOKUP(A140,monthly_work_hours!A:A,monthly_work_hours!F:F)</f>
        <v>사원</v>
      </c>
      <c r="E140">
        <f>SUMIFS(monthly_work_hours!$M:$M,monthly_work_hours!$A:$A,'FTE 계산'!$A140,monthly_work_hours!$H:$H,'FTE 계산'!E$2)</f>
        <v>87.6</v>
      </c>
      <c r="F140">
        <f>SUMIFS(monthly_work_hours!$M:$M,monthly_work_hours!$A:$A,'FTE 계산'!$A140,monthly_work_hours!$H:$H,'FTE 계산'!F$2)</f>
        <v>166.5</v>
      </c>
      <c r="G140">
        <f>SUMIFS(monthly_work_hours!$M:$M,monthly_work_hours!$A:$A,'FTE 계산'!$A140,monthly_work_hours!$H:$H,'FTE 계산'!G$2)</f>
        <v>131.9</v>
      </c>
      <c r="H140">
        <f>(SUMIFS(monthly_work_hours!$I:$I,monthly_work_hours!$A:$A,'FTE 계산'!$A140,monthly_work_hours!$H:$H,'FTE 계산'!H$2)) - (SUMIFS(monthly_work_hours!$L:$L,monthly_work_hours!$A:$A,'FTE 계산'!$A140,monthly_work_hours!$H:$H,'FTE 계산'!H$2))</f>
        <v>10</v>
      </c>
      <c r="I140">
        <f>(SUMIFS(monthly_work_hours!$I:$I,monthly_work_hours!$A:$A,'FTE 계산'!$A140,monthly_work_hours!$H:$H,'FTE 계산'!I$2)) - (SUMIFS(monthly_work_hours!$L:$L,monthly_work_hours!$A:$A,'FTE 계산'!$A140,monthly_work_hours!$H:$H,'FTE 계산'!I$2))</f>
        <v>20</v>
      </c>
      <c r="J140">
        <f>(SUMIFS(monthly_work_hours!$I:$I,monthly_work_hours!$A:$A,'FTE 계산'!$A140,monthly_work_hours!$H:$H,'FTE 계산'!J$2)) - (SUMIFS(monthly_work_hours!$L:$L,monthly_work_hours!$A:$A,'FTE 계산'!$A140,monthly_work_hours!$H:$H,'FTE 계산'!J$2))</f>
        <v>14</v>
      </c>
    </row>
    <row r="141" spans="1:10" x14ac:dyDescent="0.45">
      <c r="A141">
        <v>1222021</v>
      </c>
      <c r="B141" t="str">
        <f>_xlfn.XLOOKUP(A141,monthly_work_hours!A:A,monthly_work_hours!B:B)</f>
        <v>조가람</v>
      </c>
      <c r="C141" t="str">
        <f>_xlfn.XLOOKUP(A141,monthly_work_hours!A:A,monthly_work_hours!E:E)</f>
        <v>안전보안팀</v>
      </c>
      <c r="D141" t="str">
        <f>_xlfn.XLOOKUP(A141,monthly_work_hours!A:A,monthly_work_hours!F:F)</f>
        <v>선임</v>
      </c>
      <c r="E141">
        <f>SUMIFS(monthly_work_hours!$M:$M,monthly_work_hours!$A:$A,'FTE 계산'!$A141,monthly_work_hours!$H:$H,'FTE 계산'!E$2)</f>
        <v>272.7</v>
      </c>
      <c r="F141">
        <f>SUMIFS(monthly_work_hours!$M:$M,monthly_work_hours!$A:$A,'FTE 계산'!$A141,monthly_work_hours!$H:$H,'FTE 계산'!F$2)</f>
        <v>227.7</v>
      </c>
      <c r="G141">
        <f>SUMIFS(monthly_work_hours!$M:$M,monthly_work_hours!$A:$A,'FTE 계산'!$A141,monthly_work_hours!$H:$H,'FTE 계산'!G$2)</f>
        <v>162.30000000000001</v>
      </c>
      <c r="H141">
        <f>(SUMIFS(monthly_work_hours!$I:$I,monthly_work_hours!$A:$A,'FTE 계산'!$A141,monthly_work_hours!$H:$H,'FTE 계산'!H$2)) - (SUMIFS(monthly_work_hours!$L:$L,monthly_work_hours!$A:$A,'FTE 계산'!$A141,monthly_work_hours!$H:$H,'FTE 계산'!H$2))</f>
        <v>20</v>
      </c>
      <c r="I141">
        <f>(SUMIFS(monthly_work_hours!$I:$I,monthly_work_hours!$A:$A,'FTE 계산'!$A141,monthly_work_hours!$H:$H,'FTE 계산'!I$2)) - (SUMIFS(monthly_work_hours!$L:$L,monthly_work_hours!$A:$A,'FTE 계산'!$A141,monthly_work_hours!$H:$H,'FTE 계산'!I$2))</f>
        <v>18</v>
      </c>
      <c r="J141">
        <f>(SUMIFS(monthly_work_hours!$I:$I,monthly_work_hours!$A:$A,'FTE 계산'!$A141,monthly_work_hours!$H:$H,'FTE 계산'!J$2)) - (SUMIFS(monthly_work_hours!$L:$L,monthly_work_hours!$A:$A,'FTE 계산'!$A141,monthly_work_hours!$H:$H,'FTE 계산'!J$2))</f>
        <v>16</v>
      </c>
    </row>
    <row r="142" spans="1:10" x14ac:dyDescent="0.45">
      <c r="A142">
        <v>1222025</v>
      </c>
      <c r="B142" t="str">
        <f>_xlfn.XLOOKUP(A142,monthly_work_hours!A:A,monthly_work_hours!B:B)</f>
        <v>김중모</v>
      </c>
      <c r="C142" t="str">
        <f>_xlfn.XLOOKUP(A142,monthly_work_hours!A:A,monthly_work_hours!E:E)</f>
        <v>경영지원팀</v>
      </c>
      <c r="D142" t="str">
        <f>_xlfn.XLOOKUP(A142,monthly_work_hours!A:A,monthly_work_hours!F:F)</f>
        <v>선임</v>
      </c>
      <c r="E142">
        <f>SUMIFS(monthly_work_hours!$M:$M,monthly_work_hours!$A:$A,'FTE 계산'!$A142,monthly_work_hours!$H:$H,'FTE 계산'!E$2)</f>
        <v>178.6</v>
      </c>
      <c r="F142">
        <f>SUMIFS(monthly_work_hours!$M:$M,monthly_work_hours!$A:$A,'FTE 계산'!$A142,monthly_work_hours!$H:$H,'FTE 계산'!F$2)</f>
        <v>173.3</v>
      </c>
      <c r="G142">
        <f>SUMIFS(monthly_work_hours!$M:$M,monthly_work_hours!$A:$A,'FTE 계산'!$A142,monthly_work_hours!$H:$H,'FTE 계산'!G$2)</f>
        <v>144.6</v>
      </c>
      <c r="H142">
        <f>(SUMIFS(monthly_work_hours!$I:$I,monthly_work_hours!$A:$A,'FTE 계산'!$A142,monthly_work_hours!$H:$H,'FTE 계산'!H$2)) - (SUMIFS(monthly_work_hours!$L:$L,monthly_work_hours!$A:$A,'FTE 계산'!$A142,monthly_work_hours!$H:$H,'FTE 계산'!H$2))</f>
        <v>19</v>
      </c>
      <c r="I142">
        <f>(SUMIFS(monthly_work_hours!$I:$I,monthly_work_hours!$A:$A,'FTE 계산'!$A142,monthly_work_hours!$H:$H,'FTE 계산'!I$2)) - (SUMIFS(monthly_work_hours!$L:$L,monthly_work_hours!$A:$A,'FTE 계산'!$A142,monthly_work_hours!$H:$H,'FTE 계산'!I$2))</f>
        <v>18</v>
      </c>
      <c r="J142">
        <f>(SUMIFS(monthly_work_hours!$I:$I,monthly_work_hours!$A:$A,'FTE 계산'!$A142,monthly_work_hours!$H:$H,'FTE 계산'!J$2)) - (SUMIFS(monthly_work_hours!$L:$L,monthly_work_hours!$A:$A,'FTE 계산'!$A142,monthly_work_hours!$H:$H,'FTE 계산'!J$2))</f>
        <v>16</v>
      </c>
    </row>
    <row r="143" spans="1:10" x14ac:dyDescent="0.45">
      <c r="A143">
        <v>1222031</v>
      </c>
      <c r="B143" t="str">
        <f>_xlfn.XLOOKUP(A143,monthly_work_hours!A:A,monthly_work_hours!B:B)</f>
        <v>김일경</v>
      </c>
      <c r="C143" t="str">
        <f>_xlfn.XLOOKUP(A143,monthly_work_hours!A:A,monthly_work_hours!E:E)</f>
        <v>SL구매팀</v>
      </c>
      <c r="D143" t="str">
        <f>_xlfn.XLOOKUP(A143,monthly_work_hours!A:A,monthly_work_hours!F:F)</f>
        <v>선임</v>
      </c>
      <c r="E143">
        <f>SUMIFS(monthly_work_hours!$M:$M,monthly_work_hours!$A:$A,'FTE 계산'!$A143,monthly_work_hours!$H:$H,'FTE 계산'!E$2)</f>
        <v>183.3</v>
      </c>
      <c r="F143">
        <f>SUMIFS(monthly_work_hours!$M:$M,monthly_work_hours!$A:$A,'FTE 계산'!$A143,monthly_work_hours!$H:$H,'FTE 계산'!F$2)</f>
        <v>168</v>
      </c>
      <c r="G143">
        <f>SUMIFS(monthly_work_hours!$M:$M,monthly_work_hours!$A:$A,'FTE 계산'!$A143,monthly_work_hours!$H:$H,'FTE 계산'!G$2)</f>
        <v>162.69999999999999</v>
      </c>
      <c r="H143">
        <f>(SUMIFS(monthly_work_hours!$I:$I,monthly_work_hours!$A:$A,'FTE 계산'!$A143,monthly_work_hours!$H:$H,'FTE 계산'!H$2)) - (SUMIFS(monthly_work_hours!$L:$L,monthly_work_hours!$A:$A,'FTE 계산'!$A143,monthly_work_hours!$H:$H,'FTE 계산'!H$2))</f>
        <v>18</v>
      </c>
      <c r="I143">
        <f>(SUMIFS(monthly_work_hours!$I:$I,monthly_work_hours!$A:$A,'FTE 계산'!$A143,monthly_work_hours!$H:$H,'FTE 계산'!I$2)) - (SUMIFS(monthly_work_hours!$L:$L,monthly_work_hours!$A:$A,'FTE 계산'!$A143,monthly_work_hours!$H:$H,'FTE 계산'!I$2))</f>
        <v>18</v>
      </c>
      <c r="J143">
        <f>(SUMIFS(monthly_work_hours!$I:$I,monthly_work_hours!$A:$A,'FTE 계산'!$A143,monthly_work_hours!$H:$H,'FTE 계산'!J$2)) - (SUMIFS(monthly_work_hours!$L:$L,monthly_work_hours!$A:$A,'FTE 계산'!$A143,monthly_work_hours!$H:$H,'FTE 계산'!J$2))</f>
        <v>16</v>
      </c>
    </row>
    <row r="144" spans="1:10" x14ac:dyDescent="0.45">
      <c r="A144">
        <v>1222033</v>
      </c>
      <c r="B144" t="str">
        <f>_xlfn.XLOOKUP(A144,monthly_work_hours!A:A,monthly_work_hours!B:B)</f>
        <v>임민준</v>
      </c>
      <c r="C144" t="str">
        <f>_xlfn.XLOOKUP(A144,monthly_work_hours!A:A,monthly_work_hours!E:E)</f>
        <v>SL운영팀</v>
      </c>
      <c r="D144" t="str">
        <f>_xlfn.XLOOKUP(A144,monthly_work_hours!A:A,monthly_work_hours!F:F)</f>
        <v>선임</v>
      </c>
      <c r="E144">
        <f>SUMIFS(monthly_work_hours!$M:$M,monthly_work_hours!$A:$A,'FTE 계산'!$A144,monthly_work_hours!$H:$H,'FTE 계산'!E$2)</f>
        <v>193</v>
      </c>
      <c r="F144">
        <f>SUMIFS(monthly_work_hours!$M:$M,monthly_work_hours!$A:$A,'FTE 계산'!$A144,monthly_work_hours!$H:$H,'FTE 계산'!F$2)</f>
        <v>166.8</v>
      </c>
      <c r="G144">
        <f>SUMIFS(monthly_work_hours!$M:$M,monthly_work_hours!$A:$A,'FTE 계산'!$A144,monthly_work_hours!$H:$H,'FTE 계산'!G$2)</f>
        <v>112.6</v>
      </c>
      <c r="H144">
        <f>(SUMIFS(monthly_work_hours!$I:$I,monthly_work_hours!$A:$A,'FTE 계산'!$A144,monthly_work_hours!$H:$H,'FTE 계산'!H$2)) - (SUMIFS(monthly_work_hours!$L:$L,monthly_work_hours!$A:$A,'FTE 계산'!$A144,monthly_work_hours!$H:$H,'FTE 계산'!H$2))</f>
        <v>19</v>
      </c>
      <c r="I144">
        <f>(SUMIFS(monthly_work_hours!$I:$I,monthly_work_hours!$A:$A,'FTE 계산'!$A144,monthly_work_hours!$H:$H,'FTE 계산'!I$2)) - (SUMIFS(monthly_work_hours!$L:$L,monthly_work_hours!$A:$A,'FTE 계산'!$A144,monthly_work_hours!$H:$H,'FTE 계산'!I$2))</f>
        <v>17</v>
      </c>
      <c r="J144">
        <f>(SUMIFS(monthly_work_hours!$I:$I,monthly_work_hours!$A:$A,'FTE 계산'!$A144,monthly_work_hours!$H:$H,'FTE 계산'!J$2)) - (SUMIFS(monthly_work_hours!$L:$L,monthly_work_hours!$A:$A,'FTE 계산'!$A144,monthly_work_hours!$H:$H,'FTE 계산'!J$2))</f>
        <v>14</v>
      </c>
    </row>
    <row r="145" spans="1:10" x14ac:dyDescent="0.45">
      <c r="A145">
        <v>1222034</v>
      </c>
      <c r="B145" t="str">
        <f>_xlfn.XLOOKUP(A145,monthly_work_hours!A:A,monthly_work_hours!B:B)</f>
        <v>정만주</v>
      </c>
      <c r="C145" t="str">
        <f>_xlfn.XLOOKUP(A145,monthly_work_hours!A:A,monthly_work_hours!E:E)</f>
        <v>FL영업팀</v>
      </c>
      <c r="D145" t="str">
        <f>_xlfn.XLOOKUP(A145,monthly_work_hours!A:A,monthly_work_hours!F:F)</f>
        <v>선임</v>
      </c>
      <c r="E145">
        <f>SUMIFS(monthly_work_hours!$M:$M,monthly_work_hours!$A:$A,'FTE 계산'!$A145,monthly_work_hours!$H:$H,'FTE 계산'!E$2)</f>
        <v>176</v>
      </c>
      <c r="F145">
        <f>SUMIFS(monthly_work_hours!$M:$M,monthly_work_hours!$A:$A,'FTE 계산'!$A145,monthly_work_hours!$H:$H,'FTE 계산'!F$2)</f>
        <v>192.3</v>
      </c>
      <c r="G145">
        <f>SUMIFS(monthly_work_hours!$M:$M,monthly_work_hours!$A:$A,'FTE 계산'!$A145,monthly_work_hours!$H:$H,'FTE 계산'!G$2)</f>
        <v>198.1</v>
      </c>
      <c r="H145">
        <f>(SUMIFS(monthly_work_hours!$I:$I,monthly_work_hours!$A:$A,'FTE 계산'!$A145,monthly_work_hours!$H:$H,'FTE 계산'!H$2)) - (SUMIFS(monthly_work_hours!$L:$L,monthly_work_hours!$A:$A,'FTE 계산'!$A145,monthly_work_hours!$H:$H,'FTE 계산'!H$2))</f>
        <v>17</v>
      </c>
      <c r="I145">
        <f>(SUMIFS(monthly_work_hours!$I:$I,monthly_work_hours!$A:$A,'FTE 계산'!$A145,monthly_work_hours!$H:$H,'FTE 계산'!I$2)) - (SUMIFS(monthly_work_hours!$L:$L,monthly_work_hours!$A:$A,'FTE 계산'!$A145,monthly_work_hours!$H:$H,'FTE 계산'!I$2))</f>
        <v>18</v>
      </c>
      <c r="J145">
        <f>(SUMIFS(monthly_work_hours!$I:$I,monthly_work_hours!$A:$A,'FTE 계산'!$A145,monthly_work_hours!$H:$H,'FTE 계산'!J$2)) - (SUMIFS(monthly_work_hours!$L:$L,monthly_work_hours!$A:$A,'FTE 계산'!$A145,monthly_work_hours!$H:$H,'FTE 계산'!J$2))</f>
        <v>16</v>
      </c>
    </row>
    <row r="146" spans="1:10" x14ac:dyDescent="0.45">
      <c r="A146">
        <v>1222035</v>
      </c>
      <c r="B146" t="str">
        <f>_xlfn.XLOOKUP(A146,monthly_work_hours!A:A,monthly_work_hours!B:B)</f>
        <v>고경록</v>
      </c>
      <c r="C146" t="str">
        <f>_xlfn.XLOOKUP(A146,monthly_work_hours!A:A,monthly_work_hours!E:E)</f>
        <v>재무팀</v>
      </c>
      <c r="D146" t="str">
        <f>_xlfn.XLOOKUP(A146,monthly_work_hours!A:A,monthly_work_hours!F:F)</f>
        <v>사원</v>
      </c>
      <c r="E146">
        <f>SUMIFS(monthly_work_hours!$M:$M,monthly_work_hours!$A:$A,'FTE 계산'!$A146,monthly_work_hours!$H:$H,'FTE 계산'!E$2)</f>
        <v>183.6</v>
      </c>
      <c r="F146">
        <f>SUMIFS(monthly_work_hours!$M:$M,monthly_work_hours!$A:$A,'FTE 계산'!$A146,monthly_work_hours!$H:$H,'FTE 계산'!F$2)</f>
        <v>218.5</v>
      </c>
      <c r="G146">
        <f>SUMIFS(monthly_work_hours!$M:$M,monthly_work_hours!$A:$A,'FTE 계산'!$A146,monthly_work_hours!$H:$H,'FTE 계산'!G$2)</f>
        <v>131.5</v>
      </c>
      <c r="H146">
        <f>(SUMIFS(monthly_work_hours!$I:$I,monthly_work_hours!$A:$A,'FTE 계산'!$A146,monthly_work_hours!$H:$H,'FTE 계산'!H$2)) - (SUMIFS(monthly_work_hours!$L:$L,monthly_work_hours!$A:$A,'FTE 계산'!$A146,monthly_work_hours!$H:$H,'FTE 계산'!H$2))</f>
        <v>19</v>
      </c>
      <c r="I146">
        <f>(SUMIFS(monthly_work_hours!$I:$I,monthly_work_hours!$A:$A,'FTE 계산'!$A146,monthly_work_hours!$H:$H,'FTE 계산'!I$2)) - (SUMIFS(monthly_work_hours!$L:$L,monthly_work_hours!$A:$A,'FTE 계산'!$A146,monthly_work_hours!$H:$H,'FTE 계산'!I$2))</f>
        <v>22</v>
      </c>
      <c r="J146">
        <f>(SUMIFS(monthly_work_hours!$I:$I,monthly_work_hours!$A:$A,'FTE 계산'!$A146,monthly_work_hours!$H:$H,'FTE 계산'!J$2)) - (SUMIFS(monthly_work_hours!$L:$L,monthly_work_hours!$A:$A,'FTE 계산'!$A146,monthly_work_hours!$H:$H,'FTE 계산'!J$2))</f>
        <v>15</v>
      </c>
    </row>
    <row r="147" spans="1:10" x14ac:dyDescent="0.45">
      <c r="A147">
        <v>1222036</v>
      </c>
      <c r="B147" t="str">
        <f>_xlfn.XLOOKUP(A147,monthly_work_hours!A:A,monthly_work_hours!B:B)</f>
        <v>김무진</v>
      </c>
      <c r="C147" t="str">
        <f>_xlfn.XLOOKUP(A147,monthly_work_hours!A:A,monthly_work_hours!E:E)</f>
        <v>기획팀</v>
      </c>
      <c r="D147" t="str">
        <f>_xlfn.XLOOKUP(A147,monthly_work_hours!A:A,monthly_work_hours!F:F)</f>
        <v>사원</v>
      </c>
      <c r="E147">
        <f>SUMIFS(monthly_work_hours!$M:$M,monthly_work_hours!$A:$A,'FTE 계산'!$A147,monthly_work_hours!$H:$H,'FTE 계산'!E$2)</f>
        <v>187.7</v>
      </c>
      <c r="F147">
        <f>SUMIFS(monthly_work_hours!$M:$M,monthly_work_hours!$A:$A,'FTE 계산'!$A147,monthly_work_hours!$H:$H,'FTE 계산'!F$2)</f>
        <v>168</v>
      </c>
      <c r="G147">
        <f>SUMIFS(monthly_work_hours!$M:$M,monthly_work_hours!$A:$A,'FTE 계산'!$A147,monthly_work_hours!$H:$H,'FTE 계산'!G$2)</f>
        <v>147.9</v>
      </c>
      <c r="H147">
        <f>(SUMIFS(monthly_work_hours!$I:$I,monthly_work_hours!$A:$A,'FTE 계산'!$A147,monthly_work_hours!$H:$H,'FTE 계산'!H$2)) - (SUMIFS(monthly_work_hours!$L:$L,monthly_work_hours!$A:$A,'FTE 계산'!$A147,monthly_work_hours!$H:$H,'FTE 계산'!H$2))</f>
        <v>19</v>
      </c>
      <c r="I147">
        <f>(SUMIFS(monthly_work_hours!$I:$I,monthly_work_hours!$A:$A,'FTE 계산'!$A147,monthly_work_hours!$H:$H,'FTE 계산'!I$2)) - (SUMIFS(monthly_work_hours!$L:$L,monthly_work_hours!$A:$A,'FTE 계산'!$A147,monthly_work_hours!$H:$H,'FTE 계산'!I$2))</f>
        <v>17</v>
      </c>
      <c r="J147">
        <f>(SUMIFS(monthly_work_hours!$I:$I,monthly_work_hours!$A:$A,'FTE 계산'!$A147,monthly_work_hours!$H:$H,'FTE 계산'!J$2)) - (SUMIFS(monthly_work_hours!$L:$L,monthly_work_hours!$A:$A,'FTE 계산'!$A147,monthly_work_hours!$H:$H,'FTE 계산'!J$2))</f>
        <v>16</v>
      </c>
    </row>
    <row r="148" spans="1:10" x14ac:dyDescent="0.45">
      <c r="A148">
        <v>1222037</v>
      </c>
      <c r="B148" t="str">
        <f>_xlfn.XLOOKUP(A148,monthly_work_hours!A:A,monthly_work_hours!B:B)</f>
        <v>조수빈</v>
      </c>
      <c r="C148" t="str">
        <f>_xlfn.XLOOKUP(A148,monthly_work_hours!A:A,monthly_work_hours!E:E)</f>
        <v>SCM팀</v>
      </c>
      <c r="D148" t="str">
        <f>_xlfn.XLOOKUP(A148,monthly_work_hours!A:A,monthly_work_hours!F:F)</f>
        <v>사원</v>
      </c>
      <c r="E148">
        <f>SUMIFS(monthly_work_hours!$M:$M,monthly_work_hours!$A:$A,'FTE 계산'!$A148,monthly_work_hours!$H:$H,'FTE 계산'!E$2)</f>
        <v>167.7</v>
      </c>
      <c r="F148">
        <f>SUMIFS(monthly_work_hours!$M:$M,monthly_work_hours!$A:$A,'FTE 계산'!$A148,monthly_work_hours!$H:$H,'FTE 계산'!F$2)</f>
        <v>166.4</v>
      </c>
      <c r="G148">
        <f>SUMIFS(monthly_work_hours!$M:$M,monthly_work_hours!$A:$A,'FTE 계산'!$A148,monthly_work_hours!$H:$H,'FTE 계산'!G$2)</f>
        <v>131.1</v>
      </c>
      <c r="H148">
        <f>(SUMIFS(monthly_work_hours!$I:$I,monthly_work_hours!$A:$A,'FTE 계산'!$A148,monthly_work_hours!$H:$H,'FTE 계산'!H$2)) - (SUMIFS(monthly_work_hours!$L:$L,monthly_work_hours!$A:$A,'FTE 계산'!$A148,monthly_work_hours!$H:$H,'FTE 계산'!H$2))</f>
        <v>18</v>
      </c>
      <c r="I148">
        <f>(SUMIFS(monthly_work_hours!$I:$I,monthly_work_hours!$A:$A,'FTE 계산'!$A148,monthly_work_hours!$H:$H,'FTE 계산'!I$2)) - (SUMIFS(monthly_work_hours!$L:$L,monthly_work_hours!$A:$A,'FTE 계산'!$A148,monthly_work_hours!$H:$H,'FTE 계산'!I$2))</f>
        <v>18</v>
      </c>
      <c r="J148">
        <f>(SUMIFS(monthly_work_hours!$I:$I,monthly_work_hours!$A:$A,'FTE 계산'!$A148,monthly_work_hours!$H:$H,'FTE 계산'!J$2)) - (SUMIFS(monthly_work_hours!$L:$L,monthly_work_hours!$A:$A,'FTE 계산'!$A148,monthly_work_hours!$H:$H,'FTE 계산'!J$2))</f>
        <v>15</v>
      </c>
    </row>
    <row r="149" spans="1:10" x14ac:dyDescent="0.45">
      <c r="A149">
        <v>1222038</v>
      </c>
      <c r="B149" t="str">
        <f>_xlfn.XLOOKUP(A149,monthly_work_hours!A:A,monthly_work_hours!B:B)</f>
        <v>안수진</v>
      </c>
      <c r="C149" t="str">
        <f>_xlfn.XLOOKUP(A149,monthly_work_hours!A:A,monthly_work_hours!E:E)</f>
        <v>FL설계팀</v>
      </c>
      <c r="D149" t="str">
        <f>_xlfn.XLOOKUP(A149,monthly_work_hours!A:A,monthly_work_hours!F:F)</f>
        <v>사원</v>
      </c>
      <c r="E149">
        <f>SUMIFS(monthly_work_hours!$M:$M,monthly_work_hours!$A:$A,'FTE 계산'!$A149,monthly_work_hours!$H:$H,'FTE 계산'!E$2)</f>
        <v>712.5</v>
      </c>
      <c r="F149">
        <f>SUMIFS(monthly_work_hours!$M:$M,monthly_work_hours!$A:$A,'FTE 계산'!$A149,monthly_work_hours!$H:$H,'FTE 계산'!F$2)</f>
        <v>736.6</v>
      </c>
      <c r="G149">
        <f>SUMIFS(monthly_work_hours!$M:$M,monthly_work_hours!$A:$A,'FTE 계산'!$A149,monthly_work_hours!$H:$H,'FTE 계산'!G$2)</f>
        <v>604.6</v>
      </c>
      <c r="H149">
        <f>(SUMIFS(monthly_work_hours!$I:$I,monthly_work_hours!$A:$A,'FTE 계산'!$A149,monthly_work_hours!$H:$H,'FTE 계산'!H$2)) - (SUMIFS(monthly_work_hours!$L:$L,monthly_work_hours!$A:$A,'FTE 계산'!$A149,monthly_work_hours!$H:$H,'FTE 계산'!H$2))</f>
        <v>21</v>
      </c>
      <c r="I149">
        <f>(SUMIFS(monthly_work_hours!$I:$I,monthly_work_hours!$A:$A,'FTE 계산'!$A149,monthly_work_hours!$H:$H,'FTE 계산'!I$2)) - (SUMIFS(monthly_work_hours!$L:$L,monthly_work_hours!$A:$A,'FTE 계산'!$A149,monthly_work_hours!$H:$H,'FTE 계산'!I$2))</f>
        <v>23</v>
      </c>
      <c r="J149">
        <f>(SUMIFS(monthly_work_hours!$I:$I,monthly_work_hours!$A:$A,'FTE 계산'!$A149,monthly_work_hours!$H:$H,'FTE 계산'!J$2)) - (SUMIFS(monthly_work_hours!$L:$L,monthly_work_hours!$A:$A,'FTE 계산'!$A149,monthly_work_hours!$H:$H,'FTE 계산'!J$2))</f>
        <v>18</v>
      </c>
    </row>
    <row r="150" spans="1:10" x14ac:dyDescent="0.45">
      <c r="A150">
        <v>1222041</v>
      </c>
      <c r="B150" t="str">
        <f>_xlfn.XLOOKUP(A150,monthly_work_hours!A:A,monthly_work_hours!B:B)</f>
        <v>최지훈</v>
      </c>
      <c r="C150" t="str">
        <f>_xlfn.XLOOKUP(A150,monthly_work_hours!A:A,monthly_work_hours!E:E)</f>
        <v>FL생산기술팀</v>
      </c>
      <c r="D150" t="str">
        <f>_xlfn.XLOOKUP(A150,monthly_work_hours!A:A,monthly_work_hours!F:F)</f>
        <v>사원</v>
      </c>
      <c r="E150">
        <f>SUMIFS(monthly_work_hours!$M:$M,monthly_work_hours!$A:$A,'FTE 계산'!$A150,monthly_work_hours!$H:$H,'FTE 계산'!E$2)</f>
        <v>171.8</v>
      </c>
      <c r="F150">
        <f>SUMIFS(monthly_work_hours!$M:$M,monthly_work_hours!$A:$A,'FTE 계산'!$A150,monthly_work_hours!$H:$H,'FTE 계산'!F$2)</f>
        <v>174.7</v>
      </c>
      <c r="G150">
        <f>SUMIFS(monthly_work_hours!$M:$M,monthly_work_hours!$A:$A,'FTE 계산'!$A150,monthly_work_hours!$H:$H,'FTE 계산'!G$2)</f>
        <v>143.9</v>
      </c>
      <c r="H150">
        <f>(SUMIFS(monthly_work_hours!$I:$I,monthly_work_hours!$A:$A,'FTE 계산'!$A150,monthly_work_hours!$H:$H,'FTE 계산'!H$2)) - (SUMIFS(monthly_work_hours!$L:$L,monthly_work_hours!$A:$A,'FTE 계산'!$A150,monthly_work_hours!$H:$H,'FTE 계산'!H$2))</f>
        <v>18</v>
      </c>
      <c r="I150">
        <f>(SUMIFS(monthly_work_hours!$I:$I,monthly_work_hours!$A:$A,'FTE 계산'!$A150,monthly_work_hours!$H:$H,'FTE 계산'!I$2)) - (SUMIFS(monthly_work_hours!$L:$L,monthly_work_hours!$A:$A,'FTE 계산'!$A150,monthly_work_hours!$H:$H,'FTE 계산'!I$2))</f>
        <v>18</v>
      </c>
      <c r="J150">
        <f>(SUMIFS(monthly_work_hours!$I:$I,monthly_work_hours!$A:$A,'FTE 계산'!$A150,monthly_work_hours!$H:$H,'FTE 계산'!J$2)) - (SUMIFS(monthly_work_hours!$L:$L,monthly_work_hours!$A:$A,'FTE 계산'!$A150,monthly_work_hours!$H:$H,'FTE 계산'!J$2))</f>
        <v>17</v>
      </c>
    </row>
    <row r="151" spans="1:10" x14ac:dyDescent="0.45">
      <c r="A151">
        <v>1222042</v>
      </c>
      <c r="B151" t="str">
        <f>_xlfn.XLOOKUP(A151,monthly_work_hours!A:A,monthly_work_hours!B:B)</f>
        <v>이재훈</v>
      </c>
      <c r="C151" t="str">
        <f>_xlfn.XLOOKUP(A151,monthly_work_hours!A:A,monthly_work_hours!E:E)</f>
        <v>제조자동화팀</v>
      </c>
      <c r="D151" t="str">
        <f>_xlfn.XLOOKUP(A151,monthly_work_hours!A:A,monthly_work_hours!F:F)</f>
        <v>선임</v>
      </c>
      <c r="E151">
        <f>SUMIFS(monthly_work_hours!$M:$M,monthly_work_hours!$A:$A,'FTE 계산'!$A151,monthly_work_hours!$H:$H,'FTE 계산'!E$2)</f>
        <v>97.8</v>
      </c>
      <c r="F151">
        <f>SUMIFS(monthly_work_hours!$M:$M,monthly_work_hours!$A:$A,'FTE 계산'!$A151,monthly_work_hours!$H:$H,'FTE 계산'!F$2)</f>
        <v>172.4</v>
      </c>
      <c r="G151">
        <f>SUMIFS(monthly_work_hours!$M:$M,monthly_work_hours!$A:$A,'FTE 계산'!$A151,monthly_work_hours!$H:$H,'FTE 계산'!G$2)</f>
        <v>135.80000000000001</v>
      </c>
      <c r="H151">
        <f>(SUMIFS(monthly_work_hours!$I:$I,monthly_work_hours!$A:$A,'FTE 계산'!$A151,monthly_work_hours!$H:$H,'FTE 계산'!H$2)) - (SUMIFS(monthly_work_hours!$L:$L,monthly_work_hours!$A:$A,'FTE 계산'!$A151,monthly_work_hours!$H:$H,'FTE 계산'!H$2))</f>
        <v>10</v>
      </c>
      <c r="I151">
        <f>(SUMIFS(monthly_work_hours!$I:$I,monthly_work_hours!$A:$A,'FTE 계산'!$A151,monthly_work_hours!$H:$H,'FTE 계산'!I$2)) - (SUMIFS(monthly_work_hours!$L:$L,monthly_work_hours!$A:$A,'FTE 계산'!$A151,monthly_work_hours!$H:$H,'FTE 계산'!I$2))</f>
        <v>17</v>
      </c>
      <c r="J151">
        <f>(SUMIFS(monthly_work_hours!$I:$I,monthly_work_hours!$A:$A,'FTE 계산'!$A151,monthly_work_hours!$H:$H,'FTE 계산'!J$2)) - (SUMIFS(monthly_work_hours!$L:$L,monthly_work_hours!$A:$A,'FTE 계산'!$A151,monthly_work_hours!$H:$H,'FTE 계산'!J$2))</f>
        <v>15</v>
      </c>
    </row>
    <row r="152" spans="1:10" x14ac:dyDescent="0.45">
      <c r="A152">
        <v>1222047</v>
      </c>
      <c r="B152" t="str">
        <f>_xlfn.XLOOKUP(A152,monthly_work_hours!A:A,monthly_work_hours!B:B)</f>
        <v>정은영</v>
      </c>
      <c r="C152" t="str">
        <f>_xlfn.XLOOKUP(A152,monthly_work_hours!A:A,monthly_work_hours!E:E)</f>
        <v>경영지원팀</v>
      </c>
      <c r="D152" t="str">
        <f>_xlfn.XLOOKUP(A152,monthly_work_hours!A:A,monthly_work_hours!F:F)</f>
        <v>사원</v>
      </c>
      <c r="E152">
        <f>SUMIFS(monthly_work_hours!$M:$M,monthly_work_hours!$A:$A,'FTE 계산'!$A152,monthly_work_hours!$H:$H,'FTE 계산'!E$2)</f>
        <v>165.3</v>
      </c>
      <c r="F152">
        <f>SUMIFS(monthly_work_hours!$M:$M,monthly_work_hours!$A:$A,'FTE 계산'!$A152,monthly_work_hours!$H:$H,'FTE 계산'!F$2)</f>
        <v>195.2</v>
      </c>
      <c r="G152">
        <f>SUMIFS(monthly_work_hours!$M:$M,monthly_work_hours!$A:$A,'FTE 계산'!$A152,monthly_work_hours!$H:$H,'FTE 계산'!G$2)</f>
        <v>137.19999999999999</v>
      </c>
      <c r="H152">
        <f>(SUMIFS(monthly_work_hours!$I:$I,monthly_work_hours!$A:$A,'FTE 계산'!$A152,monthly_work_hours!$H:$H,'FTE 계산'!H$2)) - (SUMIFS(monthly_work_hours!$L:$L,monthly_work_hours!$A:$A,'FTE 계산'!$A152,monthly_work_hours!$H:$H,'FTE 계산'!H$2))</f>
        <v>18</v>
      </c>
      <c r="I152">
        <f>(SUMIFS(monthly_work_hours!$I:$I,monthly_work_hours!$A:$A,'FTE 계산'!$A152,monthly_work_hours!$H:$H,'FTE 계산'!I$2)) - (SUMIFS(monthly_work_hours!$L:$L,monthly_work_hours!$A:$A,'FTE 계산'!$A152,monthly_work_hours!$H:$H,'FTE 계산'!I$2))</f>
        <v>19</v>
      </c>
      <c r="J152">
        <f>(SUMIFS(monthly_work_hours!$I:$I,monthly_work_hours!$A:$A,'FTE 계산'!$A152,monthly_work_hours!$H:$H,'FTE 계산'!J$2)) - (SUMIFS(monthly_work_hours!$L:$L,monthly_work_hours!$A:$A,'FTE 계산'!$A152,monthly_work_hours!$H:$H,'FTE 계산'!J$2))</f>
        <v>16</v>
      </c>
    </row>
    <row r="153" spans="1:10" x14ac:dyDescent="0.45">
      <c r="A153">
        <v>1222050</v>
      </c>
      <c r="B153" t="str">
        <f>_xlfn.XLOOKUP(A153,monthly_work_hours!A:A,monthly_work_hours!B:B)</f>
        <v>진미영</v>
      </c>
      <c r="C153" t="str">
        <f>_xlfn.XLOOKUP(A153,monthly_work_hours!A:A,monthly_work_hours!E:E)</f>
        <v>SL영업팀</v>
      </c>
      <c r="D153" t="str">
        <f>_xlfn.XLOOKUP(A153,monthly_work_hours!A:A,monthly_work_hours!F:F)</f>
        <v>선임</v>
      </c>
      <c r="E153">
        <f>SUMIFS(monthly_work_hours!$M:$M,monthly_work_hours!$A:$A,'FTE 계산'!$A153,monthly_work_hours!$H:$H,'FTE 계산'!E$2)</f>
        <v>184.5</v>
      </c>
      <c r="F153">
        <f>SUMIFS(monthly_work_hours!$M:$M,monthly_work_hours!$A:$A,'FTE 계산'!$A153,monthly_work_hours!$H:$H,'FTE 계산'!F$2)</f>
        <v>196.9</v>
      </c>
      <c r="G153">
        <f>SUMIFS(monthly_work_hours!$M:$M,monthly_work_hours!$A:$A,'FTE 계산'!$A153,monthly_work_hours!$H:$H,'FTE 계산'!G$2)</f>
        <v>128.5</v>
      </c>
      <c r="H153">
        <f>(SUMIFS(monthly_work_hours!$I:$I,monthly_work_hours!$A:$A,'FTE 계산'!$A153,monthly_work_hours!$H:$H,'FTE 계산'!H$2)) - (SUMIFS(monthly_work_hours!$L:$L,monthly_work_hours!$A:$A,'FTE 계산'!$A153,monthly_work_hours!$H:$H,'FTE 계산'!H$2))</f>
        <v>19</v>
      </c>
      <c r="I153">
        <f>(SUMIFS(monthly_work_hours!$I:$I,monthly_work_hours!$A:$A,'FTE 계산'!$A153,monthly_work_hours!$H:$H,'FTE 계산'!I$2)) - (SUMIFS(monthly_work_hours!$L:$L,monthly_work_hours!$A:$A,'FTE 계산'!$A153,monthly_work_hours!$H:$H,'FTE 계산'!I$2))</f>
        <v>23</v>
      </c>
      <c r="J153">
        <f>(SUMIFS(monthly_work_hours!$I:$I,monthly_work_hours!$A:$A,'FTE 계산'!$A153,monthly_work_hours!$H:$H,'FTE 계산'!J$2)) - (SUMIFS(monthly_work_hours!$L:$L,monthly_work_hours!$A:$A,'FTE 계산'!$A153,monthly_work_hours!$H:$H,'FTE 계산'!J$2))</f>
        <v>16</v>
      </c>
    </row>
    <row r="154" spans="1:10" x14ac:dyDescent="0.45">
      <c r="A154">
        <v>1222051</v>
      </c>
      <c r="B154" t="str">
        <f>_xlfn.XLOOKUP(A154,monthly_work_hours!A:A,monthly_work_hours!B:B)</f>
        <v>정다훈</v>
      </c>
      <c r="C154" t="str">
        <f>_xlfn.XLOOKUP(A154,monthly_work_hours!A:A,monthly_work_hours!E:E)</f>
        <v>제조자동화팀</v>
      </c>
      <c r="D154" t="str">
        <f>_xlfn.XLOOKUP(A154,monthly_work_hours!A:A,monthly_work_hours!F:F)</f>
        <v>선임</v>
      </c>
      <c r="E154">
        <f>SUMIFS(monthly_work_hours!$M:$M,monthly_work_hours!$A:$A,'FTE 계산'!$A154,monthly_work_hours!$H:$H,'FTE 계산'!E$2)</f>
        <v>82.4</v>
      </c>
      <c r="F154">
        <f>SUMIFS(monthly_work_hours!$M:$M,monthly_work_hours!$A:$A,'FTE 계산'!$A154,monthly_work_hours!$H:$H,'FTE 계산'!F$2)</f>
        <v>162.80000000000001</v>
      </c>
      <c r="G154">
        <f>SUMIFS(monthly_work_hours!$M:$M,monthly_work_hours!$A:$A,'FTE 계산'!$A154,monthly_work_hours!$H:$H,'FTE 계산'!G$2)</f>
        <v>123.6</v>
      </c>
      <c r="H154">
        <f>(SUMIFS(monthly_work_hours!$I:$I,monthly_work_hours!$A:$A,'FTE 계산'!$A154,monthly_work_hours!$H:$H,'FTE 계산'!H$2)) - (SUMIFS(monthly_work_hours!$L:$L,monthly_work_hours!$A:$A,'FTE 계산'!$A154,monthly_work_hours!$H:$H,'FTE 계산'!H$2))</f>
        <v>12</v>
      </c>
      <c r="I154">
        <f>(SUMIFS(monthly_work_hours!$I:$I,monthly_work_hours!$A:$A,'FTE 계산'!$A154,monthly_work_hours!$H:$H,'FTE 계산'!I$2)) - (SUMIFS(monthly_work_hours!$L:$L,monthly_work_hours!$A:$A,'FTE 계산'!$A154,monthly_work_hours!$H:$H,'FTE 계산'!I$2))</f>
        <v>18</v>
      </c>
      <c r="J154">
        <f>(SUMIFS(monthly_work_hours!$I:$I,monthly_work_hours!$A:$A,'FTE 계산'!$A154,monthly_work_hours!$H:$H,'FTE 계산'!J$2)) - (SUMIFS(monthly_work_hours!$L:$L,monthly_work_hours!$A:$A,'FTE 계산'!$A154,monthly_work_hours!$H:$H,'FTE 계산'!J$2))</f>
        <v>16</v>
      </c>
    </row>
    <row r="155" spans="1:10" x14ac:dyDescent="0.45">
      <c r="A155">
        <v>1222053</v>
      </c>
      <c r="B155" t="str">
        <f>_xlfn.XLOOKUP(A155,monthly_work_hours!A:A,monthly_work_hours!B:B)</f>
        <v>윤동민</v>
      </c>
      <c r="C155" t="str">
        <f>_xlfn.XLOOKUP(A155,monthly_work_hours!A:A,monthly_work_hours!E:E)</f>
        <v>SL영업팀</v>
      </c>
      <c r="D155" t="str">
        <f>_xlfn.XLOOKUP(A155,monthly_work_hours!A:A,monthly_work_hours!F:F)</f>
        <v>사원</v>
      </c>
      <c r="E155">
        <f>SUMIFS(monthly_work_hours!$M:$M,monthly_work_hours!$A:$A,'FTE 계산'!$A155,monthly_work_hours!$H:$H,'FTE 계산'!E$2)</f>
        <v>141.4</v>
      </c>
      <c r="F155">
        <f>SUMIFS(monthly_work_hours!$M:$M,monthly_work_hours!$A:$A,'FTE 계산'!$A155,monthly_work_hours!$H:$H,'FTE 계산'!F$2)</f>
        <v>158.30000000000001</v>
      </c>
      <c r="G155">
        <f>SUMIFS(monthly_work_hours!$M:$M,monthly_work_hours!$A:$A,'FTE 계산'!$A155,monthly_work_hours!$H:$H,'FTE 계산'!G$2)</f>
        <v>158.6</v>
      </c>
      <c r="H155">
        <f>(SUMIFS(monthly_work_hours!$I:$I,monthly_work_hours!$A:$A,'FTE 계산'!$A155,monthly_work_hours!$H:$H,'FTE 계산'!H$2)) - (SUMIFS(monthly_work_hours!$L:$L,monthly_work_hours!$A:$A,'FTE 계산'!$A155,monthly_work_hours!$H:$H,'FTE 계산'!H$2))</f>
        <v>17</v>
      </c>
      <c r="I155">
        <f>(SUMIFS(monthly_work_hours!$I:$I,monthly_work_hours!$A:$A,'FTE 계산'!$A155,monthly_work_hours!$H:$H,'FTE 계산'!I$2)) - (SUMIFS(monthly_work_hours!$L:$L,monthly_work_hours!$A:$A,'FTE 계산'!$A155,monthly_work_hours!$H:$H,'FTE 계산'!I$2))</f>
        <v>17</v>
      </c>
      <c r="J155">
        <f>(SUMIFS(monthly_work_hours!$I:$I,monthly_work_hours!$A:$A,'FTE 계산'!$A155,monthly_work_hours!$H:$H,'FTE 계산'!J$2)) - (SUMIFS(monthly_work_hours!$L:$L,monthly_work_hours!$A:$A,'FTE 계산'!$A155,monthly_work_hours!$H:$H,'FTE 계산'!J$2))</f>
        <v>15</v>
      </c>
    </row>
    <row r="156" spans="1:10" x14ac:dyDescent="0.45">
      <c r="A156">
        <v>1222055</v>
      </c>
      <c r="B156" t="str">
        <f>_xlfn.XLOOKUP(A156,monthly_work_hours!A:A,monthly_work_hours!B:B)</f>
        <v>이재성</v>
      </c>
      <c r="C156" t="str">
        <f>_xlfn.XLOOKUP(A156,monthly_work_hours!A:A,monthly_work_hours!E:E)</f>
        <v>B/H사업팀</v>
      </c>
      <c r="D156" t="str">
        <f>_xlfn.XLOOKUP(A156,monthly_work_hours!A:A,monthly_work_hours!F:F)</f>
        <v>선임</v>
      </c>
      <c r="E156">
        <f>SUMIFS(monthly_work_hours!$M:$M,monthly_work_hours!$A:$A,'FTE 계산'!$A156,monthly_work_hours!$H:$H,'FTE 계산'!E$2)</f>
        <v>172.9</v>
      </c>
      <c r="F156">
        <f>SUMIFS(monthly_work_hours!$M:$M,monthly_work_hours!$A:$A,'FTE 계산'!$A156,monthly_work_hours!$H:$H,'FTE 계산'!F$2)</f>
        <v>158.30000000000001</v>
      </c>
      <c r="G156">
        <f>SUMIFS(monthly_work_hours!$M:$M,monthly_work_hours!$A:$A,'FTE 계산'!$A156,monthly_work_hours!$H:$H,'FTE 계산'!G$2)</f>
        <v>120.9</v>
      </c>
      <c r="H156">
        <f>(SUMIFS(monthly_work_hours!$I:$I,monthly_work_hours!$A:$A,'FTE 계산'!$A156,monthly_work_hours!$H:$H,'FTE 계산'!H$2)) - (SUMIFS(monthly_work_hours!$L:$L,monthly_work_hours!$A:$A,'FTE 계산'!$A156,monthly_work_hours!$H:$H,'FTE 계산'!H$2))</f>
        <v>18</v>
      </c>
      <c r="I156">
        <f>(SUMIFS(monthly_work_hours!$I:$I,monthly_work_hours!$A:$A,'FTE 계산'!$A156,monthly_work_hours!$H:$H,'FTE 계산'!I$2)) - (SUMIFS(monthly_work_hours!$L:$L,monthly_work_hours!$A:$A,'FTE 계산'!$A156,monthly_work_hours!$H:$H,'FTE 계산'!I$2))</f>
        <v>17</v>
      </c>
      <c r="J156">
        <f>(SUMIFS(monthly_work_hours!$I:$I,monthly_work_hours!$A:$A,'FTE 계산'!$A156,monthly_work_hours!$H:$H,'FTE 계산'!J$2)) - (SUMIFS(monthly_work_hours!$L:$L,monthly_work_hours!$A:$A,'FTE 계산'!$A156,monthly_work_hours!$H:$H,'FTE 계산'!J$2))</f>
        <v>13</v>
      </c>
    </row>
    <row r="157" spans="1:10" x14ac:dyDescent="0.45">
      <c r="A157">
        <v>1223008</v>
      </c>
      <c r="B157" t="str">
        <f>_xlfn.XLOOKUP(A157,monthly_work_hours!A:A,monthly_work_hours!B:B)</f>
        <v>한성연</v>
      </c>
      <c r="C157" t="str">
        <f>_xlfn.XLOOKUP(A157,monthly_work_hours!A:A,monthly_work_hours!E:E)</f>
        <v>SL구매팀</v>
      </c>
      <c r="D157" t="str">
        <f>_xlfn.XLOOKUP(A157,monthly_work_hours!A:A,monthly_work_hours!F:F)</f>
        <v>선임</v>
      </c>
      <c r="E157">
        <f>SUMIFS(monthly_work_hours!$M:$M,monthly_work_hours!$A:$A,'FTE 계산'!$A157,monthly_work_hours!$H:$H,'FTE 계산'!E$2)</f>
        <v>175.6</v>
      </c>
      <c r="F157">
        <f>SUMIFS(monthly_work_hours!$M:$M,monthly_work_hours!$A:$A,'FTE 계산'!$A157,monthly_work_hours!$H:$H,'FTE 계산'!F$2)</f>
        <v>186.4</v>
      </c>
      <c r="G157">
        <f>SUMIFS(monthly_work_hours!$M:$M,monthly_work_hours!$A:$A,'FTE 계산'!$A157,monthly_work_hours!$H:$H,'FTE 계산'!G$2)</f>
        <v>168.3</v>
      </c>
      <c r="H157">
        <f>(SUMIFS(monthly_work_hours!$I:$I,monthly_work_hours!$A:$A,'FTE 계산'!$A157,monthly_work_hours!$H:$H,'FTE 계산'!H$2)) - (SUMIFS(monthly_work_hours!$L:$L,monthly_work_hours!$A:$A,'FTE 계산'!$A157,monthly_work_hours!$H:$H,'FTE 계산'!H$2))</f>
        <v>18</v>
      </c>
      <c r="I157">
        <f>(SUMIFS(monthly_work_hours!$I:$I,monthly_work_hours!$A:$A,'FTE 계산'!$A157,monthly_work_hours!$H:$H,'FTE 계산'!I$2)) - (SUMIFS(monthly_work_hours!$L:$L,monthly_work_hours!$A:$A,'FTE 계산'!$A157,monthly_work_hours!$H:$H,'FTE 계산'!I$2))</f>
        <v>18</v>
      </c>
      <c r="J157">
        <f>(SUMIFS(monthly_work_hours!$I:$I,monthly_work_hours!$A:$A,'FTE 계산'!$A157,monthly_work_hours!$H:$H,'FTE 계산'!J$2)) - (SUMIFS(monthly_work_hours!$L:$L,monthly_work_hours!$A:$A,'FTE 계산'!$A157,monthly_work_hours!$H:$H,'FTE 계산'!J$2))</f>
        <v>16</v>
      </c>
    </row>
    <row r="158" spans="1:10" x14ac:dyDescent="0.45">
      <c r="A158">
        <v>1223009</v>
      </c>
      <c r="B158" t="str">
        <f>_xlfn.XLOOKUP(A158,monthly_work_hours!A:A,monthly_work_hours!B:B)</f>
        <v>박성우</v>
      </c>
      <c r="C158" t="str">
        <f>_xlfn.XLOOKUP(A158,monthly_work_hours!A:A,monthly_work_hours!E:E)</f>
        <v>SL생산팀</v>
      </c>
      <c r="D158" t="str">
        <f>_xlfn.XLOOKUP(A158,monthly_work_hours!A:A,monthly_work_hours!F:F)</f>
        <v>선임</v>
      </c>
      <c r="E158">
        <f>SUMIFS(monthly_work_hours!$M:$M,monthly_work_hours!$A:$A,'FTE 계산'!$A158,monthly_work_hours!$H:$H,'FTE 계산'!E$2)</f>
        <v>140.6</v>
      </c>
      <c r="F158">
        <f>SUMIFS(monthly_work_hours!$M:$M,monthly_work_hours!$A:$A,'FTE 계산'!$A158,monthly_work_hours!$H:$H,'FTE 계산'!F$2)</f>
        <v>144.4</v>
      </c>
      <c r="G158">
        <f>SUMIFS(monthly_work_hours!$M:$M,monthly_work_hours!$A:$A,'FTE 계산'!$A158,monthly_work_hours!$H:$H,'FTE 계산'!G$2)</f>
        <v>78</v>
      </c>
      <c r="H158">
        <f>(SUMIFS(monthly_work_hours!$I:$I,monthly_work_hours!$A:$A,'FTE 계산'!$A158,monthly_work_hours!$H:$H,'FTE 계산'!H$2)) - (SUMIFS(monthly_work_hours!$L:$L,monthly_work_hours!$A:$A,'FTE 계산'!$A158,monthly_work_hours!$H:$H,'FTE 계산'!H$2))</f>
        <v>18</v>
      </c>
      <c r="I158">
        <f>(SUMIFS(monthly_work_hours!$I:$I,monthly_work_hours!$A:$A,'FTE 계산'!$A158,monthly_work_hours!$H:$H,'FTE 계산'!I$2)) - (SUMIFS(monthly_work_hours!$L:$L,monthly_work_hours!$A:$A,'FTE 계산'!$A158,monthly_work_hours!$H:$H,'FTE 계산'!I$2))</f>
        <v>18</v>
      </c>
      <c r="J158">
        <f>(SUMIFS(monthly_work_hours!$I:$I,monthly_work_hours!$A:$A,'FTE 계산'!$A158,monthly_work_hours!$H:$H,'FTE 계산'!J$2)) - (SUMIFS(monthly_work_hours!$L:$L,monthly_work_hours!$A:$A,'FTE 계산'!$A158,monthly_work_hours!$H:$H,'FTE 계산'!J$2))</f>
        <v>15</v>
      </c>
    </row>
    <row r="159" spans="1:10" x14ac:dyDescent="0.45">
      <c r="A159">
        <v>1223010</v>
      </c>
      <c r="B159" t="str">
        <f>_xlfn.XLOOKUP(A159,monthly_work_hours!A:A,monthly_work_hours!B:B)</f>
        <v>류동성</v>
      </c>
      <c r="C159" t="str">
        <f>_xlfn.XLOOKUP(A159,monthly_work_hours!A:A,monthly_work_hours!E:E)</f>
        <v>상생협력팀</v>
      </c>
      <c r="D159" t="str">
        <f>_xlfn.XLOOKUP(A159,monthly_work_hours!A:A,monthly_work_hours!F:F)</f>
        <v>사원</v>
      </c>
      <c r="E159">
        <f>SUMIFS(monthly_work_hours!$M:$M,monthly_work_hours!$A:$A,'FTE 계산'!$A159,monthly_work_hours!$H:$H,'FTE 계산'!E$2)</f>
        <v>211.2</v>
      </c>
      <c r="F159">
        <f>SUMIFS(monthly_work_hours!$M:$M,monthly_work_hours!$A:$A,'FTE 계산'!$A159,monthly_work_hours!$H:$H,'FTE 계산'!F$2)</f>
        <v>212.1</v>
      </c>
      <c r="G159">
        <f>SUMIFS(monthly_work_hours!$M:$M,monthly_work_hours!$A:$A,'FTE 계산'!$A159,monthly_work_hours!$H:$H,'FTE 계산'!G$2)</f>
        <v>164.9</v>
      </c>
      <c r="H159">
        <f>(SUMIFS(monthly_work_hours!$I:$I,monthly_work_hours!$A:$A,'FTE 계산'!$A159,monthly_work_hours!$H:$H,'FTE 계산'!H$2)) - (SUMIFS(monthly_work_hours!$L:$L,monthly_work_hours!$A:$A,'FTE 계산'!$A159,monthly_work_hours!$H:$H,'FTE 계산'!H$2))</f>
        <v>17</v>
      </c>
      <c r="I159">
        <f>(SUMIFS(monthly_work_hours!$I:$I,monthly_work_hours!$A:$A,'FTE 계산'!$A159,monthly_work_hours!$H:$H,'FTE 계산'!I$2)) - (SUMIFS(monthly_work_hours!$L:$L,monthly_work_hours!$A:$A,'FTE 계산'!$A159,monthly_work_hours!$H:$H,'FTE 계산'!I$2))</f>
        <v>19</v>
      </c>
      <c r="J159">
        <f>(SUMIFS(monthly_work_hours!$I:$I,monthly_work_hours!$A:$A,'FTE 계산'!$A159,monthly_work_hours!$H:$H,'FTE 계산'!J$2)) - (SUMIFS(monthly_work_hours!$L:$L,monthly_work_hours!$A:$A,'FTE 계산'!$A159,monthly_work_hours!$H:$H,'FTE 계산'!J$2))</f>
        <v>16</v>
      </c>
    </row>
    <row r="160" spans="1:10" x14ac:dyDescent="0.45">
      <c r="A160">
        <v>1223011</v>
      </c>
      <c r="B160" t="str">
        <f>_xlfn.XLOOKUP(A160,monthly_work_hours!A:A,monthly_work_hours!B:B)</f>
        <v>정현준</v>
      </c>
      <c r="C160" t="str">
        <f>_xlfn.XLOOKUP(A160,monthly_work_hours!A:A,monthly_work_hours!E:E)</f>
        <v>관체사업팀</v>
      </c>
      <c r="D160" t="str">
        <f>_xlfn.XLOOKUP(A160,monthly_work_hours!A:A,monthly_work_hours!F:F)</f>
        <v>선임</v>
      </c>
      <c r="E160">
        <f>SUMIFS(monthly_work_hours!$M:$M,monthly_work_hours!$A:$A,'FTE 계산'!$A160,monthly_work_hours!$H:$H,'FTE 계산'!E$2)</f>
        <v>210.1</v>
      </c>
      <c r="F160">
        <f>SUMIFS(monthly_work_hours!$M:$M,monthly_work_hours!$A:$A,'FTE 계산'!$A160,monthly_work_hours!$H:$H,'FTE 계산'!F$2)</f>
        <v>204.9</v>
      </c>
      <c r="G160">
        <f>SUMIFS(monthly_work_hours!$M:$M,monthly_work_hours!$A:$A,'FTE 계산'!$A160,monthly_work_hours!$H:$H,'FTE 계산'!G$2)</f>
        <v>163.1</v>
      </c>
      <c r="H160">
        <f>(SUMIFS(monthly_work_hours!$I:$I,monthly_work_hours!$A:$A,'FTE 계산'!$A160,monthly_work_hours!$H:$H,'FTE 계산'!H$2)) - (SUMIFS(monthly_work_hours!$L:$L,monthly_work_hours!$A:$A,'FTE 계산'!$A160,monthly_work_hours!$H:$H,'FTE 계산'!H$2))</f>
        <v>18</v>
      </c>
      <c r="I160">
        <f>(SUMIFS(monthly_work_hours!$I:$I,monthly_work_hours!$A:$A,'FTE 계산'!$A160,monthly_work_hours!$H:$H,'FTE 계산'!I$2)) - (SUMIFS(monthly_work_hours!$L:$L,monthly_work_hours!$A:$A,'FTE 계산'!$A160,monthly_work_hours!$H:$H,'FTE 계산'!I$2))</f>
        <v>18</v>
      </c>
      <c r="J160">
        <f>(SUMIFS(monthly_work_hours!$I:$I,monthly_work_hours!$A:$A,'FTE 계산'!$A160,monthly_work_hours!$H:$H,'FTE 계산'!J$2)) - (SUMIFS(monthly_work_hours!$L:$L,monthly_work_hours!$A:$A,'FTE 계산'!$A160,monthly_work_hours!$H:$H,'FTE 계산'!J$2))</f>
        <v>16</v>
      </c>
    </row>
    <row r="161" spans="1:10" x14ac:dyDescent="0.45">
      <c r="A161">
        <v>1223012</v>
      </c>
      <c r="B161" t="str">
        <f>_xlfn.XLOOKUP(A161,monthly_work_hours!A:A,monthly_work_hours!B:B)</f>
        <v>이재혁</v>
      </c>
      <c r="C161" t="str">
        <f>_xlfn.XLOOKUP(A161,monthly_work_hours!A:A,monthly_work_hours!E:E)</f>
        <v>FL품질보증팀</v>
      </c>
      <c r="D161" t="str">
        <f>_xlfn.XLOOKUP(A161,monthly_work_hours!A:A,monthly_work_hours!F:F)</f>
        <v>선임</v>
      </c>
      <c r="E161">
        <f>SUMIFS(monthly_work_hours!$M:$M,monthly_work_hours!$A:$A,'FTE 계산'!$A161,monthly_work_hours!$H:$H,'FTE 계산'!E$2)</f>
        <v>159.80000000000001</v>
      </c>
      <c r="F161">
        <f>SUMIFS(monthly_work_hours!$M:$M,monthly_work_hours!$A:$A,'FTE 계산'!$A161,monthly_work_hours!$H:$H,'FTE 계산'!F$2)</f>
        <v>132.5</v>
      </c>
      <c r="G161">
        <f>SUMIFS(monthly_work_hours!$M:$M,monthly_work_hours!$A:$A,'FTE 계산'!$A161,monthly_work_hours!$H:$H,'FTE 계산'!G$2)</f>
        <v>127.8</v>
      </c>
      <c r="H161">
        <f>(SUMIFS(monthly_work_hours!$I:$I,monthly_work_hours!$A:$A,'FTE 계산'!$A161,monthly_work_hours!$H:$H,'FTE 계산'!H$2)) - (SUMIFS(monthly_work_hours!$L:$L,monthly_work_hours!$A:$A,'FTE 계산'!$A161,monthly_work_hours!$H:$H,'FTE 계산'!H$2))</f>
        <v>18</v>
      </c>
      <c r="I161">
        <f>(SUMIFS(monthly_work_hours!$I:$I,monthly_work_hours!$A:$A,'FTE 계산'!$A161,monthly_work_hours!$H:$H,'FTE 계산'!I$2)) - (SUMIFS(monthly_work_hours!$L:$L,monthly_work_hours!$A:$A,'FTE 계산'!$A161,monthly_work_hours!$H:$H,'FTE 계산'!I$2))</f>
        <v>17</v>
      </c>
      <c r="J161">
        <f>(SUMIFS(monthly_work_hours!$I:$I,monthly_work_hours!$A:$A,'FTE 계산'!$A161,monthly_work_hours!$H:$H,'FTE 계산'!J$2)) - (SUMIFS(monthly_work_hours!$L:$L,monthly_work_hours!$A:$A,'FTE 계산'!$A161,monthly_work_hours!$H:$H,'FTE 계산'!J$2))</f>
        <v>16</v>
      </c>
    </row>
    <row r="162" spans="1:10" x14ac:dyDescent="0.45">
      <c r="A162">
        <v>1223013</v>
      </c>
      <c r="B162" t="str">
        <f>_xlfn.XLOOKUP(A162,monthly_work_hours!A:A,monthly_work_hours!B:B)</f>
        <v>서지연</v>
      </c>
      <c r="C162" t="str">
        <f>_xlfn.XLOOKUP(A162,monthly_work_hours!A:A,monthly_work_hours!E:E)</f>
        <v>SCM팀</v>
      </c>
      <c r="D162" t="str">
        <f>_xlfn.XLOOKUP(A162,monthly_work_hours!A:A,monthly_work_hours!F:F)</f>
        <v>선임</v>
      </c>
      <c r="E162">
        <f>SUMIFS(monthly_work_hours!$M:$M,monthly_work_hours!$A:$A,'FTE 계산'!$A162,monthly_work_hours!$H:$H,'FTE 계산'!E$2)</f>
        <v>166</v>
      </c>
      <c r="F162">
        <f>SUMIFS(monthly_work_hours!$M:$M,monthly_work_hours!$A:$A,'FTE 계산'!$A162,monthly_work_hours!$H:$H,'FTE 계산'!F$2)</f>
        <v>164.4</v>
      </c>
      <c r="G162">
        <f>SUMIFS(monthly_work_hours!$M:$M,monthly_work_hours!$A:$A,'FTE 계산'!$A162,monthly_work_hours!$H:$H,'FTE 계산'!G$2)</f>
        <v>147.80000000000001</v>
      </c>
      <c r="H162">
        <f>(SUMIFS(monthly_work_hours!$I:$I,monthly_work_hours!$A:$A,'FTE 계산'!$A162,monthly_work_hours!$H:$H,'FTE 계산'!H$2)) - (SUMIFS(monthly_work_hours!$L:$L,monthly_work_hours!$A:$A,'FTE 계산'!$A162,monthly_work_hours!$H:$H,'FTE 계산'!H$2))</f>
        <v>18</v>
      </c>
      <c r="I162">
        <f>(SUMIFS(monthly_work_hours!$I:$I,monthly_work_hours!$A:$A,'FTE 계산'!$A162,monthly_work_hours!$H:$H,'FTE 계산'!I$2)) - (SUMIFS(monthly_work_hours!$L:$L,monthly_work_hours!$A:$A,'FTE 계산'!$A162,monthly_work_hours!$H:$H,'FTE 계산'!I$2))</f>
        <v>19</v>
      </c>
      <c r="J162">
        <f>(SUMIFS(monthly_work_hours!$I:$I,monthly_work_hours!$A:$A,'FTE 계산'!$A162,monthly_work_hours!$H:$H,'FTE 계산'!J$2)) - (SUMIFS(monthly_work_hours!$L:$L,monthly_work_hours!$A:$A,'FTE 계산'!$A162,monthly_work_hours!$H:$H,'FTE 계산'!J$2))</f>
        <v>17</v>
      </c>
    </row>
    <row r="163" spans="1:10" x14ac:dyDescent="0.45">
      <c r="A163">
        <v>1223022</v>
      </c>
      <c r="B163" t="str">
        <f>_xlfn.XLOOKUP(A163,monthly_work_hours!A:A,monthly_work_hours!B:B)</f>
        <v>박해남</v>
      </c>
      <c r="C163" t="str">
        <f>_xlfn.XLOOKUP(A163,monthly_work_hours!A:A,monthly_work_hours!E:E)</f>
        <v>FL개발팀</v>
      </c>
      <c r="D163" t="str">
        <f>_xlfn.XLOOKUP(A163,monthly_work_hours!A:A,monthly_work_hours!F:F)</f>
        <v>사원</v>
      </c>
      <c r="E163">
        <f>SUMIFS(monthly_work_hours!$M:$M,monthly_work_hours!$A:$A,'FTE 계산'!$A163,monthly_work_hours!$H:$H,'FTE 계산'!E$2)</f>
        <v>130.30000000000001</v>
      </c>
      <c r="F163">
        <f>SUMIFS(monthly_work_hours!$M:$M,monthly_work_hours!$A:$A,'FTE 계산'!$A163,monthly_work_hours!$H:$H,'FTE 계산'!F$2)</f>
        <v>153.4</v>
      </c>
      <c r="G163">
        <f>SUMIFS(monthly_work_hours!$M:$M,monthly_work_hours!$A:$A,'FTE 계산'!$A163,monthly_work_hours!$H:$H,'FTE 계산'!G$2)</f>
        <v>114</v>
      </c>
      <c r="H163">
        <f>(SUMIFS(monthly_work_hours!$I:$I,monthly_work_hours!$A:$A,'FTE 계산'!$A163,monthly_work_hours!$H:$H,'FTE 계산'!H$2)) - (SUMIFS(monthly_work_hours!$L:$L,monthly_work_hours!$A:$A,'FTE 계산'!$A163,monthly_work_hours!$H:$H,'FTE 계산'!H$2))</f>
        <v>13</v>
      </c>
      <c r="I163">
        <f>(SUMIFS(monthly_work_hours!$I:$I,monthly_work_hours!$A:$A,'FTE 계산'!$A163,monthly_work_hours!$H:$H,'FTE 계산'!I$2)) - (SUMIFS(monthly_work_hours!$L:$L,monthly_work_hours!$A:$A,'FTE 계산'!$A163,monthly_work_hours!$H:$H,'FTE 계산'!I$2))</f>
        <v>16</v>
      </c>
      <c r="J163">
        <f>(SUMIFS(monthly_work_hours!$I:$I,monthly_work_hours!$A:$A,'FTE 계산'!$A163,monthly_work_hours!$H:$H,'FTE 계산'!J$2)) - (SUMIFS(monthly_work_hours!$L:$L,monthly_work_hours!$A:$A,'FTE 계산'!$A163,monthly_work_hours!$H:$H,'FTE 계산'!J$2))</f>
        <v>14</v>
      </c>
    </row>
    <row r="164" spans="1:10" x14ac:dyDescent="0.45">
      <c r="A164">
        <v>1223024</v>
      </c>
      <c r="B164" t="str">
        <f>_xlfn.XLOOKUP(A164,monthly_work_hours!A:A,monthly_work_hours!B:B)</f>
        <v>김경훈</v>
      </c>
      <c r="C164" t="str">
        <f>_xlfn.XLOOKUP(A164,monthly_work_hours!A:A,monthly_work_hours!E:E)</f>
        <v>SL생산기술팀</v>
      </c>
      <c r="D164" t="str">
        <f>_xlfn.XLOOKUP(A164,monthly_work_hours!A:A,monthly_work_hours!F:F)</f>
        <v>사원</v>
      </c>
      <c r="E164">
        <f>SUMIFS(monthly_work_hours!$M:$M,monthly_work_hours!$A:$A,'FTE 계산'!$A164,monthly_work_hours!$H:$H,'FTE 계산'!E$2)</f>
        <v>54.2</v>
      </c>
      <c r="F164">
        <f>SUMIFS(monthly_work_hours!$M:$M,monthly_work_hours!$A:$A,'FTE 계산'!$A164,monthly_work_hours!$H:$H,'FTE 계산'!F$2)</f>
        <v>52.3</v>
      </c>
      <c r="G164">
        <f>SUMIFS(monthly_work_hours!$M:$M,monthly_work_hours!$A:$A,'FTE 계산'!$A164,monthly_work_hours!$H:$H,'FTE 계산'!G$2)</f>
        <v>0</v>
      </c>
      <c r="H164">
        <f>(SUMIFS(monthly_work_hours!$I:$I,monthly_work_hours!$A:$A,'FTE 계산'!$A164,monthly_work_hours!$H:$H,'FTE 계산'!H$2)) - (SUMIFS(monthly_work_hours!$L:$L,monthly_work_hours!$A:$A,'FTE 계산'!$A164,monthly_work_hours!$H:$H,'FTE 계산'!H$2))</f>
        <v>10</v>
      </c>
      <c r="I164">
        <f>(SUMIFS(monthly_work_hours!$I:$I,monthly_work_hours!$A:$A,'FTE 계산'!$A164,monthly_work_hours!$H:$H,'FTE 계산'!I$2)) - (SUMIFS(monthly_work_hours!$L:$L,monthly_work_hours!$A:$A,'FTE 계산'!$A164,monthly_work_hours!$H:$H,'FTE 계산'!I$2))</f>
        <v>8</v>
      </c>
      <c r="J164">
        <f>(SUMIFS(monthly_work_hours!$I:$I,monthly_work_hours!$A:$A,'FTE 계산'!$A164,monthly_work_hours!$H:$H,'FTE 계산'!J$2)) - (SUMIFS(monthly_work_hours!$L:$L,monthly_work_hours!$A:$A,'FTE 계산'!$A164,monthly_work_hours!$H:$H,'FTE 계산'!J$2))</f>
        <v>0</v>
      </c>
    </row>
    <row r="165" spans="1:10" x14ac:dyDescent="0.45">
      <c r="A165">
        <v>1223025</v>
      </c>
      <c r="B165" t="str">
        <f>_xlfn.XLOOKUP(A165,monthly_work_hours!A:A,monthly_work_hours!B:B)</f>
        <v>김현진</v>
      </c>
      <c r="C165" t="str">
        <f>_xlfn.XLOOKUP(A165,monthly_work_hours!A:A,monthly_work_hours!E:E)</f>
        <v>성능개발팀</v>
      </c>
      <c r="D165" t="str">
        <f>_xlfn.XLOOKUP(A165,monthly_work_hours!A:A,monthly_work_hours!F:F)</f>
        <v>사원</v>
      </c>
      <c r="E165">
        <f>SUMIFS(monthly_work_hours!$M:$M,monthly_work_hours!$A:$A,'FTE 계산'!$A165,monthly_work_hours!$H:$H,'FTE 계산'!E$2)</f>
        <v>113.4</v>
      </c>
      <c r="F165">
        <f>SUMIFS(monthly_work_hours!$M:$M,monthly_work_hours!$A:$A,'FTE 계산'!$A165,monthly_work_hours!$H:$H,'FTE 계산'!F$2)</f>
        <v>83.4</v>
      </c>
      <c r="G165">
        <f>SUMIFS(monthly_work_hours!$M:$M,monthly_work_hours!$A:$A,'FTE 계산'!$A165,monthly_work_hours!$H:$H,'FTE 계산'!G$2)</f>
        <v>32.799999999999997</v>
      </c>
      <c r="H165">
        <f>(SUMIFS(monthly_work_hours!$I:$I,monthly_work_hours!$A:$A,'FTE 계산'!$A165,monthly_work_hours!$H:$H,'FTE 계산'!H$2)) - (SUMIFS(monthly_work_hours!$L:$L,monthly_work_hours!$A:$A,'FTE 계산'!$A165,monthly_work_hours!$H:$H,'FTE 계산'!H$2))</f>
        <v>12</v>
      </c>
      <c r="I165">
        <f>(SUMIFS(monthly_work_hours!$I:$I,monthly_work_hours!$A:$A,'FTE 계산'!$A165,monthly_work_hours!$H:$H,'FTE 계산'!I$2)) - (SUMIFS(monthly_work_hours!$L:$L,monthly_work_hours!$A:$A,'FTE 계산'!$A165,monthly_work_hours!$H:$H,'FTE 계산'!I$2))</f>
        <v>10</v>
      </c>
      <c r="J165">
        <f>(SUMIFS(monthly_work_hours!$I:$I,monthly_work_hours!$A:$A,'FTE 계산'!$A165,monthly_work_hours!$H:$H,'FTE 계산'!J$2)) - (SUMIFS(monthly_work_hours!$L:$L,monthly_work_hours!$A:$A,'FTE 계산'!$A165,monthly_work_hours!$H:$H,'FTE 계산'!J$2))</f>
        <v>4</v>
      </c>
    </row>
    <row r="166" spans="1:10" x14ac:dyDescent="0.45">
      <c r="A166">
        <v>1223029</v>
      </c>
      <c r="B166" t="str">
        <f>_xlfn.XLOOKUP(A166,monthly_work_hours!A:A,monthly_work_hours!B:B)</f>
        <v>백지연</v>
      </c>
      <c r="C166" t="str">
        <f>_xlfn.XLOOKUP(A166,monthly_work_hours!A:A,monthly_work_hours!E:E)</f>
        <v>FL설계팀</v>
      </c>
      <c r="D166" t="str">
        <f>_xlfn.XLOOKUP(A166,monthly_work_hours!A:A,monthly_work_hours!F:F)</f>
        <v>사원</v>
      </c>
      <c r="E166">
        <f>SUMIFS(monthly_work_hours!$M:$M,monthly_work_hours!$A:$A,'FTE 계산'!$A166,monthly_work_hours!$H:$H,'FTE 계산'!E$2)</f>
        <v>172.5</v>
      </c>
      <c r="F166">
        <f>SUMIFS(monthly_work_hours!$M:$M,monthly_work_hours!$A:$A,'FTE 계산'!$A166,monthly_work_hours!$H:$H,'FTE 계산'!F$2)</f>
        <v>171.2</v>
      </c>
      <c r="G166">
        <f>SUMIFS(monthly_work_hours!$M:$M,monthly_work_hours!$A:$A,'FTE 계산'!$A166,monthly_work_hours!$H:$H,'FTE 계산'!G$2)</f>
        <v>131.19999999999999</v>
      </c>
      <c r="H166">
        <f>(SUMIFS(monthly_work_hours!$I:$I,monthly_work_hours!$A:$A,'FTE 계산'!$A166,monthly_work_hours!$H:$H,'FTE 계산'!H$2)) - (SUMIFS(monthly_work_hours!$L:$L,monthly_work_hours!$A:$A,'FTE 계산'!$A166,monthly_work_hours!$H:$H,'FTE 계산'!H$2))</f>
        <v>19</v>
      </c>
      <c r="I166">
        <f>(SUMIFS(monthly_work_hours!$I:$I,monthly_work_hours!$A:$A,'FTE 계산'!$A166,monthly_work_hours!$H:$H,'FTE 계산'!I$2)) - (SUMIFS(monthly_work_hours!$L:$L,monthly_work_hours!$A:$A,'FTE 계산'!$A166,monthly_work_hours!$H:$H,'FTE 계산'!I$2))</f>
        <v>18</v>
      </c>
      <c r="J166">
        <f>(SUMIFS(monthly_work_hours!$I:$I,monthly_work_hours!$A:$A,'FTE 계산'!$A166,monthly_work_hours!$H:$H,'FTE 계산'!J$2)) - (SUMIFS(monthly_work_hours!$L:$L,monthly_work_hours!$A:$A,'FTE 계산'!$A166,monthly_work_hours!$H:$H,'FTE 계산'!J$2))</f>
        <v>15</v>
      </c>
    </row>
    <row r="167" spans="1:10" x14ac:dyDescent="0.45">
      <c r="A167">
        <v>1223031</v>
      </c>
      <c r="B167" t="str">
        <f>_xlfn.XLOOKUP(A167,monthly_work_hours!A:A,monthly_work_hours!B:B)</f>
        <v>심훈섭</v>
      </c>
      <c r="C167" t="str">
        <f>_xlfn.XLOOKUP(A167,monthly_work_hours!A:A,monthly_work_hours!E:E)</f>
        <v>SL개발팀</v>
      </c>
      <c r="D167" t="str">
        <f>_xlfn.XLOOKUP(A167,monthly_work_hours!A:A,monthly_work_hours!F:F)</f>
        <v>선임</v>
      </c>
      <c r="E167">
        <f>SUMIFS(monthly_work_hours!$M:$M,monthly_work_hours!$A:$A,'FTE 계산'!$A167,monthly_work_hours!$H:$H,'FTE 계산'!E$2)</f>
        <v>107.8</v>
      </c>
      <c r="F167">
        <f>SUMIFS(monthly_work_hours!$M:$M,monthly_work_hours!$A:$A,'FTE 계산'!$A167,monthly_work_hours!$H:$H,'FTE 계산'!F$2)</f>
        <v>177.5</v>
      </c>
      <c r="G167">
        <f>SUMIFS(monthly_work_hours!$M:$M,monthly_work_hours!$A:$A,'FTE 계산'!$A167,monthly_work_hours!$H:$H,'FTE 계산'!G$2)</f>
        <v>130.9</v>
      </c>
      <c r="H167">
        <f>(SUMIFS(monthly_work_hours!$I:$I,monthly_work_hours!$A:$A,'FTE 계산'!$A167,monthly_work_hours!$H:$H,'FTE 계산'!H$2)) - (SUMIFS(monthly_work_hours!$L:$L,monthly_work_hours!$A:$A,'FTE 계산'!$A167,monthly_work_hours!$H:$H,'FTE 계산'!H$2))</f>
        <v>12</v>
      </c>
      <c r="I167">
        <f>(SUMIFS(monthly_work_hours!$I:$I,monthly_work_hours!$A:$A,'FTE 계산'!$A167,monthly_work_hours!$H:$H,'FTE 계산'!I$2)) - (SUMIFS(monthly_work_hours!$L:$L,monthly_work_hours!$A:$A,'FTE 계산'!$A167,monthly_work_hours!$H:$H,'FTE 계산'!I$2))</f>
        <v>19</v>
      </c>
      <c r="J167">
        <f>(SUMIFS(monthly_work_hours!$I:$I,monthly_work_hours!$A:$A,'FTE 계산'!$A167,monthly_work_hours!$H:$H,'FTE 계산'!J$2)) - (SUMIFS(monthly_work_hours!$L:$L,monthly_work_hours!$A:$A,'FTE 계산'!$A167,monthly_work_hours!$H:$H,'FTE 계산'!J$2))</f>
        <v>15</v>
      </c>
    </row>
    <row r="168" spans="1:10" x14ac:dyDescent="0.45">
      <c r="A168">
        <v>1223032</v>
      </c>
      <c r="B168" t="str">
        <f>_xlfn.XLOOKUP(A168,monthly_work_hours!A:A,monthly_work_hours!B:B)</f>
        <v>박진표</v>
      </c>
      <c r="C168" t="str">
        <f>_xlfn.XLOOKUP(A168,monthly_work_hours!A:A,monthly_work_hours!E:E)</f>
        <v>SL품질보증팀</v>
      </c>
      <c r="D168" t="str">
        <f>_xlfn.XLOOKUP(A168,monthly_work_hours!A:A,monthly_work_hours!F:F)</f>
        <v>선임</v>
      </c>
      <c r="E168">
        <f>SUMIFS(monthly_work_hours!$M:$M,monthly_work_hours!$A:$A,'FTE 계산'!$A168,monthly_work_hours!$H:$H,'FTE 계산'!E$2)</f>
        <v>104.9</v>
      </c>
      <c r="F168">
        <f>SUMIFS(monthly_work_hours!$M:$M,monthly_work_hours!$A:$A,'FTE 계산'!$A168,monthly_work_hours!$H:$H,'FTE 계산'!F$2)</f>
        <v>88.5</v>
      </c>
      <c r="G168">
        <f>SUMIFS(monthly_work_hours!$M:$M,monthly_work_hours!$A:$A,'FTE 계산'!$A168,monthly_work_hours!$H:$H,'FTE 계산'!G$2)</f>
        <v>97.5</v>
      </c>
      <c r="H168">
        <f>(SUMIFS(monthly_work_hours!$I:$I,monthly_work_hours!$A:$A,'FTE 계산'!$A168,monthly_work_hours!$H:$H,'FTE 계산'!H$2)) - (SUMIFS(monthly_work_hours!$L:$L,monthly_work_hours!$A:$A,'FTE 계산'!$A168,monthly_work_hours!$H:$H,'FTE 계산'!H$2))</f>
        <v>14</v>
      </c>
      <c r="I168">
        <f>(SUMIFS(monthly_work_hours!$I:$I,monthly_work_hours!$A:$A,'FTE 계산'!$A168,monthly_work_hours!$H:$H,'FTE 계산'!I$2)) - (SUMIFS(monthly_work_hours!$L:$L,monthly_work_hours!$A:$A,'FTE 계산'!$A168,monthly_work_hours!$H:$H,'FTE 계산'!I$2))</f>
        <v>13</v>
      </c>
      <c r="J168">
        <f>(SUMIFS(monthly_work_hours!$I:$I,monthly_work_hours!$A:$A,'FTE 계산'!$A168,monthly_work_hours!$H:$H,'FTE 계산'!J$2)) - (SUMIFS(monthly_work_hours!$L:$L,monthly_work_hours!$A:$A,'FTE 계산'!$A168,monthly_work_hours!$H:$H,'FTE 계산'!J$2))</f>
        <v>14</v>
      </c>
    </row>
    <row r="169" spans="1:10" x14ac:dyDescent="0.45">
      <c r="A169">
        <v>1223033</v>
      </c>
      <c r="B169" t="str">
        <f>_xlfn.XLOOKUP(A169,monthly_work_hours!A:A,monthly_work_hours!B:B)</f>
        <v>김태훈</v>
      </c>
      <c r="C169" t="str">
        <f>_xlfn.XLOOKUP(A169,monthly_work_hours!A:A,monthly_work_hours!E:E)</f>
        <v>FL개발팀</v>
      </c>
      <c r="D169" t="str">
        <f>_xlfn.XLOOKUP(A169,monthly_work_hours!A:A,monthly_work_hours!F:F)</f>
        <v>선임</v>
      </c>
      <c r="E169">
        <f>SUMIFS(monthly_work_hours!$M:$M,monthly_work_hours!$A:$A,'FTE 계산'!$A169,monthly_work_hours!$H:$H,'FTE 계산'!E$2)</f>
        <v>171</v>
      </c>
      <c r="F169">
        <f>SUMIFS(monthly_work_hours!$M:$M,monthly_work_hours!$A:$A,'FTE 계산'!$A169,monthly_work_hours!$H:$H,'FTE 계산'!F$2)</f>
        <v>132.4</v>
      </c>
      <c r="G169">
        <f>SUMIFS(monthly_work_hours!$M:$M,monthly_work_hours!$A:$A,'FTE 계산'!$A169,monthly_work_hours!$H:$H,'FTE 계산'!G$2)</f>
        <v>167</v>
      </c>
      <c r="H169">
        <f>(SUMIFS(monthly_work_hours!$I:$I,monthly_work_hours!$A:$A,'FTE 계산'!$A169,monthly_work_hours!$H:$H,'FTE 계산'!H$2)) - (SUMIFS(monthly_work_hours!$L:$L,monthly_work_hours!$A:$A,'FTE 계산'!$A169,monthly_work_hours!$H:$H,'FTE 계산'!H$2))</f>
        <v>18</v>
      </c>
      <c r="I169">
        <f>(SUMIFS(monthly_work_hours!$I:$I,monthly_work_hours!$A:$A,'FTE 계산'!$A169,monthly_work_hours!$H:$H,'FTE 계산'!I$2)) - (SUMIFS(monthly_work_hours!$L:$L,monthly_work_hours!$A:$A,'FTE 계산'!$A169,monthly_work_hours!$H:$H,'FTE 계산'!I$2))</f>
        <v>14</v>
      </c>
      <c r="J169">
        <f>(SUMIFS(monthly_work_hours!$I:$I,monthly_work_hours!$A:$A,'FTE 계산'!$A169,monthly_work_hours!$H:$H,'FTE 계산'!J$2)) - (SUMIFS(monthly_work_hours!$L:$L,monthly_work_hours!$A:$A,'FTE 계산'!$A169,monthly_work_hours!$H:$H,'FTE 계산'!J$2))</f>
        <v>16</v>
      </c>
    </row>
    <row r="170" spans="1:10" x14ac:dyDescent="0.45">
      <c r="A170">
        <v>1223034</v>
      </c>
      <c r="B170" t="str">
        <f>_xlfn.XLOOKUP(A170,monthly_work_hours!A:A,monthly_work_hours!B:B)</f>
        <v>김동우</v>
      </c>
      <c r="C170" t="str">
        <f>_xlfn.XLOOKUP(A170,monthly_work_hours!A:A,monthly_work_hours!E:E)</f>
        <v>SCM팀</v>
      </c>
      <c r="D170" t="str">
        <f>_xlfn.XLOOKUP(A170,monthly_work_hours!A:A,monthly_work_hours!F:F)</f>
        <v>선임</v>
      </c>
      <c r="E170">
        <f>SUMIFS(monthly_work_hours!$M:$M,monthly_work_hours!$A:$A,'FTE 계산'!$A170,monthly_work_hours!$H:$H,'FTE 계산'!E$2)</f>
        <v>185.9</v>
      </c>
      <c r="F170">
        <f>SUMIFS(monthly_work_hours!$M:$M,monthly_work_hours!$A:$A,'FTE 계산'!$A170,monthly_work_hours!$H:$H,'FTE 계산'!F$2)</f>
        <v>203.6</v>
      </c>
      <c r="G170">
        <f>SUMIFS(monthly_work_hours!$M:$M,monthly_work_hours!$A:$A,'FTE 계산'!$A170,monthly_work_hours!$H:$H,'FTE 계산'!G$2)</f>
        <v>158.80000000000001</v>
      </c>
      <c r="H170">
        <f>(SUMIFS(monthly_work_hours!$I:$I,monthly_work_hours!$A:$A,'FTE 계산'!$A170,monthly_work_hours!$H:$H,'FTE 계산'!H$2)) - (SUMIFS(monthly_work_hours!$L:$L,monthly_work_hours!$A:$A,'FTE 계산'!$A170,monthly_work_hours!$H:$H,'FTE 계산'!H$2))</f>
        <v>18</v>
      </c>
      <c r="I170">
        <f>(SUMIFS(monthly_work_hours!$I:$I,monthly_work_hours!$A:$A,'FTE 계산'!$A170,monthly_work_hours!$H:$H,'FTE 계산'!I$2)) - (SUMIFS(monthly_work_hours!$L:$L,monthly_work_hours!$A:$A,'FTE 계산'!$A170,monthly_work_hours!$H:$H,'FTE 계산'!I$2))</f>
        <v>21</v>
      </c>
      <c r="J170">
        <f>(SUMIFS(monthly_work_hours!$I:$I,monthly_work_hours!$A:$A,'FTE 계산'!$A170,monthly_work_hours!$H:$H,'FTE 계산'!J$2)) - (SUMIFS(monthly_work_hours!$L:$L,monthly_work_hours!$A:$A,'FTE 계산'!$A170,monthly_work_hours!$H:$H,'FTE 계산'!J$2))</f>
        <v>15</v>
      </c>
    </row>
    <row r="171" spans="1:10" x14ac:dyDescent="0.45">
      <c r="A171">
        <v>1223035</v>
      </c>
      <c r="B171" t="str">
        <f>_xlfn.XLOOKUP(A171,monthly_work_hours!A:A,monthly_work_hours!B:B)</f>
        <v>김만호</v>
      </c>
      <c r="C171" t="str">
        <f>_xlfn.XLOOKUP(A171,monthly_work_hours!A:A,monthly_work_hours!E:E)</f>
        <v>공정혁신팀</v>
      </c>
      <c r="D171" t="str">
        <f>_xlfn.XLOOKUP(A171,monthly_work_hours!A:A,monthly_work_hours!F:F)</f>
        <v>선임</v>
      </c>
      <c r="E171">
        <f>SUMIFS(monthly_work_hours!$M:$M,monthly_work_hours!$A:$A,'FTE 계산'!$A171,monthly_work_hours!$H:$H,'FTE 계산'!E$2)</f>
        <v>166.5</v>
      </c>
      <c r="F171">
        <f>SUMIFS(monthly_work_hours!$M:$M,monthly_work_hours!$A:$A,'FTE 계산'!$A171,monthly_work_hours!$H:$H,'FTE 계산'!F$2)</f>
        <v>212.8</v>
      </c>
      <c r="G171">
        <f>SUMIFS(monthly_work_hours!$M:$M,monthly_work_hours!$A:$A,'FTE 계산'!$A171,monthly_work_hours!$H:$H,'FTE 계산'!G$2)</f>
        <v>137.5</v>
      </c>
      <c r="H171">
        <f>(SUMIFS(monthly_work_hours!$I:$I,monthly_work_hours!$A:$A,'FTE 계산'!$A171,monthly_work_hours!$H:$H,'FTE 계산'!H$2)) - (SUMIFS(monthly_work_hours!$L:$L,monthly_work_hours!$A:$A,'FTE 계산'!$A171,monthly_work_hours!$H:$H,'FTE 계산'!H$2))</f>
        <v>17</v>
      </c>
      <c r="I171">
        <f>(SUMIFS(monthly_work_hours!$I:$I,monthly_work_hours!$A:$A,'FTE 계산'!$A171,monthly_work_hours!$H:$H,'FTE 계산'!I$2)) - (SUMIFS(monthly_work_hours!$L:$L,monthly_work_hours!$A:$A,'FTE 계산'!$A171,monthly_work_hours!$H:$H,'FTE 계산'!I$2))</f>
        <v>19</v>
      </c>
      <c r="J171">
        <f>(SUMIFS(monthly_work_hours!$I:$I,monthly_work_hours!$A:$A,'FTE 계산'!$A171,monthly_work_hours!$H:$H,'FTE 계산'!J$2)) - (SUMIFS(monthly_work_hours!$L:$L,monthly_work_hours!$A:$A,'FTE 계산'!$A171,monthly_work_hours!$H:$H,'FTE 계산'!J$2))</f>
        <v>15</v>
      </c>
    </row>
    <row r="172" spans="1:10" x14ac:dyDescent="0.45">
      <c r="A172">
        <v>1223037</v>
      </c>
      <c r="B172" t="str">
        <f>_xlfn.XLOOKUP(A172,monthly_work_hours!A:A,monthly_work_hours!B:B)</f>
        <v>서갑진</v>
      </c>
      <c r="C172" t="str">
        <f>_xlfn.XLOOKUP(A172,monthly_work_hours!A:A,monthly_work_hours!E:E)</f>
        <v>경영지원팀</v>
      </c>
      <c r="D172" t="str">
        <f>_xlfn.XLOOKUP(A172,monthly_work_hours!A:A,monthly_work_hours!F:F)</f>
        <v>책임</v>
      </c>
      <c r="E172">
        <f>SUMIFS(monthly_work_hours!$M:$M,monthly_work_hours!$A:$A,'FTE 계산'!$A172,monthly_work_hours!$H:$H,'FTE 계산'!E$2)</f>
        <v>178.3</v>
      </c>
      <c r="F172">
        <f>SUMIFS(monthly_work_hours!$M:$M,monthly_work_hours!$A:$A,'FTE 계산'!$A172,monthly_work_hours!$H:$H,'FTE 계산'!F$2)</f>
        <v>173.8</v>
      </c>
      <c r="G172">
        <f>SUMIFS(monthly_work_hours!$M:$M,monthly_work_hours!$A:$A,'FTE 계산'!$A172,monthly_work_hours!$H:$H,'FTE 계산'!G$2)</f>
        <v>151.9</v>
      </c>
      <c r="H172">
        <f>(SUMIFS(monthly_work_hours!$I:$I,monthly_work_hours!$A:$A,'FTE 계산'!$A172,monthly_work_hours!$H:$H,'FTE 계산'!H$2)) - (SUMIFS(monthly_work_hours!$L:$L,monthly_work_hours!$A:$A,'FTE 계산'!$A172,monthly_work_hours!$H:$H,'FTE 계산'!H$2))</f>
        <v>19</v>
      </c>
      <c r="I172">
        <f>(SUMIFS(monthly_work_hours!$I:$I,monthly_work_hours!$A:$A,'FTE 계산'!$A172,monthly_work_hours!$H:$H,'FTE 계산'!I$2)) - (SUMIFS(monthly_work_hours!$L:$L,monthly_work_hours!$A:$A,'FTE 계산'!$A172,monthly_work_hours!$H:$H,'FTE 계산'!I$2))</f>
        <v>21</v>
      </c>
      <c r="J172">
        <f>(SUMIFS(monthly_work_hours!$I:$I,monthly_work_hours!$A:$A,'FTE 계산'!$A172,monthly_work_hours!$H:$H,'FTE 계산'!J$2)) - (SUMIFS(monthly_work_hours!$L:$L,monthly_work_hours!$A:$A,'FTE 계산'!$A172,monthly_work_hours!$H:$H,'FTE 계산'!J$2))</f>
        <v>16</v>
      </c>
    </row>
    <row r="173" spans="1:10" x14ac:dyDescent="0.45">
      <c r="A173">
        <v>1223044</v>
      </c>
      <c r="B173" t="str">
        <f>_xlfn.XLOOKUP(A173,monthly_work_hours!A:A,monthly_work_hours!B:B)</f>
        <v>임다혜</v>
      </c>
      <c r="C173" t="str">
        <f>_xlfn.XLOOKUP(A173,monthly_work_hours!A:A,monthly_work_hours!E:E)</f>
        <v>경영지원팀</v>
      </c>
      <c r="D173" t="str">
        <f>_xlfn.XLOOKUP(A173,monthly_work_hours!A:A,monthly_work_hours!F:F)</f>
        <v>선임</v>
      </c>
      <c r="E173">
        <f>SUMIFS(monthly_work_hours!$M:$M,monthly_work_hours!$A:$A,'FTE 계산'!$A173,monthly_work_hours!$H:$H,'FTE 계산'!E$2)</f>
        <v>155.9</v>
      </c>
      <c r="F173">
        <f>SUMIFS(monthly_work_hours!$M:$M,monthly_work_hours!$A:$A,'FTE 계산'!$A173,monthly_work_hours!$H:$H,'FTE 계산'!F$2)</f>
        <v>199.5</v>
      </c>
      <c r="G173">
        <f>SUMIFS(monthly_work_hours!$M:$M,monthly_work_hours!$A:$A,'FTE 계산'!$A173,monthly_work_hours!$H:$H,'FTE 계산'!G$2)</f>
        <v>145.30000000000001</v>
      </c>
      <c r="H173">
        <f>(SUMIFS(monthly_work_hours!$I:$I,monthly_work_hours!$A:$A,'FTE 계산'!$A173,monthly_work_hours!$H:$H,'FTE 계산'!H$2)) - (SUMIFS(monthly_work_hours!$L:$L,monthly_work_hours!$A:$A,'FTE 계산'!$A173,monthly_work_hours!$H:$H,'FTE 계산'!H$2))</f>
        <v>14</v>
      </c>
      <c r="I173">
        <f>(SUMIFS(monthly_work_hours!$I:$I,monthly_work_hours!$A:$A,'FTE 계산'!$A173,monthly_work_hours!$H:$H,'FTE 계산'!I$2)) - (SUMIFS(monthly_work_hours!$L:$L,monthly_work_hours!$A:$A,'FTE 계산'!$A173,monthly_work_hours!$H:$H,'FTE 계산'!I$2))</f>
        <v>19</v>
      </c>
      <c r="J173">
        <f>(SUMIFS(monthly_work_hours!$I:$I,monthly_work_hours!$A:$A,'FTE 계산'!$A173,monthly_work_hours!$H:$H,'FTE 계산'!J$2)) - (SUMIFS(monthly_work_hours!$L:$L,monthly_work_hours!$A:$A,'FTE 계산'!$A173,monthly_work_hours!$H:$H,'FTE 계산'!J$2))</f>
        <v>17</v>
      </c>
    </row>
    <row r="174" spans="1:10" x14ac:dyDescent="0.45">
      <c r="A174">
        <v>1223045</v>
      </c>
      <c r="B174" t="str">
        <f>_xlfn.XLOOKUP(A174,monthly_work_hours!A:A,monthly_work_hours!B:B)</f>
        <v>부성원</v>
      </c>
      <c r="C174" t="str">
        <f>_xlfn.XLOOKUP(A174,monthly_work_hours!A:A,monthly_work_hours!E:E)</f>
        <v>FL품질보증팀</v>
      </c>
      <c r="D174" t="str">
        <f>_xlfn.XLOOKUP(A174,monthly_work_hours!A:A,monthly_work_hours!F:F)</f>
        <v>선임</v>
      </c>
      <c r="E174">
        <f>SUMIFS(monthly_work_hours!$M:$M,monthly_work_hours!$A:$A,'FTE 계산'!$A174,monthly_work_hours!$H:$H,'FTE 계산'!E$2)</f>
        <v>140.1</v>
      </c>
      <c r="F174">
        <f>SUMIFS(monthly_work_hours!$M:$M,monthly_work_hours!$A:$A,'FTE 계산'!$A174,monthly_work_hours!$H:$H,'FTE 계산'!F$2)</f>
        <v>154.19999999999999</v>
      </c>
      <c r="G174">
        <f>SUMIFS(monthly_work_hours!$M:$M,monthly_work_hours!$A:$A,'FTE 계산'!$A174,monthly_work_hours!$H:$H,'FTE 계산'!G$2)</f>
        <v>138.5</v>
      </c>
      <c r="H174">
        <f>(SUMIFS(monthly_work_hours!$I:$I,monthly_work_hours!$A:$A,'FTE 계산'!$A174,monthly_work_hours!$H:$H,'FTE 계산'!H$2)) - (SUMIFS(monthly_work_hours!$L:$L,monthly_work_hours!$A:$A,'FTE 계산'!$A174,monthly_work_hours!$H:$H,'FTE 계산'!H$2))</f>
        <v>16</v>
      </c>
      <c r="I174">
        <f>(SUMIFS(monthly_work_hours!$I:$I,monthly_work_hours!$A:$A,'FTE 계산'!$A174,monthly_work_hours!$H:$H,'FTE 계산'!I$2)) - (SUMIFS(monthly_work_hours!$L:$L,monthly_work_hours!$A:$A,'FTE 계산'!$A174,monthly_work_hours!$H:$H,'FTE 계산'!I$2))</f>
        <v>18</v>
      </c>
      <c r="J174">
        <f>(SUMIFS(monthly_work_hours!$I:$I,monthly_work_hours!$A:$A,'FTE 계산'!$A174,monthly_work_hours!$H:$H,'FTE 계산'!J$2)) - (SUMIFS(monthly_work_hours!$L:$L,monthly_work_hours!$A:$A,'FTE 계산'!$A174,monthly_work_hours!$H:$H,'FTE 계산'!J$2))</f>
        <v>17</v>
      </c>
    </row>
    <row r="175" spans="1:10" x14ac:dyDescent="0.45">
      <c r="A175">
        <v>1223050</v>
      </c>
      <c r="B175" t="str">
        <f>_xlfn.XLOOKUP(A175,monthly_work_hours!A:A,monthly_work_hours!B:B)</f>
        <v>박진형</v>
      </c>
      <c r="C175" t="str">
        <f>_xlfn.XLOOKUP(A175,monthly_work_hours!A:A,monthly_work_hours!E:E)</f>
        <v>SCM팀</v>
      </c>
      <c r="D175" t="str">
        <f>_xlfn.XLOOKUP(A175,monthly_work_hours!A:A,monthly_work_hours!F:F)</f>
        <v>책임</v>
      </c>
      <c r="E175">
        <f>SUMIFS(monthly_work_hours!$M:$M,monthly_work_hours!$A:$A,'FTE 계산'!$A175,monthly_work_hours!$H:$H,'FTE 계산'!E$2)</f>
        <v>187</v>
      </c>
      <c r="F175">
        <f>SUMIFS(monthly_work_hours!$M:$M,monthly_work_hours!$A:$A,'FTE 계산'!$A175,monthly_work_hours!$H:$H,'FTE 계산'!F$2)</f>
        <v>203.5</v>
      </c>
      <c r="G175">
        <f>SUMIFS(monthly_work_hours!$M:$M,monthly_work_hours!$A:$A,'FTE 계산'!$A175,monthly_work_hours!$H:$H,'FTE 계산'!G$2)</f>
        <v>161.4</v>
      </c>
      <c r="H175">
        <f>(SUMIFS(monthly_work_hours!$I:$I,monthly_work_hours!$A:$A,'FTE 계산'!$A175,monthly_work_hours!$H:$H,'FTE 계산'!H$2)) - (SUMIFS(monthly_work_hours!$L:$L,monthly_work_hours!$A:$A,'FTE 계산'!$A175,monthly_work_hours!$H:$H,'FTE 계산'!H$2))</f>
        <v>18</v>
      </c>
      <c r="I175">
        <f>(SUMIFS(monthly_work_hours!$I:$I,monthly_work_hours!$A:$A,'FTE 계산'!$A175,monthly_work_hours!$H:$H,'FTE 계산'!I$2)) - (SUMIFS(monthly_work_hours!$L:$L,monthly_work_hours!$A:$A,'FTE 계산'!$A175,monthly_work_hours!$H:$H,'FTE 계산'!I$2))</f>
        <v>19</v>
      </c>
      <c r="J175">
        <f>(SUMIFS(monthly_work_hours!$I:$I,monthly_work_hours!$A:$A,'FTE 계산'!$A175,monthly_work_hours!$H:$H,'FTE 계산'!J$2)) - (SUMIFS(monthly_work_hours!$L:$L,monthly_work_hours!$A:$A,'FTE 계산'!$A175,monthly_work_hours!$H:$H,'FTE 계산'!J$2))</f>
        <v>16</v>
      </c>
    </row>
    <row r="176" spans="1:10" x14ac:dyDescent="0.45">
      <c r="A176">
        <v>1223053</v>
      </c>
      <c r="B176" t="str">
        <f>_xlfn.XLOOKUP(A176,monthly_work_hours!A:A,monthly_work_hours!B:B)</f>
        <v>이채림</v>
      </c>
      <c r="C176" t="str">
        <f>_xlfn.XLOOKUP(A176,monthly_work_hours!A:A,monthly_work_hours!E:E)</f>
        <v>ESG팀</v>
      </c>
      <c r="D176" t="str">
        <f>_xlfn.XLOOKUP(A176,monthly_work_hours!A:A,monthly_work_hours!F:F)</f>
        <v>사원</v>
      </c>
      <c r="E176">
        <f>SUMIFS(monthly_work_hours!$M:$M,monthly_work_hours!$A:$A,'FTE 계산'!$A176,monthly_work_hours!$H:$H,'FTE 계산'!E$2)</f>
        <v>197.2</v>
      </c>
      <c r="F176">
        <f>SUMIFS(monthly_work_hours!$M:$M,monthly_work_hours!$A:$A,'FTE 계산'!$A176,monthly_work_hours!$H:$H,'FTE 계산'!F$2)</f>
        <v>151.19999999999999</v>
      </c>
      <c r="G176">
        <f>SUMIFS(monthly_work_hours!$M:$M,monthly_work_hours!$A:$A,'FTE 계산'!$A176,monthly_work_hours!$H:$H,'FTE 계산'!G$2)</f>
        <v>144.9</v>
      </c>
      <c r="H176">
        <f>(SUMIFS(monthly_work_hours!$I:$I,monthly_work_hours!$A:$A,'FTE 계산'!$A176,monthly_work_hours!$H:$H,'FTE 계산'!H$2)) - (SUMIFS(monthly_work_hours!$L:$L,monthly_work_hours!$A:$A,'FTE 계산'!$A176,monthly_work_hours!$H:$H,'FTE 계산'!H$2))</f>
        <v>19</v>
      </c>
      <c r="I176">
        <f>(SUMIFS(monthly_work_hours!$I:$I,monthly_work_hours!$A:$A,'FTE 계산'!$A176,monthly_work_hours!$H:$H,'FTE 계산'!I$2)) - (SUMIFS(monthly_work_hours!$L:$L,monthly_work_hours!$A:$A,'FTE 계산'!$A176,monthly_work_hours!$H:$H,'FTE 계산'!I$2))</f>
        <v>17</v>
      </c>
      <c r="J176">
        <f>(SUMIFS(monthly_work_hours!$I:$I,monthly_work_hours!$A:$A,'FTE 계산'!$A176,monthly_work_hours!$H:$H,'FTE 계산'!J$2)) - (SUMIFS(monthly_work_hours!$L:$L,monthly_work_hours!$A:$A,'FTE 계산'!$A176,monthly_work_hours!$H:$H,'FTE 계산'!J$2))</f>
        <v>16</v>
      </c>
    </row>
    <row r="177" spans="1:10" x14ac:dyDescent="0.45">
      <c r="A177">
        <v>1223061</v>
      </c>
      <c r="B177" t="str">
        <f>_xlfn.XLOOKUP(A177,monthly_work_hours!A:A,monthly_work_hours!B:B)</f>
        <v>이현수</v>
      </c>
      <c r="C177" t="str">
        <f>_xlfn.XLOOKUP(A177,monthly_work_hours!A:A,monthly_work_hours!E:E)</f>
        <v>경영지원팀</v>
      </c>
      <c r="D177" t="str">
        <f>_xlfn.XLOOKUP(A177,monthly_work_hours!A:A,monthly_work_hours!F:F)</f>
        <v>사원</v>
      </c>
      <c r="E177">
        <f>SUMIFS(monthly_work_hours!$M:$M,monthly_work_hours!$A:$A,'FTE 계산'!$A177,monthly_work_hours!$H:$H,'FTE 계산'!E$2)</f>
        <v>291.89999999999998</v>
      </c>
      <c r="F177">
        <f>SUMIFS(monthly_work_hours!$M:$M,monthly_work_hours!$A:$A,'FTE 계산'!$A177,monthly_work_hours!$H:$H,'FTE 계산'!F$2)</f>
        <v>240.2</v>
      </c>
      <c r="G177">
        <f>SUMIFS(monthly_work_hours!$M:$M,monthly_work_hours!$A:$A,'FTE 계산'!$A177,monthly_work_hours!$H:$H,'FTE 계산'!G$2)</f>
        <v>152.4</v>
      </c>
      <c r="H177">
        <f>(SUMIFS(monthly_work_hours!$I:$I,monthly_work_hours!$A:$A,'FTE 계산'!$A177,monthly_work_hours!$H:$H,'FTE 계산'!H$2)) - (SUMIFS(monthly_work_hours!$L:$L,monthly_work_hours!$A:$A,'FTE 계산'!$A177,monthly_work_hours!$H:$H,'FTE 계산'!H$2))</f>
        <v>18</v>
      </c>
      <c r="I177">
        <f>(SUMIFS(monthly_work_hours!$I:$I,monthly_work_hours!$A:$A,'FTE 계산'!$A177,monthly_work_hours!$H:$H,'FTE 계산'!I$2)) - (SUMIFS(monthly_work_hours!$L:$L,monthly_work_hours!$A:$A,'FTE 계산'!$A177,monthly_work_hours!$H:$H,'FTE 계산'!I$2))</f>
        <v>21</v>
      </c>
      <c r="J177">
        <f>(SUMIFS(monthly_work_hours!$I:$I,monthly_work_hours!$A:$A,'FTE 계산'!$A177,monthly_work_hours!$H:$H,'FTE 계산'!J$2)) - (SUMIFS(monthly_work_hours!$L:$L,monthly_work_hours!$A:$A,'FTE 계산'!$A177,monthly_work_hours!$H:$H,'FTE 계산'!J$2))</f>
        <v>12</v>
      </c>
    </row>
    <row r="178" spans="1:10" x14ac:dyDescent="0.45">
      <c r="A178">
        <v>1223065</v>
      </c>
      <c r="B178" t="str">
        <f>_xlfn.XLOOKUP(A178,monthly_work_hours!A:A,monthly_work_hours!B:B)</f>
        <v>서정훈</v>
      </c>
      <c r="C178" t="str">
        <f>_xlfn.XLOOKUP(A178,monthly_work_hours!A:A,monthly_work_hours!E:E)</f>
        <v>FL개발팀</v>
      </c>
      <c r="D178" t="str">
        <f>_xlfn.XLOOKUP(A178,monthly_work_hours!A:A,monthly_work_hours!F:F)</f>
        <v>선임</v>
      </c>
      <c r="E178">
        <f>SUMIFS(monthly_work_hours!$M:$M,monthly_work_hours!$A:$A,'FTE 계산'!$A178,monthly_work_hours!$H:$H,'FTE 계산'!E$2)</f>
        <v>148.30000000000001</v>
      </c>
      <c r="F178">
        <f>SUMIFS(monthly_work_hours!$M:$M,monthly_work_hours!$A:$A,'FTE 계산'!$A178,monthly_work_hours!$H:$H,'FTE 계산'!F$2)</f>
        <v>144.69999999999999</v>
      </c>
      <c r="G178">
        <f>SUMIFS(monthly_work_hours!$M:$M,monthly_work_hours!$A:$A,'FTE 계산'!$A178,monthly_work_hours!$H:$H,'FTE 계산'!G$2)</f>
        <v>142.69999999999999</v>
      </c>
      <c r="H178">
        <f>(SUMIFS(monthly_work_hours!$I:$I,monthly_work_hours!$A:$A,'FTE 계산'!$A178,monthly_work_hours!$H:$H,'FTE 계산'!H$2)) - (SUMIFS(monthly_work_hours!$L:$L,monthly_work_hours!$A:$A,'FTE 계산'!$A178,monthly_work_hours!$H:$H,'FTE 계산'!H$2))</f>
        <v>15</v>
      </c>
      <c r="I178">
        <f>(SUMIFS(monthly_work_hours!$I:$I,monthly_work_hours!$A:$A,'FTE 계산'!$A178,monthly_work_hours!$H:$H,'FTE 계산'!I$2)) - (SUMIFS(monthly_work_hours!$L:$L,monthly_work_hours!$A:$A,'FTE 계산'!$A178,monthly_work_hours!$H:$H,'FTE 계산'!I$2))</f>
        <v>16</v>
      </c>
      <c r="J178">
        <f>(SUMIFS(monthly_work_hours!$I:$I,monthly_work_hours!$A:$A,'FTE 계산'!$A178,monthly_work_hours!$H:$H,'FTE 계산'!J$2)) - (SUMIFS(monthly_work_hours!$L:$L,monthly_work_hours!$A:$A,'FTE 계산'!$A178,monthly_work_hours!$H:$H,'FTE 계산'!J$2))</f>
        <v>15</v>
      </c>
    </row>
    <row r="179" spans="1:10" x14ac:dyDescent="0.45">
      <c r="A179">
        <v>1223066</v>
      </c>
      <c r="B179" t="str">
        <f>_xlfn.XLOOKUP(A179,monthly_work_hours!A:A,monthly_work_hours!B:B)</f>
        <v>강권택</v>
      </c>
      <c r="C179" t="str">
        <f>_xlfn.XLOOKUP(A179,monthly_work_hours!A:A,monthly_work_hours!E:E)</f>
        <v>품질경영팀</v>
      </c>
      <c r="D179" t="str">
        <f>_xlfn.XLOOKUP(A179,monthly_work_hours!A:A,monthly_work_hours!F:F)</f>
        <v>선임</v>
      </c>
      <c r="E179">
        <f>SUMIFS(monthly_work_hours!$M:$M,monthly_work_hours!$A:$A,'FTE 계산'!$A179,monthly_work_hours!$H:$H,'FTE 계산'!E$2)</f>
        <v>171.4</v>
      </c>
      <c r="F179">
        <f>SUMIFS(monthly_work_hours!$M:$M,monthly_work_hours!$A:$A,'FTE 계산'!$A179,monthly_work_hours!$H:$H,'FTE 계산'!F$2)</f>
        <v>158.30000000000001</v>
      </c>
      <c r="G179">
        <f>SUMIFS(monthly_work_hours!$M:$M,monthly_work_hours!$A:$A,'FTE 계산'!$A179,monthly_work_hours!$H:$H,'FTE 계산'!G$2)</f>
        <v>126.5</v>
      </c>
      <c r="H179">
        <f>(SUMIFS(monthly_work_hours!$I:$I,monthly_work_hours!$A:$A,'FTE 계산'!$A179,monthly_work_hours!$H:$H,'FTE 계산'!H$2)) - (SUMIFS(monthly_work_hours!$L:$L,monthly_work_hours!$A:$A,'FTE 계산'!$A179,monthly_work_hours!$H:$H,'FTE 계산'!H$2))</f>
        <v>19</v>
      </c>
      <c r="I179">
        <f>(SUMIFS(monthly_work_hours!$I:$I,monthly_work_hours!$A:$A,'FTE 계산'!$A179,monthly_work_hours!$H:$H,'FTE 계산'!I$2)) - (SUMIFS(monthly_work_hours!$L:$L,monthly_work_hours!$A:$A,'FTE 계산'!$A179,monthly_work_hours!$H:$H,'FTE 계산'!I$2))</f>
        <v>18</v>
      </c>
      <c r="J179">
        <f>(SUMIFS(monthly_work_hours!$I:$I,monthly_work_hours!$A:$A,'FTE 계산'!$A179,monthly_work_hours!$H:$H,'FTE 계산'!J$2)) - (SUMIFS(monthly_work_hours!$L:$L,monthly_work_hours!$A:$A,'FTE 계산'!$A179,monthly_work_hours!$H:$H,'FTE 계산'!J$2))</f>
        <v>16</v>
      </c>
    </row>
    <row r="180" spans="1:10" x14ac:dyDescent="0.45">
      <c r="A180">
        <v>1223067</v>
      </c>
      <c r="B180" t="str">
        <f>_xlfn.XLOOKUP(A180,monthly_work_hours!A:A,monthly_work_hours!B:B)</f>
        <v>정석인</v>
      </c>
      <c r="C180" t="str">
        <f>_xlfn.XLOOKUP(A180,monthly_work_hours!A:A,monthly_work_hours!E:E)</f>
        <v>SL영업팀</v>
      </c>
      <c r="D180" t="str">
        <f>_xlfn.XLOOKUP(A180,monthly_work_hours!A:A,monthly_work_hours!F:F)</f>
        <v>선임</v>
      </c>
      <c r="E180">
        <f>SUMIFS(monthly_work_hours!$M:$M,monthly_work_hours!$A:$A,'FTE 계산'!$A180,monthly_work_hours!$H:$H,'FTE 계산'!E$2)</f>
        <v>208</v>
      </c>
      <c r="F180">
        <f>SUMIFS(monthly_work_hours!$M:$M,monthly_work_hours!$A:$A,'FTE 계산'!$A180,monthly_work_hours!$H:$H,'FTE 계산'!F$2)</f>
        <v>247.4</v>
      </c>
      <c r="G180">
        <f>SUMIFS(monthly_work_hours!$M:$M,monthly_work_hours!$A:$A,'FTE 계산'!$A180,monthly_work_hours!$H:$H,'FTE 계산'!G$2)</f>
        <v>173.7</v>
      </c>
      <c r="H180">
        <f>(SUMIFS(monthly_work_hours!$I:$I,monthly_work_hours!$A:$A,'FTE 계산'!$A180,monthly_work_hours!$H:$H,'FTE 계산'!H$2)) - (SUMIFS(monthly_work_hours!$L:$L,monthly_work_hours!$A:$A,'FTE 계산'!$A180,monthly_work_hours!$H:$H,'FTE 계산'!H$2))</f>
        <v>20</v>
      </c>
      <c r="I180">
        <f>(SUMIFS(monthly_work_hours!$I:$I,monthly_work_hours!$A:$A,'FTE 계산'!$A180,monthly_work_hours!$H:$H,'FTE 계산'!I$2)) - (SUMIFS(monthly_work_hours!$L:$L,monthly_work_hours!$A:$A,'FTE 계산'!$A180,monthly_work_hours!$H:$H,'FTE 계산'!I$2))</f>
        <v>19</v>
      </c>
      <c r="J180">
        <f>(SUMIFS(monthly_work_hours!$I:$I,monthly_work_hours!$A:$A,'FTE 계산'!$A180,monthly_work_hours!$H:$H,'FTE 계산'!J$2)) - (SUMIFS(monthly_work_hours!$L:$L,monthly_work_hours!$A:$A,'FTE 계산'!$A180,monthly_work_hours!$H:$H,'FTE 계산'!J$2))</f>
        <v>16</v>
      </c>
    </row>
    <row r="181" spans="1:10" x14ac:dyDescent="0.45">
      <c r="A181">
        <v>1223069</v>
      </c>
      <c r="B181" t="str">
        <f>_xlfn.XLOOKUP(A181,monthly_work_hours!A:A,monthly_work_hours!B:B)</f>
        <v>전민</v>
      </c>
      <c r="C181" t="str">
        <f>_xlfn.XLOOKUP(A181,monthly_work_hours!A:A,monthly_work_hours!E:E)</f>
        <v>SL생산팀</v>
      </c>
      <c r="D181" t="str">
        <f>_xlfn.XLOOKUP(A181,monthly_work_hours!A:A,monthly_work_hours!F:F)</f>
        <v>선임</v>
      </c>
      <c r="E181">
        <f>SUMIFS(monthly_work_hours!$M:$M,monthly_work_hours!$A:$A,'FTE 계산'!$A181,monthly_work_hours!$H:$H,'FTE 계산'!E$2)</f>
        <v>163.30000000000001</v>
      </c>
      <c r="F181">
        <f>SUMIFS(monthly_work_hours!$M:$M,monthly_work_hours!$A:$A,'FTE 계산'!$A181,monthly_work_hours!$H:$H,'FTE 계산'!F$2)</f>
        <v>167.8</v>
      </c>
      <c r="G181">
        <f>SUMIFS(monthly_work_hours!$M:$M,monthly_work_hours!$A:$A,'FTE 계산'!$A181,monthly_work_hours!$H:$H,'FTE 계산'!G$2)</f>
        <v>143.9</v>
      </c>
      <c r="H181">
        <f>(SUMIFS(monthly_work_hours!$I:$I,monthly_work_hours!$A:$A,'FTE 계산'!$A181,monthly_work_hours!$H:$H,'FTE 계산'!H$2)) - (SUMIFS(monthly_work_hours!$L:$L,monthly_work_hours!$A:$A,'FTE 계산'!$A181,monthly_work_hours!$H:$H,'FTE 계산'!H$2))</f>
        <v>18</v>
      </c>
      <c r="I181">
        <f>(SUMIFS(monthly_work_hours!$I:$I,monthly_work_hours!$A:$A,'FTE 계산'!$A181,monthly_work_hours!$H:$H,'FTE 계산'!I$2)) - (SUMIFS(monthly_work_hours!$L:$L,monthly_work_hours!$A:$A,'FTE 계산'!$A181,monthly_work_hours!$H:$H,'FTE 계산'!I$2))</f>
        <v>19</v>
      </c>
      <c r="J181">
        <f>(SUMIFS(monthly_work_hours!$I:$I,monthly_work_hours!$A:$A,'FTE 계산'!$A181,monthly_work_hours!$H:$H,'FTE 계산'!J$2)) - (SUMIFS(monthly_work_hours!$L:$L,monthly_work_hours!$A:$A,'FTE 계산'!$A181,monthly_work_hours!$H:$H,'FTE 계산'!J$2))</f>
        <v>16</v>
      </c>
    </row>
    <row r="182" spans="1:10" x14ac:dyDescent="0.45">
      <c r="A182">
        <v>1223076</v>
      </c>
      <c r="B182" t="str">
        <f>_xlfn.XLOOKUP(A182,monthly_work_hours!A:A,monthly_work_hours!B:B)</f>
        <v>손재홍</v>
      </c>
      <c r="C182" t="str">
        <f>_xlfn.XLOOKUP(A182,monthly_work_hours!A:A,monthly_work_hours!E:E)</f>
        <v>SL운영팀</v>
      </c>
      <c r="D182" t="str">
        <f>_xlfn.XLOOKUP(A182,monthly_work_hours!A:A,monthly_work_hours!F:F)</f>
        <v>선임</v>
      </c>
      <c r="E182">
        <f>SUMIFS(monthly_work_hours!$M:$M,monthly_work_hours!$A:$A,'FTE 계산'!$A182,monthly_work_hours!$H:$H,'FTE 계산'!E$2)</f>
        <v>186.6</v>
      </c>
      <c r="F182">
        <f>SUMIFS(monthly_work_hours!$M:$M,monthly_work_hours!$A:$A,'FTE 계산'!$A182,monthly_work_hours!$H:$H,'FTE 계산'!F$2)</f>
        <v>154.69999999999999</v>
      </c>
      <c r="G182">
        <f>SUMIFS(monthly_work_hours!$M:$M,monthly_work_hours!$A:$A,'FTE 계산'!$A182,monthly_work_hours!$H:$H,'FTE 계산'!G$2)</f>
        <v>150</v>
      </c>
      <c r="H182">
        <f>(SUMIFS(monthly_work_hours!$I:$I,monthly_work_hours!$A:$A,'FTE 계산'!$A182,monthly_work_hours!$H:$H,'FTE 계산'!H$2)) - (SUMIFS(monthly_work_hours!$L:$L,monthly_work_hours!$A:$A,'FTE 계산'!$A182,monthly_work_hours!$H:$H,'FTE 계산'!H$2))</f>
        <v>18</v>
      </c>
      <c r="I182">
        <f>(SUMIFS(monthly_work_hours!$I:$I,monthly_work_hours!$A:$A,'FTE 계산'!$A182,monthly_work_hours!$H:$H,'FTE 계산'!I$2)) - (SUMIFS(monthly_work_hours!$L:$L,monthly_work_hours!$A:$A,'FTE 계산'!$A182,monthly_work_hours!$H:$H,'FTE 계산'!I$2))</f>
        <v>16</v>
      </c>
      <c r="J182">
        <f>(SUMIFS(monthly_work_hours!$I:$I,monthly_work_hours!$A:$A,'FTE 계산'!$A182,monthly_work_hours!$H:$H,'FTE 계산'!J$2)) - (SUMIFS(monthly_work_hours!$L:$L,monthly_work_hours!$A:$A,'FTE 계산'!$A182,monthly_work_hours!$H:$H,'FTE 계산'!J$2))</f>
        <v>16</v>
      </c>
    </row>
    <row r="183" spans="1:10" x14ac:dyDescent="0.45">
      <c r="A183">
        <v>1223077</v>
      </c>
      <c r="B183" t="str">
        <f>_xlfn.XLOOKUP(A183,monthly_work_hours!A:A,monthly_work_hours!B:B)</f>
        <v>정민형</v>
      </c>
      <c r="C183" t="str">
        <f>_xlfn.XLOOKUP(A183,monthly_work_hours!A:A,monthly_work_hours!E:E)</f>
        <v>SL개발팀</v>
      </c>
      <c r="D183" t="str">
        <f>_xlfn.XLOOKUP(A183,monthly_work_hours!A:A,monthly_work_hours!F:F)</f>
        <v>선임</v>
      </c>
      <c r="E183">
        <f>SUMIFS(monthly_work_hours!$M:$M,monthly_work_hours!$A:$A,'FTE 계산'!$A183,monthly_work_hours!$H:$H,'FTE 계산'!E$2)</f>
        <v>122.3</v>
      </c>
      <c r="F183">
        <f>SUMIFS(monthly_work_hours!$M:$M,monthly_work_hours!$A:$A,'FTE 계산'!$A183,monthly_work_hours!$H:$H,'FTE 계산'!F$2)</f>
        <v>123.6</v>
      </c>
      <c r="G183">
        <f>SUMIFS(monthly_work_hours!$M:$M,monthly_work_hours!$A:$A,'FTE 계산'!$A183,monthly_work_hours!$H:$H,'FTE 계산'!G$2)</f>
        <v>122.4</v>
      </c>
      <c r="H183">
        <f>(SUMIFS(monthly_work_hours!$I:$I,monthly_work_hours!$A:$A,'FTE 계산'!$A183,monthly_work_hours!$H:$H,'FTE 계산'!H$2)) - (SUMIFS(monthly_work_hours!$L:$L,monthly_work_hours!$A:$A,'FTE 계산'!$A183,monthly_work_hours!$H:$H,'FTE 계산'!H$2))</f>
        <v>12</v>
      </c>
      <c r="I183">
        <f>(SUMIFS(monthly_work_hours!$I:$I,monthly_work_hours!$A:$A,'FTE 계산'!$A183,monthly_work_hours!$H:$H,'FTE 계산'!I$2)) - (SUMIFS(monthly_work_hours!$L:$L,monthly_work_hours!$A:$A,'FTE 계산'!$A183,monthly_work_hours!$H:$H,'FTE 계산'!I$2))</f>
        <v>13</v>
      </c>
      <c r="J183">
        <f>(SUMIFS(monthly_work_hours!$I:$I,monthly_work_hours!$A:$A,'FTE 계산'!$A183,monthly_work_hours!$H:$H,'FTE 계산'!J$2)) - (SUMIFS(monthly_work_hours!$L:$L,monthly_work_hours!$A:$A,'FTE 계산'!$A183,monthly_work_hours!$H:$H,'FTE 계산'!J$2))</f>
        <v>13</v>
      </c>
    </row>
    <row r="184" spans="1:10" x14ac:dyDescent="0.45">
      <c r="A184">
        <v>1223079</v>
      </c>
      <c r="B184" t="str">
        <f>_xlfn.XLOOKUP(A184,monthly_work_hours!A:A,monthly_work_hours!B:B)</f>
        <v>오이정</v>
      </c>
      <c r="C184" t="str">
        <f>_xlfn.XLOOKUP(A184,monthly_work_hours!A:A,monthly_work_hours!E:E)</f>
        <v>SL운영팀</v>
      </c>
      <c r="D184" t="str">
        <f>_xlfn.XLOOKUP(A184,monthly_work_hours!A:A,monthly_work_hours!F:F)</f>
        <v>사원</v>
      </c>
      <c r="E184">
        <f>SUMIFS(monthly_work_hours!$M:$M,monthly_work_hours!$A:$A,'FTE 계산'!$A184,monthly_work_hours!$H:$H,'FTE 계산'!E$2)</f>
        <v>172.3</v>
      </c>
      <c r="F184">
        <f>SUMIFS(monthly_work_hours!$M:$M,monthly_work_hours!$A:$A,'FTE 계산'!$A184,monthly_work_hours!$H:$H,'FTE 계산'!F$2)</f>
        <v>178.8</v>
      </c>
      <c r="G184">
        <f>SUMIFS(monthly_work_hours!$M:$M,monthly_work_hours!$A:$A,'FTE 계산'!$A184,monthly_work_hours!$H:$H,'FTE 계산'!G$2)</f>
        <v>141.4</v>
      </c>
      <c r="H184">
        <f>(SUMIFS(monthly_work_hours!$I:$I,monthly_work_hours!$A:$A,'FTE 계산'!$A184,monthly_work_hours!$H:$H,'FTE 계산'!H$2)) - (SUMIFS(monthly_work_hours!$L:$L,monthly_work_hours!$A:$A,'FTE 계산'!$A184,monthly_work_hours!$H:$H,'FTE 계산'!H$2))</f>
        <v>18</v>
      </c>
      <c r="I184">
        <f>(SUMIFS(monthly_work_hours!$I:$I,monthly_work_hours!$A:$A,'FTE 계산'!$A184,monthly_work_hours!$H:$H,'FTE 계산'!I$2)) - (SUMIFS(monthly_work_hours!$L:$L,monthly_work_hours!$A:$A,'FTE 계산'!$A184,monthly_work_hours!$H:$H,'FTE 계산'!I$2))</f>
        <v>19</v>
      </c>
      <c r="J184">
        <f>(SUMIFS(monthly_work_hours!$I:$I,monthly_work_hours!$A:$A,'FTE 계산'!$A184,monthly_work_hours!$H:$H,'FTE 계산'!J$2)) - (SUMIFS(monthly_work_hours!$L:$L,monthly_work_hours!$A:$A,'FTE 계산'!$A184,monthly_work_hours!$H:$H,'FTE 계산'!J$2))</f>
        <v>15</v>
      </c>
    </row>
    <row r="185" spans="1:10" x14ac:dyDescent="0.45">
      <c r="A185">
        <v>1223081</v>
      </c>
      <c r="B185" t="str">
        <f>_xlfn.XLOOKUP(A185,monthly_work_hours!A:A,monthly_work_hours!B:B)</f>
        <v>한민규</v>
      </c>
      <c r="C185" t="str">
        <f>_xlfn.XLOOKUP(A185,monthly_work_hours!A:A,monthly_work_hours!E:E)</f>
        <v>SL품질보증팀</v>
      </c>
      <c r="D185" t="str">
        <f>_xlfn.XLOOKUP(A185,monthly_work_hours!A:A,monthly_work_hours!F:F)</f>
        <v>사원</v>
      </c>
      <c r="E185">
        <f>SUMIFS(monthly_work_hours!$M:$M,monthly_work_hours!$A:$A,'FTE 계산'!$A185,monthly_work_hours!$H:$H,'FTE 계산'!E$2)</f>
        <v>73.599999999999994</v>
      </c>
      <c r="F185">
        <f>SUMIFS(monthly_work_hours!$M:$M,monthly_work_hours!$A:$A,'FTE 계산'!$A185,monthly_work_hours!$H:$H,'FTE 계산'!F$2)</f>
        <v>75.7</v>
      </c>
      <c r="G185">
        <f>SUMIFS(monthly_work_hours!$M:$M,monthly_work_hours!$A:$A,'FTE 계산'!$A185,monthly_work_hours!$H:$H,'FTE 계산'!G$2)</f>
        <v>75.400000000000006</v>
      </c>
      <c r="H185">
        <f>(SUMIFS(monthly_work_hours!$I:$I,monthly_work_hours!$A:$A,'FTE 계산'!$A185,monthly_work_hours!$H:$H,'FTE 계산'!H$2)) - (SUMIFS(monthly_work_hours!$L:$L,monthly_work_hours!$A:$A,'FTE 계산'!$A185,monthly_work_hours!$H:$H,'FTE 계산'!H$2))</f>
        <v>10</v>
      </c>
      <c r="I185">
        <f>(SUMIFS(monthly_work_hours!$I:$I,monthly_work_hours!$A:$A,'FTE 계산'!$A185,monthly_work_hours!$H:$H,'FTE 계산'!I$2)) - (SUMIFS(monthly_work_hours!$L:$L,monthly_work_hours!$A:$A,'FTE 계산'!$A185,monthly_work_hours!$H:$H,'FTE 계산'!I$2))</f>
        <v>10</v>
      </c>
      <c r="J185">
        <f>(SUMIFS(monthly_work_hours!$I:$I,monthly_work_hours!$A:$A,'FTE 계산'!$A185,monthly_work_hours!$H:$H,'FTE 계산'!J$2)) - (SUMIFS(monthly_work_hours!$L:$L,monthly_work_hours!$A:$A,'FTE 계산'!$A185,monthly_work_hours!$H:$H,'FTE 계산'!J$2))</f>
        <v>10</v>
      </c>
    </row>
    <row r="186" spans="1:10" x14ac:dyDescent="0.45">
      <c r="A186">
        <v>1223082</v>
      </c>
      <c r="B186" t="str">
        <f>_xlfn.XLOOKUP(A186,monthly_work_hours!A:A,monthly_work_hours!B:B)</f>
        <v>신혜진</v>
      </c>
      <c r="C186" t="str">
        <f>_xlfn.XLOOKUP(A186,monthly_work_hours!A:A,monthly_work_hours!E:E)</f>
        <v>FL품질보증팀</v>
      </c>
      <c r="D186" t="str">
        <f>_xlfn.XLOOKUP(A186,monthly_work_hours!A:A,monthly_work_hours!F:F)</f>
        <v>사원</v>
      </c>
      <c r="E186">
        <f>SUMIFS(monthly_work_hours!$M:$M,monthly_work_hours!$A:$A,'FTE 계산'!$A186,monthly_work_hours!$H:$H,'FTE 계산'!E$2)</f>
        <v>192.3</v>
      </c>
      <c r="F186">
        <f>SUMIFS(monthly_work_hours!$M:$M,monthly_work_hours!$A:$A,'FTE 계산'!$A186,monthly_work_hours!$H:$H,'FTE 계산'!F$2)</f>
        <v>167.8</v>
      </c>
      <c r="G186">
        <f>SUMIFS(monthly_work_hours!$M:$M,monthly_work_hours!$A:$A,'FTE 계산'!$A186,monthly_work_hours!$H:$H,'FTE 계산'!G$2)</f>
        <v>135.9</v>
      </c>
      <c r="H186">
        <f>(SUMIFS(monthly_work_hours!$I:$I,monthly_work_hours!$A:$A,'FTE 계산'!$A186,monthly_work_hours!$H:$H,'FTE 계산'!H$2)) - (SUMIFS(monthly_work_hours!$L:$L,monthly_work_hours!$A:$A,'FTE 계산'!$A186,monthly_work_hours!$H:$H,'FTE 계산'!H$2))</f>
        <v>19</v>
      </c>
      <c r="I186">
        <f>(SUMIFS(monthly_work_hours!$I:$I,monthly_work_hours!$A:$A,'FTE 계산'!$A186,monthly_work_hours!$H:$H,'FTE 계산'!I$2)) - (SUMIFS(monthly_work_hours!$L:$L,monthly_work_hours!$A:$A,'FTE 계산'!$A186,monthly_work_hours!$H:$H,'FTE 계산'!I$2))</f>
        <v>18</v>
      </c>
      <c r="J186">
        <f>(SUMIFS(monthly_work_hours!$I:$I,monthly_work_hours!$A:$A,'FTE 계산'!$A186,monthly_work_hours!$H:$H,'FTE 계산'!J$2)) - (SUMIFS(monthly_work_hours!$L:$L,monthly_work_hours!$A:$A,'FTE 계산'!$A186,monthly_work_hours!$H:$H,'FTE 계산'!J$2))</f>
        <v>15</v>
      </c>
    </row>
    <row r="187" spans="1:10" x14ac:dyDescent="0.45">
      <c r="A187">
        <v>1223083</v>
      </c>
      <c r="B187" t="str">
        <f>_xlfn.XLOOKUP(A187,monthly_work_hours!A:A,monthly_work_hours!B:B)</f>
        <v>김시원</v>
      </c>
      <c r="C187" t="str">
        <f>_xlfn.XLOOKUP(A187,monthly_work_hours!A:A,monthly_work_hours!E:E)</f>
        <v>FL품질보증팀</v>
      </c>
      <c r="D187" t="str">
        <f>_xlfn.XLOOKUP(A187,monthly_work_hours!A:A,monthly_work_hours!F:F)</f>
        <v>사원</v>
      </c>
      <c r="E187">
        <f>SUMIFS(monthly_work_hours!$M:$M,monthly_work_hours!$A:$A,'FTE 계산'!$A187,monthly_work_hours!$H:$H,'FTE 계산'!E$2)</f>
        <v>184.4</v>
      </c>
      <c r="F187">
        <f>SUMIFS(monthly_work_hours!$M:$M,monthly_work_hours!$A:$A,'FTE 계산'!$A187,monthly_work_hours!$H:$H,'FTE 계산'!F$2)</f>
        <v>208.2</v>
      </c>
      <c r="G187">
        <f>SUMIFS(monthly_work_hours!$M:$M,monthly_work_hours!$A:$A,'FTE 계산'!$A187,monthly_work_hours!$H:$H,'FTE 계산'!G$2)</f>
        <v>154.30000000000001</v>
      </c>
      <c r="H187">
        <f>(SUMIFS(monthly_work_hours!$I:$I,monthly_work_hours!$A:$A,'FTE 계산'!$A187,monthly_work_hours!$H:$H,'FTE 계산'!H$2)) - (SUMIFS(monthly_work_hours!$L:$L,monthly_work_hours!$A:$A,'FTE 계산'!$A187,monthly_work_hours!$H:$H,'FTE 계산'!H$2))</f>
        <v>18</v>
      </c>
      <c r="I187">
        <f>(SUMIFS(monthly_work_hours!$I:$I,monthly_work_hours!$A:$A,'FTE 계산'!$A187,monthly_work_hours!$H:$H,'FTE 계산'!I$2)) - (SUMIFS(monthly_work_hours!$L:$L,monthly_work_hours!$A:$A,'FTE 계산'!$A187,monthly_work_hours!$H:$H,'FTE 계산'!I$2))</f>
        <v>19</v>
      </c>
      <c r="J187">
        <f>(SUMIFS(monthly_work_hours!$I:$I,monthly_work_hours!$A:$A,'FTE 계산'!$A187,monthly_work_hours!$H:$H,'FTE 계산'!J$2)) - (SUMIFS(monthly_work_hours!$L:$L,monthly_work_hours!$A:$A,'FTE 계산'!$A187,monthly_work_hours!$H:$H,'FTE 계산'!J$2))</f>
        <v>16</v>
      </c>
    </row>
    <row r="188" spans="1:10" x14ac:dyDescent="0.45">
      <c r="A188">
        <v>1223084</v>
      </c>
      <c r="B188" t="str">
        <f>_xlfn.XLOOKUP(A188,monthly_work_hours!A:A,monthly_work_hours!B:B)</f>
        <v>윤서진</v>
      </c>
      <c r="C188" t="str">
        <f>_xlfn.XLOOKUP(A188,monthly_work_hours!A:A,monthly_work_hours!E:E)</f>
        <v>FL영업팀</v>
      </c>
      <c r="D188" t="str">
        <f>_xlfn.XLOOKUP(A188,monthly_work_hours!A:A,monthly_work_hours!F:F)</f>
        <v>사원</v>
      </c>
      <c r="E188">
        <f>SUMIFS(monthly_work_hours!$M:$M,monthly_work_hours!$A:$A,'FTE 계산'!$A188,monthly_work_hours!$H:$H,'FTE 계산'!E$2)</f>
        <v>175.2</v>
      </c>
      <c r="F188">
        <f>SUMIFS(monthly_work_hours!$M:$M,monthly_work_hours!$A:$A,'FTE 계산'!$A188,monthly_work_hours!$H:$H,'FTE 계산'!F$2)</f>
        <v>106.7</v>
      </c>
      <c r="G188">
        <f>SUMIFS(monthly_work_hours!$M:$M,monthly_work_hours!$A:$A,'FTE 계산'!$A188,monthly_work_hours!$H:$H,'FTE 계산'!G$2)</f>
        <v>0</v>
      </c>
      <c r="H188">
        <f>(SUMIFS(monthly_work_hours!$I:$I,monthly_work_hours!$A:$A,'FTE 계산'!$A188,monthly_work_hours!$H:$H,'FTE 계산'!H$2)) - (SUMIFS(monthly_work_hours!$L:$L,monthly_work_hours!$A:$A,'FTE 계산'!$A188,monthly_work_hours!$H:$H,'FTE 계산'!H$2))</f>
        <v>18</v>
      </c>
      <c r="I188">
        <f>(SUMIFS(monthly_work_hours!$I:$I,monthly_work_hours!$A:$A,'FTE 계산'!$A188,monthly_work_hours!$H:$H,'FTE 계산'!I$2)) - (SUMIFS(monthly_work_hours!$L:$L,monthly_work_hours!$A:$A,'FTE 계산'!$A188,monthly_work_hours!$H:$H,'FTE 계산'!I$2))</f>
        <v>11</v>
      </c>
      <c r="J188">
        <f>(SUMIFS(monthly_work_hours!$I:$I,monthly_work_hours!$A:$A,'FTE 계산'!$A188,monthly_work_hours!$H:$H,'FTE 계산'!J$2)) - (SUMIFS(monthly_work_hours!$L:$L,monthly_work_hours!$A:$A,'FTE 계산'!$A188,monthly_work_hours!$H:$H,'FTE 계산'!J$2))</f>
        <v>0</v>
      </c>
    </row>
    <row r="189" spans="1:10" x14ac:dyDescent="0.45">
      <c r="A189">
        <v>1223085</v>
      </c>
      <c r="B189" t="str">
        <f>_xlfn.XLOOKUP(A189,monthly_work_hours!A:A,monthly_work_hours!B:B)</f>
        <v>이건우</v>
      </c>
      <c r="C189" t="str">
        <f>_xlfn.XLOOKUP(A189,monthly_work_hours!A:A,monthly_work_hours!E:E)</f>
        <v>FL개발팀</v>
      </c>
      <c r="D189" t="str">
        <f>_xlfn.XLOOKUP(A189,monthly_work_hours!A:A,monthly_work_hours!F:F)</f>
        <v>선임</v>
      </c>
      <c r="E189">
        <f>SUMIFS(monthly_work_hours!$M:$M,monthly_work_hours!$A:$A,'FTE 계산'!$A189,monthly_work_hours!$H:$H,'FTE 계산'!E$2)</f>
        <v>146.69999999999999</v>
      </c>
      <c r="F189">
        <f>SUMIFS(monthly_work_hours!$M:$M,monthly_work_hours!$A:$A,'FTE 계산'!$A189,monthly_work_hours!$H:$H,'FTE 계산'!F$2)</f>
        <v>186.8</v>
      </c>
      <c r="G189">
        <f>SUMIFS(monthly_work_hours!$M:$M,monthly_work_hours!$A:$A,'FTE 계산'!$A189,monthly_work_hours!$H:$H,'FTE 계산'!G$2)</f>
        <v>63</v>
      </c>
      <c r="H189">
        <f>(SUMIFS(monthly_work_hours!$I:$I,monthly_work_hours!$A:$A,'FTE 계산'!$A189,monthly_work_hours!$H:$H,'FTE 계산'!H$2)) - (SUMIFS(monthly_work_hours!$L:$L,monthly_work_hours!$A:$A,'FTE 계산'!$A189,monthly_work_hours!$H:$H,'FTE 계산'!H$2))</f>
        <v>16</v>
      </c>
      <c r="I189">
        <f>(SUMIFS(monthly_work_hours!$I:$I,monthly_work_hours!$A:$A,'FTE 계산'!$A189,monthly_work_hours!$H:$H,'FTE 계산'!I$2)) - (SUMIFS(monthly_work_hours!$L:$L,monthly_work_hours!$A:$A,'FTE 계산'!$A189,monthly_work_hours!$H:$H,'FTE 계산'!I$2))</f>
        <v>18</v>
      </c>
      <c r="J189">
        <f>(SUMIFS(monthly_work_hours!$I:$I,monthly_work_hours!$A:$A,'FTE 계산'!$A189,monthly_work_hours!$H:$H,'FTE 계산'!J$2)) - (SUMIFS(monthly_work_hours!$L:$L,monthly_work_hours!$A:$A,'FTE 계산'!$A189,monthly_work_hours!$H:$H,'FTE 계산'!J$2))</f>
        <v>7</v>
      </c>
    </row>
    <row r="190" spans="1:10" x14ac:dyDescent="0.45">
      <c r="A190">
        <v>1223086</v>
      </c>
      <c r="B190" t="str">
        <f>_xlfn.XLOOKUP(A190,monthly_work_hours!A:A,monthly_work_hours!B:B)</f>
        <v>채명길</v>
      </c>
      <c r="C190" t="str">
        <f>_xlfn.XLOOKUP(A190,monthly_work_hours!A:A,monthly_work_hours!E:E)</f>
        <v>B/H사업팀</v>
      </c>
      <c r="D190" t="str">
        <f>_xlfn.XLOOKUP(A190,monthly_work_hours!A:A,monthly_work_hours!F:F)</f>
        <v>선임</v>
      </c>
      <c r="E190">
        <f>SUMIFS(monthly_work_hours!$M:$M,monthly_work_hours!$A:$A,'FTE 계산'!$A190,monthly_work_hours!$H:$H,'FTE 계산'!E$2)</f>
        <v>192.1</v>
      </c>
      <c r="F190">
        <f>SUMIFS(monthly_work_hours!$M:$M,monthly_work_hours!$A:$A,'FTE 계산'!$A190,monthly_work_hours!$H:$H,'FTE 계산'!F$2)</f>
        <v>172.7</v>
      </c>
      <c r="G190">
        <f>SUMIFS(monthly_work_hours!$M:$M,monthly_work_hours!$A:$A,'FTE 계산'!$A190,monthly_work_hours!$H:$H,'FTE 계산'!G$2)</f>
        <v>164.4</v>
      </c>
      <c r="H190">
        <f>(SUMIFS(monthly_work_hours!$I:$I,monthly_work_hours!$A:$A,'FTE 계산'!$A190,monthly_work_hours!$H:$H,'FTE 계산'!H$2)) - (SUMIFS(monthly_work_hours!$L:$L,monthly_work_hours!$A:$A,'FTE 계산'!$A190,monthly_work_hours!$H:$H,'FTE 계산'!H$2))</f>
        <v>19</v>
      </c>
      <c r="I190">
        <f>(SUMIFS(monthly_work_hours!$I:$I,monthly_work_hours!$A:$A,'FTE 계산'!$A190,monthly_work_hours!$H:$H,'FTE 계산'!I$2)) - (SUMIFS(monthly_work_hours!$L:$L,monthly_work_hours!$A:$A,'FTE 계산'!$A190,monthly_work_hours!$H:$H,'FTE 계산'!I$2))</f>
        <v>17</v>
      </c>
      <c r="J190">
        <f>(SUMIFS(monthly_work_hours!$I:$I,monthly_work_hours!$A:$A,'FTE 계산'!$A190,monthly_work_hours!$H:$H,'FTE 계산'!J$2)) - (SUMIFS(monthly_work_hours!$L:$L,monthly_work_hours!$A:$A,'FTE 계산'!$A190,monthly_work_hours!$H:$H,'FTE 계산'!J$2))</f>
        <v>16</v>
      </c>
    </row>
    <row r="191" spans="1:10" x14ac:dyDescent="0.45">
      <c r="A191">
        <v>1223087</v>
      </c>
      <c r="B191" t="str">
        <f>_xlfn.XLOOKUP(A191,monthly_work_hours!A:A,monthly_work_hours!B:B)</f>
        <v>김현민</v>
      </c>
      <c r="C191" t="str">
        <f>_xlfn.XLOOKUP(A191,monthly_work_hours!A:A,monthly_work_hours!E:E)</f>
        <v>FL품질보증팀</v>
      </c>
      <c r="D191" t="str">
        <f>_xlfn.XLOOKUP(A191,monthly_work_hours!A:A,monthly_work_hours!F:F)</f>
        <v>선임</v>
      </c>
      <c r="E191">
        <f>SUMIFS(monthly_work_hours!$M:$M,monthly_work_hours!$A:$A,'FTE 계산'!$A191,monthly_work_hours!$H:$H,'FTE 계산'!E$2)</f>
        <v>148.5</v>
      </c>
      <c r="F191">
        <f>SUMIFS(monthly_work_hours!$M:$M,monthly_work_hours!$A:$A,'FTE 계산'!$A191,monthly_work_hours!$H:$H,'FTE 계산'!F$2)</f>
        <v>160.4</v>
      </c>
      <c r="G191">
        <f>SUMIFS(monthly_work_hours!$M:$M,monthly_work_hours!$A:$A,'FTE 계산'!$A191,monthly_work_hours!$H:$H,'FTE 계산'!G$2)</f>
        <v>102.9</v>
      </c>
      <c r="H191">
        <f>(SUMIFS(monthly_work_hours!$I:$I,monthly_work_hours!$A:$A,'FTE 계산'!$A191,monthly_work_hours!$H:$H,'FTE 계산'!H$2)) - (SUMIFS(monthly_work_hours!$L:$L,monthly_work_hours!$A:$A,'FTE 계산'!$A191,monthly_work_hours!$H:$H,'FTE 계산'!H$2))</f>
        <v>16</v>
      </c>
      <c r="I191">
        <f>(SUMIFS(monthly_work_hours!$I:$I,monthly_work_hours!$A:$A,'FTE 계산'!$A191,monthly_work_hours!$H:$H,'FTE 계산'!I$2)) - (SUMIFS(monthly_work_hours!$L:$L,monthly_work_hours!$A:$A,'FTE 계산'!$A191,monthly_work_hours!$H:$H,'FTE 계산'!I$2))</f>
        <v>17</v>
      </c>
      <c r="J191">
        <f>(SUMIFS(monthly_work_hours!$I:$I,monthly_work_hours!$A:$A,'FTE 계산'!$A191,monthly_work_hours!$H:$H,'FTE 계산'!J$2)) - (SUMIFS(monthly_work_hours!$L:$L,monthly_work_hours!$A:$A,'FTE 계산'!$A191,monthly_work_hours!$H:$H,'FTE 계산'!J$2))</f>
        <v>13</v>
      </c>
    </row>
    <row r="192" spans="1:10" x14ac:dyDescent="0.45">
      <c r="A192">
        <v>1223094</v>
      </c>
      <c r="B192" t="str">
        <f>_xlfn.XLOOKUP(A192,monthly_work_hours!A:A,monthly_work_hours!B:B)</f>
        <v>류지훈</v>
      </c>
      <c r="C192" t="str">
        <f>_xlfn.XLOOKUP(A192,monthly_work_hours!A:A,monthly_work_hours!E:E)</f>
        <v>구매원가팀</v>
      </c>
      <c r="D192" t="str">
        <f>_xlfn.XLOOKUP(A192,monthly_work_hours!A:A,monthly_work_hours!F:F)</f>
        <v>사원</v>
      </c>
      <c r="E192">
        <f>SUMIFS(monthly_work_hours!$M:$M,monthly_work_hours!$A:$A,'FTE 계산'!$A192,monthly_work_hours!$H:$H,'FTE 계산'!E$2)</f>
        <v>172</v>
      </c>
      <c r="F192">
        <f>SUMIFS(monthly_work_hours!$M:$M,monthly_work_hours!$A:$A,'FTE 계산'!$A192,monthly_work_hours!$H:$H,'FTE 계산'!F$2)</f>
        <v>179</v>
      </c>
      <c r="G192">
        <f>SUMIFS(monthly_work_hours!$M:$M,monthly_work_hours!$A:$A,'FTE 계산'!$A192,monthly_work_hours!$H:$H,'FTE 계산'!G$2)</f>
        <v>140.80000000000001</v>
      </c>
      <c r="H192">
        <f>(SUMIFS(monthly_work_hours!$I:$I,monthly_work_hours!$A:$A,'FTE 계산'!$A192,monthly_work_hours!$H:$H,'FTE 계산'!H$2)) - (SUMIFS(monthly_work_hours!$L:$L,monthly_work_hours!$A:$A,'FTE 계산'!$A192,monthly_work_hours!$H:$H,'FTE 계산'!H$2))</f>
        <v>17</v>
      </c>
      <c r="I192">
        <f>(SUMIFS(monthly_work_hours!$I:$I,monthly_work_hours!$A:$A,'FTE 계산'!$A192,monthly_work_hours!$H:$H,'FTE 계산'!I$2)) - (SUMIFS(monthly_work_hours!$L:$L,monthly_work_hours!$A:$A,'FTE 계산'!$A192,monthly_work_hours!$H:$H,'FTE 계산'!I$2))</f>
        <v>18</v>
      </c>
      <c r="J192">
        <f>(SUMIFS(monthly_work_hours!$I:$I,monthly_work_hours!$A:$A,'FTE 계산'!$A192,monthly_work_hours!$H:$H,'FTE 계산'!J$2)) - (SUMIFS(monthly_work_hours!$L:$L,monthly_work_hours!$A:$A,'FTE 계산'!$A192,monthly_work_hours!$H:$H,'FTE 계산'!J$2))</f>
        <v>15</v>
      </c>
    </row>
    <row r="193" spans="1:10" x14ac:dyDescent="0.45">
      <c r="A193">
        <v>1223095</v>
      </c>
      <c r="B193" t="str">
        <f>_xlfn.XLOOKUP(A193,monthly_work_hours!A:A,monthly_work_hours!B:B)</f>
        <v>최규빈</v>
      </c>
      <c r="C193" t="str">
        <f>_xlfn.XLOOKUP(A193,monthly_work_hours!A:A,monthly_work_hours!E:E)</f>
        <v>SL품질보증팀</v>
      </c>
      <c r="D193" t="str">
        <f>_xlfn.XLOOKUP(A193,monthly_work_hours!A:A,monthly_work_hours!F:F)</f>
        <v>선임</v>
      </c>
      <c r="E193">
        <f>SUMIFS(monthly_work_hours!$M:$M,monthly_work_hours!$A:$A,'FTE 계산'!$A193,monthly_work_hours!$H:$H,'FTE 계산'!E$2)</f>
        <v>77.099999999999994</v>
      </c>
      <c r="F193">
        <f>SUMIFS(monthly_work_hours!$M:$M,monthly_work_hours!$A:$A,'FTE 계산'!$A193,monthly_work_hours!$H:$H,'FTE 계산'!F$2)</f>
        <v>120</v>
      </c>
      <c r="G193">
        <f>SUMIFS(monthly_work_hours!$M:$M,monthly_work_hours!$A:$A,'FTE 계산'!$A193,monthly_work_hours!$H:$H,'FTE 계산'!G$2)</f>
        <v>74.400000000000006</v>
      </c>
      <c r="H193">
        <f>(SUMIFS(monthly_work_hours!$I:$I,monthly_work_hours!$A:$A,'FTE 계산'!$A193,monthly_work_hours!$H:$H,'FTE 계산'!H$2)) - (SUMIFS(monthly_work_hours!$L:$L,monthly_work_hours!$A:$A,'FTE 계산'!$A193,monthly_work_hours!$H:$H,'FTE 계산'!H$2))</f>
        <v>11</v>
      </c>
      <c r="I193">
        <f>(SUMIFS(monthly_work_hours!$I:$I,monthly_work_hours!$A:$A,'FTE 계산'!$A193,monthly_work_hours!$H:$H,'FTE 계산'!I$2)) - (SUMIFS(monthly_work_hours!$L:$L,monthly_work_hours!$A:$A,'FTE 계산'!$A193,monthly_work_hours!$H:$H,'FTE 계산'!I$2))</f>
        <v>14</v>
      </c>
      <c r="J193">
        <f>(SUMIFS(monthly_work_hours!$I:$I,monthly_work_hours!$A:$A,'FTE 계산'!$A193,monthly_work_hours!$H:$H,'FTE 계산'!J$2)) - (SUMIFS(monthly_work_hours!$L:$L,monthly_work_hours!$A:$A,'FTE 계산'!$A193,monthly_work_hours!$H:$H,'FTE 계산'!J$2))</f>
        <v>11</v>
      </c>
    </row>
    <row r="194" spans="1:10" x14ac:dyDescent="0.45">
      <c r="A194">
        <v>1223096</v>
      </c>
      <c r="B194" t="str">
        <f>_xlfn.XLOOKUP(A194,monthly_work_hours!A:A,monthly_work_hours!B:B)</f>
        <v>김종완</v>
      </c>
      <c r="C194" t="str">
        <f>_xlfn.XLOOKUP(A194,monthly_work_hours!A:A,monthly_work_hours!E:E)</f>
        <v>SL품질보증팀</v>
      </c>
      <c r="D194" t="str">
        <f>_xlfn.XLOOKUP(A194,monthly_work_hours!A:A,monthly_work_hours!F:F)</f>
        <v>선임</v>
      </c>
      <c r="E194">
        <f>SUMIFS(monthly_work_hours!$M:$M,monthly_work_hours!$A:$A,'FTE 계산'!$A194,monthly_work_hours!$H:$H,'FTE 계산'!E$2)</f>
        <v>17.8</v>
      </c>
      <c r="F194">
        <f>SUMIFS(monthly_work_hours!$M:$M,monthly_work_hours!$A:$A,'FTE 계산'!$A194,monthly_work_hours!$H:$H,'FTE 계산'!F$2)</f>
        <v>17.600000000000001</v>
      </c>
      <c r="G194">
        <f>SUMIFS(monthly_work_hours!$M:$M,monthly_work_hours!$A:$A,'FTE 계산'!$A194,monthly_work_hours!$H:$H,'FTE 계산'!G$2)</f>
        <v>13.3</v>
      </c>
      <c r="H194">
        <f>(SUMIFS(monthly_work_hours!$I:$I,monthly_work_hours!$A:$A,'FTE 계산'!$A194,monthly_work_hours!$H:$H,'FTE 계산'!H$2)) - (SUMIFS(monthly_work_hours!$L:$L,monthly_work_hours!$A:$A,'FTE 계산'!$A194,monthly_work_hours!$H:$H,'FTE 계산'!H$2))</f>
        <v>4</v>
      </c>
      <c r="I194">
        <f>(SUMIFS(monthly_work_hours!$I:$I,monthly_work_hours!$A:$A,'FTE 계산'!$A194,monthly_work_hours!$H:$H,'FTE 계산'!I$2)) - (SUMIFS(monthly_work_hours!$L:$L,monthly_work_hours!$A:$A,'FTE 계산'!$A194,monthly_work_hours!$H:$H,'FTE 계산'!I$2))</f>
        <v>2</v>
      </c>
      <c r="J194">
        <f>(SUMIFS(monthly_work_hours!$I:$I,monthly_work_hours!$A:$A,'FTE 계산'!$A194,monthly_work_hours!$H:$H,'FTE 계산'!J$2)) - (SUMIFS(monthly_work_hours!$L:$L,monthly_work_hours!$A:$A,'FTE 계산'!$A194,monthly_work_hours!$H:$H,'FTE 계산'!J$2))</f>
        <v>3</v>
      </c>
    </row>
    <row r="195" spans="1:10" x14ac:dyDescent="0.45">
      <c r="A195">
        <v>1223097</v>
      </c>
      <c r="B195" t="str">
        <f>_xlfn.XLOOKUP(A195,monthly_work_hours!A:A,monthly_work_hours!B:B)</f>
        <v>박세환</v>
      </c>
      <c r="C195" t="str">
        <f>_xlfn.XLOOKUP(A195,monthly_work_hours!A:A,monthly_work_hours!E:E)</f>
        <v>열관리사업팀</v>
      </c>
      <c r="D195" t="str">
        <f>_xlfn.XLOOKUP(A195,monthly_work_hours!A:A,monthly_work_hours!F:F)</f>
        <v>선임</v>
      </c>
      <c r="E195">
        <f>SUMIFS(monthly_work_hours!$M:$M,monthly_work_hours!$A:$A,'FTE 계산'!$A195,monthly_work_hours!$H:$H,'FTE 계산'!E$2)</f>
        <v>174.8</v>
      </c>
      <c r="F195">
        <f>SUMIFS(monthly_work_hours!$M:$M,monthly_work_hours!$A:$A,'FTE 계산'!$A195,monthly_work_hours!$H:$H,'FTE 계산'!F$2)</f>
        <v>197.2</v>
      </c>
      <c r="G195">
        <f>SUMIFS(monthly_work_hours!$M:$M,monthly_work_hours!$A:$A,'FTE 계산'!$A195,monthly_work_hours!$H:$H,'FTE 계산'!G$2)</f>
        <v>180.4</v>
      </c>
      <c r="H195">
        <f>(SUMIFS(monthly_work_hours!$I:$I,monthly_work_hours!$A:$A,'FTE 계산'!$A195,monthly_work_hours!$H:$H,'FTE 계산'!H$2)) - (SUMIFS(monthly_work_hours!$L:$L,monthly_work_hours!$A:$A,'FTE 계산'!$A195,monthly_work_hours!$H:$H,'FTE 계산'!H$2))</f>
        <v>18</v>
      </c>
      <c r="I195">
        <f>(SUMIFS(monthly_work_hours!$I:$I,monthly_work_hours!$A:$A,'FTE 계산'!$A195,monthly_work_hours!$H:$H,'FTE 계산'!I$2)) - (SUMIFS(monthly_work_hours!$L:$L,monthly_work_hours!$A:$A,'FTE 계산'!$A195,monthly_work_hours!$H:$H,'FTE 계산'!I$2))</f>
        <v>20</v>
      </c>
      <c r="J195">
        <f>(SUMIFS(monthly_work_hours!$I:$I,monthly_work_hours!$A:$A,'FTE 계산'!$A195,monthly_work_hours!$H:$H,'FTE 계산'!J$2)) - (SUMIFS(monthly_work_hours!$L:$L,monthly_work_hours!$A:$A,'FTE 계산'!$A195,monthly_work_hours!$H:$H,'FTE 계산'!J$2))</f>
        <v>16</v>
      </c>
    </row>
    <row r="196" spans="1:10" x14ac:dyDescent="0.45">
      <c r="A196">
        <v>1223098</v>
      </c>
      <c r="B196" t="str">
        <f>_xlfn.XLOOKUP(A196,monthly_work_hours!A:A,monthly_work_hours!B:B)</f>
        <v>이준호</v>
      </c>
      <c r="C196" t="str">
        <f>_xlfn.XLOOKUP(A196,monthly_work_hours!A:A,monthly_work_hours!E:E)</f>
        <v>관체사업팀</v>
      </c>
      <c r="D196" t="str">
        <f>_xlfn.XLOOKUP(A196,monthly_work_hours!A:A,monthly_work_hours!F:F)</f>
        <v>선임</v>
      </c>
      <c r="E196">
        <f>SUMIFS(monthly_work_hours!$M:$M,monthly_work_hours!$A:$A,'FTE 계산'!$A196,monthly_work_hours!$H:$H,'FTE 계산'!E$2)</f>
        <v>175.3</v>
      </c>
      <c r="F196">
        <f>SUMIFS(monthly_work_hours!$M:$M,monthly_work_hours!$A:$A,'FTE 계산'!$A196,monthly_work_hours!$H:$H,'FTE 계산'!F$2)</f>
        <v>171.3</v>
      </c>
      <c r="G196">
        <f>SUMIFS(monthly_work_hours!$M:$M,monthly_work_hours!$A:$A,'FTE 계산'!$A196,monthly_work_hours!$H:$H,'FTE 계산'!G$2)</f>
        <v>154</v>
      </c>
      <c r="H196">
        <f>(SUMIFS(monthly_work_hours!$I:$I,monthly_work_hours!$A:$A,'FTE 계산'!$A196,monthly_work_hours!$H:$H,'FTE 계산'!H$2)) - (SUMIFS(monthly_work_hours!$L:$L,monthly_work_hours!$A:$A,'FTE 계산'!$A196,monthly_work_hours!$H:$H,'FTE 계산'!H$2))</f>
        <v>18</v>
      </c>
      <c r="I196">
        <f>(SUMIFS(monthly_work_hours!$I:$I,monthly_work_hours!$A:$A,'FTE 계산'!$A196,monthly_work_hours!$H:$H,'FTE 계산'!I$2)) - (SUMIFS(monthly_work_hours!$L:$L,monthly_work_hours!$A:$A,'FTE 계산'!$A196,monthly_work_hours!$H:$H,'FTE 계산'!I$2))</f>
        <v>18</v>
      </c>
      <c r="J196">
        <f>(SUMIFS(monthly_work_hours!$I:$I,monthly_work_hours!$A:$A,'FTE 계산'!$A196,monthly_work_hours!$H:$H,'FTE 계산'!J$2)) - (SUMIFS(monthly_work_hours!$L:$L,monthly_work_hours!$A:$A,'FTE 계산'!$A196,monthly_work_hours!$H:$H,'FTE 계산'!J$2))</f>
        <v>16</v>
      </c>
    </row>
    <row r="197" spans="1:10" x14ac:dyDescent="0.45">
      <c r="A197">
        <v>1223099</v>
      </c>
      <c r="B197" t="str">
        <f>_xlfn.XLOOKUP(A197,monthly_work_hours!A:A,monthly_work_hours!B:B)</f>
        <v>이원재</v>
      </c>
      <c r="C197" t="str">
        <f>_xlfn.XLOOKUP(A197,monthly_work_hours!A:A,monthly_work_hours!E:E)</f>
        <v>FL품질보증팀</v>
      </c>
      <c r="D197" t="str">
        <f>_xlfn.XLOOKUP(A197,monthly_work_hours!A:A,monthly_work_hours!F:F)</f>
        <v>선임</v>
      </c>
      <c r="E197">
        <f>SUMIFS(monthly_work_hours!$M:$M,monthly_work_hours!$A:$A,'FTE 계산'!$A197,monthly_work_hours!$H:$H,'FTE 계산'!E$2)</f>
        <v>221.7</v>
      </c>
      <c r="F197">
        <f>SUMIFS(monthly_work_hours!$M:$M,monthly_work_hours!$A:$A,'FTE 계산'!$A197,monthly_work_hours!$H:$H,'FTE 계산'!F$2)</f>
        <v>194.6</v>
      </c>
      <c r="G197">
        <f>SUMIFS(monthly_work_hours!$M:$M,monthly_work_hours!$A:$A,'FTE 계산'!$A197,monthly_work_hours!$H:$H,'FTE 계산'!G$2)</f>
        <v>165.8</v>
      </c>
      <c r="H197">
        <f>(SUMIFS(monthly_work_hours!$I:$I,monthly_work_hours!$A:$A,'FTE 계산'!$A197,monthly_work_hours!$H:$H,'FTE 계산'!H$2)) - (SUMIFS(monthly_work_hours!$L:$L,monthly_work_hours!$A:$A,'FTE 계산'!$A197,monthly_work_hours!$H:$H,'FTE 계산'!H$2))</f>
        <v>19</v>
      </c>
      <c r="I197">
        <f>(SUMIFS(monthly_work_hours!$I:$I,monthly_work_hours!$A:$A,'FTE 계산'!$A197,monthly_work_hours!$H:$H,'FTE 계산'!I$2)) - (SUMIFS(monthly_work_hours!$L:$L,monthly_work_hours!$A:$A,'FTE 계산'!$A197,monthly_work_hours!$H:$H,'FTE 계산'!I$2))</f>
        <v>21</v>
      </c>
      <c r="J197">
        <f>(SUMIFS(monthly_work_hours!$I:$I,monthly_work_hours!$A:$A,'FTE 계산'!$A197,monthly_work_hours!$H:$H,'FTE 계산'!J$2)) - (SUMIFS(monthly_work_hours!$L:$L,monthly_work_hours!$A:$A,'FTE 계산'!$A197,monthly_work_hours!$H:$H,'FTE 계산'!J$2))</f>
        <v>16</v>
      </c>
    </row>
    <row r="198" spans="1:10" x14ac:dyDescent="0.45">
      <c r="A198">
        <v>1223104</v>
      </c>
      <c r="B198" t="str">
        <f>_xlfn.XLOOKUP(A198,monthly_work_hours!A:A,monthly_work_hours!B:B)</f>
        <v>이승현</v>
      </c>
      <c r="C198" t="str">
        <f>_xlfn.XLOOKUP(A198,monthly_work_hours!A:A,monthly_work_hours!E:E)</f>
        <v>FL설계팀</v>
      </c>
      <c r="D198" t="str">
        <f>_xlfn.XLOOKUP(A198,monthly_work_hours!A:A,monthly_work_hours!F:F)</f>
        <v>사원</v>
      </c>
      <c r="E198">
        <f>SUMIFS(monthly_work_hours!$M:$M,monthly_work_hours!$A:$A,'FTE 계산'!$A198,monthly_work_hours!$H:$H,'FTE 계산'!E$2)</f>
        <v>137.5</v>
      </c>
      <c r="F198">
        <f>SUMIFS(monthly_work_hours!$M:$M,monthly_work_hours!$A:$A,'FTE 계산'!$A198,monthly_work_hours!$H:$H,'FTE 계산'!F$2)</f>
        <v>127.5</v>
      </c>
      <c r="G198">
        <f>SUMIFS(monthly_work_hours!$M:$M,monthly_work_hours!$A:$A,'FTE 계산'!$A198,monthly_work_hours!$H:$H,'FTE 계산'!G$2)</f>
        <v>127.7</v>
      </c>
      <c r="H198">
        <f>(SUMIFS(monthly_work_hours!$I:$I,monthly_work_hours!$A:$A,'FTE 계산'!$A198,monthly_work_hours!$H:$H,'FTE 계산'!H$2)) - (SUMIFS(monthly_work_hours!$L:$L,monthly_work_hours!$A:$A,'FTE 계산'!$A198,monthly_work_hours!$H:$H,'FTE 계산'!H$2))</f>
        <v>16</v>
      </c>
      <c r="I198">
        <f>(SUMIFS(monthly_work_hours!$I:$I,monthly_work_hours!$A:$A,'FTE 계산'!$A198,monthly_work_hours!$H:$H,'FTE 계산'!I$2)) - (SUMIFS(monthly_work_hours!$L:$L,monthly_work_hours!$A:$A,'FTE 계산'!$A198,monthly_work_hours!$H:$H,'FTE 계산'!I$2))</f>
        <v>14</v>
      </c>
      <c r="J198">
        <f>(SUMIFS(monthly_work_hours!$I:$I,monthly_work_hours!$A:$A,'FTE 계산'!$A198,monthly_work_hours!$H:$H,'FTE 계산'!J$2)) - (SUMIFS(monthly_work_hours!$L:$L,monthly_work_hours!$A:$A,'FTE 계산'!$A198,monthly_work_hours!$H:$H,'FTE 계산'!J$2))</f>
        <v>15</v>
      </c>
    </row>
    <row r="199" spans="1:10" x14ac:dyDescent="0.45">
      <c r="A199">
        <v>1223105</v>
      </c>
      <c r="B199" t="str">
        <f>_xlfn.XLOOKUP(A199,monthly_work_hours!A:A,monthly_work_hours!B:B)</f>
        <v>이호준</v>
      </c>
      <c r="C199" t="str">
        <f>_xlfn.XLOOKUP(A199,monthly_work_hours!A:A,monthly_work_hours!E:E)</f>
        <v>FL생산기술팀</v>
      </c>
      <c r="D199" t="str">
        <f>_xlfn.XLOOKUP(A199,monthly_work_hours!A:A,monthly_work_hours!F:F)</f>
        <v>사원</v>
      </c>
      <c r="E199">
        <f>SUMIFS(monthly_work_hours!$M:$M,monthly_work_hours!$A:$A,'FTE 계산'!$A199,monthly_work_hours!$H:$H,'FTE 계산'!E$2)</f>
        <v>192</v>
      </c>
      <c r="F199">
        <f>SUMIFS(monthly_work_hours!$M:$M,monthly_work_hours!$A:$A,'FTE 계산'!$A199,monthly_work_hours!$H:$H,'FTE 계산'!F$2)</f>
        <v>217.2</v>
      </c>
      <c r="G199">
        <f>SUMIFS(monthly_work_hours!$M:$M,monthly_work_hours!$A:$A,'FTE 계산'!$A199,monthly_work_hours!$H:$H,'FTE 계산'!G$2)</f>
        <v>171.7</v>
      </c>
      <c r="H199">
        <f>(SUMIFS(monthly_work_hours!$I:$I,monthly_work_hours!$A:$A,'FTE 계산'!$A199,monthly_work_hours!$H:$H,'FTE 계산'!H$2)) - (SUMIFS(monthly_work_hours!$L:$L,monthly_work_hours!$A:$A,'FTE 계산'!$A199,monthly_work_hours!$H:$H,'FTE 계산'!H$2))</f>
        <v>18</v>
      </c>
      <c r="I199">
        <f>(SUMIFS(monthly_work_hours!$I:$I,monthly_work_hours!$A:$A,'FTE 계산'!$A199,monthly_work_hours!$H:$H,'FTE 계산'!I$2)) - (SUMIFS(monthly_work_hours!$L:$L,monthly_work_hours!$A:$A,'FTE 계산'!$A199,monthly_work_hours!$H:$H,'FTE 계산'!I$2))</f>
        <v>18</v>
      </c>
      <c r="J199">
        <f>(SUMIFS(monthly_work_hours!$I:$I,monthly_work_hours!$A:$A,'FTE 계산'!$A199,monthly_work_hours!$H:$H,'FTE 계산'!J$2)) - (SUMIFS(monthly_work_hours!$L:$L,monthly_work_hours!$A:$A,'FTE 계산'!$A199,monthly_work_hours!$H:$H,'FTE 계산'!J$2))</f>
        <v>16</v>
      </c>
    </row>
    <row r="200" spans="1:10" x14ac:dyDescent="0.45">
      <c r="A200">
        <v>1223106</v>
      </c>
      <c r="B200" t="str">
        <f>_xlfn.XLOOKUP(A200,monthly_work_hours!A:A,monthly_work_hours!B:B)</f>
        <v>유나경</v>
      </c>
      <c r="C200" t="str">
        <f>_xlfn.XLOOKUP(A200,monthly_work_hours!A:A,monthly_work_hours!E:E)</f>
        <v>공정혁신팀</v>
      </c>
      <c r="D200" t="str">
        <f>_xlfn.XLOOKUP(A200,monthly_work_hours!A:A,monthly_work_hours!F:F)</f>
        <v>사원</v>
      </c>
      <c r="E200">
        <f>SUMIFS(monthly_work_hours!$M:$M,monthly_work_hours!$A:$A,'FTE 계산'!$A200,monthly_work_hours!$H:$H,'FTE 계산'!E$2)</f>
        <v>150.4</v>
      </c>
      <c r="F200">
        <f>SUMIFS(monthly_work_hours!$M:$M,monthly_work_hours!$A:$A,'FTE 계산'!$A200,monthly_work_hours!$H:$H,'FTE 계산'!F$2)</f>
        <v>173.6</v>
      </c>
      <c r="G200">
        <f>SUMIFS(monthly_work_hours!$M:$M,monthly_work_hours!$A:$A,'FTE 계산'!$A200,monthly_work_hours!$H:$H,'FTE 계산'!G$2)</f>
        <v>105.2</v>
      </c>
      <c r="H200">
        <f>(SUMIFS(monthly_work_hours!$I:$I,monthly_work_hours!$A:$A,'FTE 계산'!$A200,monthly_work_hours!$H:$H,'FTE 계산'!H$2)) - (SUMIFS(monthly_work_hours!$L:$L,monthly_work_hours!$A:$A,'FTE 계산'!$A200,monthly_work_hours!$H:$H,'FTE 계산'!H$2))</f>
        <v>16</v>
      </c>
      <c r="I200">
        <f>(SUMIFS(monthly_work_hours!$I:$I,monthly_work_hours!$A:$A,'FTE 계산'!$A200,monthly_work_hours!$H:$H,'FTE 계산'!I$2)) - (SUMIFS(monthly_work_hours!$L:$L,monthly_work_hours!$A:$A,'FTE 계산'!$A200,monthly_work_hours!$H:$H,'FTE 계산'!I$2))</f>
        <v>18</v>
      </c>
      <c r="J200">
        <f>(SUMIFS(monthly_work_hours!$I:$I,monthly_work_hours!$A:$A,'FTE 계산'!$A200,monthly_work_hours!$H:$H,'FTE 계산'!J$2)) - (SUMIFS(monthly_work_hours!$L:$L,monthly_work_hours!$A:$A,'FTE 계산'!$A200,monthly_work_hours!$H:$H,'FTE 계산'!J$2))</f>
        <v>14</v>
      </c>
    </row>
    <row r="201" spans="1:10" x14ac:dyDescent="0.45">
      <c r="A201">
        <v>1223108</v>
      </c>
      <c r="B201" t="str">
        <f>_xlfn.XLOOKUP(A201,monthly_work_hours!A:A,monthly_work_hours!B:B)</f>
        <v>고민정</v>
      </c>
      <c r="C201" t="str">
        <f>_xlfn.XLOOKUP(A201,monthly_work_hours!A:A,monthly_work_hours!E:E)</f>
        <v>선행개발팀</v>
      </c>
      <c r="D201" t="str">
        <f>_xlfn.XLOOKUP(A201,monthly_work_hours!A:A,monthly_work_hours!F:F)</f>
        <v>사원</v>
      </c>
      <c r="E201">
        <f>SUMIFS(monthly_work_hours!$M:$M,monthly_work_hours!$A:$A,'FTE 계산'!$A201,monthly_work_hours!$H:$H,'FTE 계산'!E$2)</f>
        <v>145.30000000000001</v>
      </c>
      <c r="F201">
        <f>SUMIFS(monthly_work_hours!$M:$M,monthly_work_hours!$A:$A,'FTE 계산'!$A201,monthly_work_hours!$H:$H,'FTE 계산'!F$2)</f>
        <v>145.9</v>
      </c>
      <c r="G201">
        <f>SUMIFS(monthly_work_hours!$M:$M,monthly_work_hours!$A:$A,'FTE 계산'!$A201,monthly_work_hours!$H:$H,'FTE 계산'!G$2)</f>
        <v>137.80000000000001</v>
      </c>
      <c r="H201">
        <f>(SUMIFS(monthly_work_hours!$I:$I,monthly_work_hours!$A:$A,'FTE 계산'!$A201,monthly_work_hours!$H:$H,'FTE 계산'!H$2)) - (SUMIFS(monthly_work_hours!$L:$L,monthly_work_hours!$A:$A,'FTE 계산'!$A201,monthly_work_hours!$H:$H,'FTE 계산'!H$2))</f>
        <v>17</v>
      </c>
      <c r="I201">
        <f>(SUMIFS(monthly_work_hours!$I:$I,monthly_work_hours!$A:$A,'FTE 계산'!$A201,monthly_work_hours!$H:$H,'FTE 계산'!I$2)) - (SUMIFS(monthly_work_hours!$L:$L,monthly_work_hours!$A:$A,'FTE 계산'!$A201,monthly_work_hours!$H:$H,'FTE 계산'!I$2))</f>
        <v>17</v>
      </c>
      <c r="J201">
        <f>(SUMIFS(monthly_work_hours!$I:$I,monthly_work_hours!$A:$A,'FTE 계산'!$A201,monthly_work_hours!$H:$H,'FTE 계산'!J$2)) - (SUMIFS(monthly_work_hours!$L:$L,monthly_work_hours!$A:$A,'FTE 계산'!$A201,monthly_work_hours!$H:$H,'FTE 계산'!J$2))</f>
        <v>16</v>
      </c>
    </row>
    <row r="202" spans="1:10" x14ac:dyDescent="0.45">
      <c r="A202">
        <v>1224008</v>
      </c>
      <c r="B202" t="str">
        <f>_xlfn.XLOOKUP(A202,monthly_work_hours!A:A,monthly_work_hours!B:B)</f>
        <v>김성민</v>
      </c>
      <c r="C202" t="e">
        <f>_xlfn.XLOOKUP(A202,monthly_work_hours!A:A,monthly_work_hours!E:E)</f>
        <v>#N/A</v>
      </c>
      <c r="D202" t="str">
        <f>_xlfn.XLOOKUP(A202,monthly_work_hours!A:A,monthly_work_hours!F:F)</f>
        <v>책임</v>
      </c>
      <c r="E202">
        <f>SUMIFS(monthly_work_hours!$M:$M,monthly_work_hours!$A:$A,'FTE 계산'!$A202,monthly_work_hours!$H:$H,'FTE 계산'!E$2)</f>
        <v>161.4</v>
      </c>
      <c r="F202">
        <f>SUMIFS(monthly_work_hours!$M:$M,monthly_work_hours!$A:$A,'FTE 계산'!$A202,monthly_work_hours!$H:$H,'FTE 계산'!F$2)</f>
        <v>165.8</v>
      </c>
      <c r="G202">
        <f>SUMIFS(monthly_work_hours!$M:$M,monthly_work_hours!$A:$A,'FTE 계산'!$A202,monthly_work_hours!$H:$H,'FTE 계산'!G$2)</f>
        <v>125.8</v>
      </c>
      <c r="H202">
        <f>(SUMIFS(monthly_work_hours!$I:$I,monthly_work_hours!$A:$A,'FTE 계산'!$A202,monthly_work_hours!$H:$H,'FTE 계산'!H$2)) - (SUMIFS(monthly_work_hours!$L:$L,monthly_work_hours!$A:$A,'FTE 계산'!$A202,monthly_work_hours!$H:$H,'FTE 계산'!H$2))</f>
        <v>18</v>
      </c>
      <c r="I202">
        <f>(SUMIFS(monthly_work_hours!$I:$I,monthly_work_hours!$A:$A,'FTE 계산'!$A202,monthly_work_hours!$H:$H,'FTE 계산'!I$2)) - (SUMIFS(monthly_work_hours!$L:$L,monthly_work_hours!$A:$A,'FTE 계산'!$A202,monthly_work_hours!$H:$H,'FTE 계산'!I$2))</f>
        <v>18</v>
      </c>
      <c r="J202">
        <f>(SUMIFS(monthly_work_hours!$I:$I,monthly_work_hours!$A:$A,'FTE 계산'!$A202,monthly_work_hours!$H:$H,'FTE 계산'!J$2)) - (SUMIFS(monthly_work_hours!$L:$L,monthly_work_hours!$A:$A,'FTE 계산'!$A202,monthly_work_hours!$H:$H,'FTE 계산'!J$2))</f>
        <v>14</v>
      </c>
    </row>
    <row r="203" spans="1:10" x14ac:dyDescent="0.45">
      <c r="A203">
        <v>1224009</v>
      </c>
      <c r="B203" t="str">
        <f>_xlfn.XLOOKUP(A203,monthly_work_hours!A:A,monthly_work_hours!B:B)</f>
        <v>임창헌</v>
      </c>
      <c r="C203" t="str">
        <f>_xlfn.XLOOKUP(A203,monthly_work_hours!A:A,monthly_work_hours!E:E)</f>
        <v>SL생산팀</v>
      </c>
      <c r="D203" t="str">
        <f>_xlfn.XLOOKUP(A203,monthly_work_hours!A:A,monthly_work_hours!F:F)</f>
        <v>선임</v>
      </c>
      <c r="E203">
        <f>SUMIFS(monthly_work_hours!$M:$M,monthly_work_hours!$A:$A,'FTE 계산'!$A203,monthly_work_hours!$H:$H,'FTE 계산'!E$2)</f>
        <v>158.80000000000001</v>
      </c>
      <c r="F203">
        <f>SUMIFS(monthly_work_hours!$M:$M,monthly_work_hours!$A:$A,'FTE 계산'!$A203,monthly_work_hours!$H:$H,'FTE 계산'!F$2)</f>
        <v>150</v>
      </c>
      <c r="G203">
        <f>SUMIFS(monthly_work_hours!$M:$M,monthly_work_hours!$A:$A,'FTE 계산'!$A203,monthly_work_hours!$H:$H,'FTE 계산'!G$2)</f>
        <v>140.9</v>
      </c>
      <c r="H203">
        <f>(SUMIFS(monthly_work_hours!$I:$I,monthly_work_hours!$A:$A,'FTE 계산'!$A203,monthly_work_hours!$H:$H,'FTE 계산'!H$2)) - (SUMIFS(monthly_work_hours!$L:$L,monthly_work_hours!$A:$A,'FTE 계산'!$A203,monthly_work_hours!$H:$H,'FTE 계산'!H$2))</f>
        <v>18</v>
      </c>
      <c r="I203">
        <f>(SUMIFS(monthly_work_hours!$I:$I,monthly_work_hours!$A:$A,'FTE 계산'!$A203,monthly_work_hours!$H:$H,'FTE 계산'!I$2)) - (SUMIFS(monthly_work_hours!$L:$L,monthly_work_hours!$A:$A,'FTE 계산'!$A203,monthly_work_hours!$H:$H,'FTE 계산'!I$2))</f>
        <v>19</v>
      </c>
      <c r="J203">
        <f>(SUMIFS(monthly_work_hours!$I:$I,monthly_work_hours!$A:$A,'FTE 계산'!$A203,monthly_work_hours!$H:$H,'FTE 계산'!J$2)) - (SUMIFS(monthly_work_hours!$L:$L,monthly_work_hours!$A:$A,'FTE 계산'!$A203,monthly_work_hours!$H:$H,'FTE 계산'!J$2))</f>
        <v>16</v>
      </c>
    </row>
    <row r="204" spans="1:10" x14ac:dyDescent="0.45">
      <c r="A204">
        <v>1224012</v>
      </c>
      <c r="B204" t="str">
        <f>_xlfn.XLOOKUP(A204,monthly_work_hours!A:A,monthly_work_hours!B:B)</f>
        <v>문성철</v>
      </c>
      <c r="C204" t="str">
        <f>_xlfn.XLOOKUP(A204,monthly_work_hours!A:A,monthly_work_hours!E:E)</f>
        <v>관체사업팀</v>
      </c>
      <c r="D204" t="str">
        <f>_xlfn.XLOOKUP(A204,monthly_work_hours!A:A,monthly_work_hours!F:F)</f>
        <v>책임</v>
      </c>
      <c r="E204">
        <f>SUMIFS(monthly_work_hours!$M:$M,monthly_work_hours!$A:$A,'FTE 계산'!$A204,monthly_work_hours!$H:$H,'FTE 계산'!E$2)</f>
        <v>211.6</v>
      </c>
      <c r="F204">
        <f>SUMIFS(monthly_work_hours!$M:$M,monthly_work_hours!$A:$A,'FTE 계산'!$A204,monthly_work_hours!$H:$H,'FTE 계산'!F$2)</f>
        <v>201.1</v>
      </c>
      <c r="G204">
        <f>SUMIFS(monthly_work_hours!$M:$M,monthly_work_hours!$A:$A,'FTE 계산'!$A204,monthly_work_hours!$H:$H,'FTE 계산'!G$2)</f>
        <v>183.7</v>
      </c>
      <c r="H204">
        <f>(SUMIFS(monthly_work_hours!$I:$I,monthly_work_hours!$A:$A,'FTE 계산'!$A204,monthly_work_hours!$H:$H,'FTE 계산'!H$2)) - (SUMIFS(monthly_work_hours!$L:$L,monthly_work_hours!$A:$A,'FTE 계산'!$A204,monthly_work_hours!$H:$H,'FTE 계산'!H$2))</f>
        <v>19</v>
      </c>
      <c r="I204">
        <f>(SUMIFS(monthly_work_hours!$I:$I,monthly_work_hours!$A:$A,'FTE 계산'!$A204,monthly_work_hours!$H:$H,'FTE 계산'!I$2)) - (SUMIFS(monthly_work_hours!$L:$L,monthly_work_hours!$A:$A,'FTE 계산'!$A204,monthly_work_hours!$H:$H,'FTE 계산'!I$2))</f>
        <v>19</v>
      </c>
      <c r="J204">
        <f>(SUMIFS(monthly_work_hours!$I:$I,monthly_work_hours!$A:$A,'FTE 계산'!$A204,monthly_work_hours!$H:$H,'FTE 계산'!J$2)) - (SUMIFS(monthly_work_hours!$L:$L,monthly_work_hours!$A:$A,'FTE 계산'!$A204,monthly_work_hours!$H:$H,'FTE 계산'!J$2))</f>
        <v>16</v>
      </c>
    </row>
    <row r="205" spans="1:10" x14ac:dyDescent="0.45">
      <c r="A205">
        <v>1224020</v>
      </c>
      <c r="B205" t="str">
        <f>_xlfn.XLOOKUP(A205,monthly_work_hours!A:A,monthly_work_hours!B:B)</f>
        <v>심지빈</v>
      </c>
      <c r="C205" t="str">
        <f>_xlfn.XLOOKUP(A205,monthly_work_hours!A:A,monthly_work_hours!E:E)</f>
        <v>SL영업팀</v>
      </c>
      <c r="D205" t="str">
        <f>_xlfn.XLOOKUP(A205,monthly_work_hours!A:A,monthly_work_hours!F:F)</f>
        <v>사원</v>
      </c>
      <c r="E205">
        <f>SUMIFS(monthly_work_hours!$M:$M,monthly_work_hours!$A:$A,'FTE 계산'!$A205,monthly_work_hours!$H:$H,'FTE 계산'!E$2)</f>
        <v>118.1</v>
      </c>
      <c r="F205">
        <f>SUMIFS(monthly_work_hours!$M:$M,monthly_work_hours!$A:$A,'FTE 계산'!$A205,monthly_work_hours!$H:$H,'FTE 계산'!F$2)</f>
        <v>148.6</v>
      </c>
      <c r="G205">
        <f>SUMIFS(monthly_work_hours!$M:$M,monthly_work_hours!$A:$A,'FTE 계산'!$A205,monthly_work_hours!$H:$H,'FTE 계산'!G$2)</f>
        <v>142.5</v>
      </c>
      <c r="H205">
        <f>(SUMIFS(monthly_work_hours!$I:$I,monthly_work_hours!$A:$A,'FTE 계산'!$A205,monthly_work_hours!$H:$H,'FTE 계산'!H$2)) - (SUMIFS(monthly_work_hours!$L:$L,monthly_work_hours!$A:$A,'FTE 계산'!$A205,monthly_work_hours!$H:$H,'FTE 계산'!H$2))</f>
        <v>15</v>
      </c>
      <c r="I205">
        <f>(SUMIFS(monthly_work_hours!$I:$I,monthly_work_hours!$A:$A,'FTE 계산'!$A205,monthly_work_hours!$H:$H,'FTE 계산'!I$2)) - (SUMIFS(monthly_work_hours!$L:$L,monthly_work_hours!$A:$A,'FTE 계산'!$A205,monthly_work_hours!$H:$H,'FTE 계산'!I$2))</f>
        <v>17</v>
      </c>
      <c r="J205">
        <f>(SUMIFS(monthly_work_hours!$I:$I,monthly_work_hours!$A:$A,'FTE 계산'!$A205,monthly_work_hours!$H:$H,'FTE 계산'!J$2)) - (SUMIFS(monthly_work_hours!$L:$L,monthly_work_hours!$A:$A,'FTE 계산'!$A205,monthly_work_hours!$H:$H,'FTE 계산'!J$2))</f>
        <v>16</v>
      </c>
    </row>
    <row r="206" spans="1:10" x14ac:dyDescent="0.45">
      <c r="A206">
        <v>1224021</v>
      </c>
      <c r="B206" t="str">
        <f>_xlfn.XLOOKUP(A206,monthly_work_hours!A:A,monthly_work_hours!B:B)</f>
        <v>정주영</v>
      </c>
      <c r="C206" t="str">
        <f>_xlfn.XLOOKUP(A206,monthly_work_hours!A:A,monthly_work_hours!E:E)</f>
        <v>FL영업팀</v>
      </c>
      <c r="D206" t="str">
        <f>_xlfn.XLOOKUP(A206,monthly_work_hours!A:A,monthly_work_hours!F:F)</f>
        <v>사원</v>
      </c>
      <c r="E206">
        <f>SUMIFS(monthly_work_hours!$M:$M,monthly_work_hours!$A:$A,'FTE 계산'!$A206,monthly_work_hours!$H:$H,'FTE 계산'!E$2)</f>
        <v>234.7</v>
      </c>
      <c r="F206">
        <f>SUMIFS(monthly_work_hours!$M:$M,monthly_work_hours!$A:$A,'FTE 계산'!$A206,monthly_work_hours!$H:$H,'FTE 계산'!F$2)</f>
        <v>178.4</v>
      </c>
      <c r="G206">
        <f>SUMIFS(monthly_work_hours!$M:$M,monthly_work_hours!$A:$A,'FTE 계산'!$A206,monthly_work_hours!$H:$H,'FTE 계산'!G$2)</f>
        <v>173.5</v>
      </c>
      <c r="H206">
        <f>(SUMIFS(monthly_work_hours!$I:$I,monthly_work_hours!$A:$A,'FTE 계산'!$A206,monthly_work_hours!$H:$H,'FTE 계산'!H$2)) - (SUMIFS(monthly_work_hours!$L:$L,monthly_work_hours!$A:$A,'FTE 계산'!$A206,monthly_work_hours!$H:$H,'FTE 계산'!H$2))</f>
        <v>19</v>
      </c>
      <c r="I206">
        <f>(SUMIFS(monthly_work_hours!$I:$I,monthly_work_hours!$A:$A,'FTE 계산'!$A206,monthly_work_hours!$H:$H,'FTE 계산'!I$2)) - (SUMIFS(monthly_work_hours!$L:$L,monthly_work_hours!$A:$A,'FTE 계산'!$A206,monthly_work_hours!$H:$H,'FTE 계산'!I$2))</f>
        <v>17</v>
      </c>
      <c r="J206">
        <f>(SUMIFS(monthly_work_hours!$I:$I,monthly_work_hours!$A:$A,'FTE 계산'!$A206,monthly_work_hours!$H:$H,'FTE 계산'!J$2)) - (SUMIFS(monthly_work_hours!$L:$L,monthly_work_hours!$A:$A,'FTE 계산'!$A206,monthly_work_hours!$H:$H,'FTE 계산'!J$2))</f>
        <v>16</v>
      </c>
    </row>
    <row r="207" spans="1:10" x14ac:dyDescent="0.45">
      <c r="A207">
        <v>1224024</v>
      </c>
      <c r="B207" t="str">
        <f>_xlfn.XLOOKUP(A207,monthly_work_hours!A:A,monthly_work_hours!B:B)</f>
        <v>박세정</v>
      </c>
      <c r="C207" t="str">
        <f>_xlfn.XLOOKUP(A207,monthly_work_hours!A:A,monthly_work_hours!E:E)</f>
        <v>FL개발팀</v>
      </c>
      <c r="D207" t="str">
        <f>_xlfn.XLOOKUP(A207,monthly_work_hours!A:A,monthly_work_hours!F:F)</f>
        <v>사원</v>
      </c>
      <c r="E207">
        <f>SUMIFS(monthly_work_hours!$M:$M,monthly_work_hours!$A:$A,'FTE 계산'!$A207,monthly_work_hours!$H:$H,'FTE 계산'!E$2)</f>
        <v>157</v>
      </c>
      <c r="F207">
        <f>SUMIFS(monthly_work_hours!$M:$M,monthly_work_hours!$A:$A,'FTE 계산'!$A207,monthly_work_hours!$H:$H,'FTE 계산'!F$2)</f>
        <v>171</v>
      </c>
      <c r="G207">
        <f>SUMIFS(monthly_work_hours!$M:$M,monthly_work_hours!$A:$A,'FTE 계산'!$A207,monthly_work_hours!$H:$H,'FTE 계산'!G$2)</f>
        <v>121.7</v>
      </c>
      <c r="H207">
        <f>(SUMIFS(monthly_work_hours!$I:$I,monthly_work_hours!$A:$A,'FTE 계산'!$A207,monthly_work_hours!$H:$H,'FTE 계산'!H$2)) - (SUMIFS(monthly_work_hours!$L:$L,monthly_work_hours!$A:$A,'FTE 계산'!$A207,monthly_work_hours!$H:$H,'FTE 계산'!H$2))</f>
        <v>18</v>
      </c>
      <c r="I207">
        <f>(SUMIFS(monthly_work_hours!$I:$I,monthly_work_hours!$A:$A,'FTE 계산'!$A207,monthly_work_hours!$H:$H,'FTE 계산'!I$2)) - (SUMIFS(monthly_work_hours!$L:$L,monthly_work_hours!$A:$A,'FTE 계산'!$A207,monthly_work_hours!$H:$H,'FTE 계산'!I$2))</f>
        <v>19</v>
      </c>
      <c r="J207">
        <f>(SUMIFS(monthly_work_hours!$I:$I,monthly_work_hours!$A:$A,'FTE 계산'!$A207,monthly_work_hours!$H:$H,'FTE 계산'!J$2)) - (SUMIFS(monthly_work_hours!$L:$L,monthly_work_hours!$A:$A,'FTE 계산'!$A207,monthly_work_hours!$H:$H,'FTE 계산'!J$2))</f>
        <v>15</v>
      </c>
    </row>
    <row r="208" spans="1:10" x14ac:dyDescent="0.45">
      <c r="A208">
        <v>1224025</v>
      </c>
      <c r="B208" t="str">
        <f>_xlfn.XLOOKUP(A208,monthly_work_hours!A:A,monthly_work_hours!B:B)</f>
        <v>김찬호</v>
      </c>
      <c r="C208" t="str">
        <f>_xlfn.XLOOKUP(A208,monthly_work_hours!A:A,monthly_work_hours!E:E)</f>
        <v>SL개발팀</v>
      </c>
      <c r="D208" t="str">
        <f>_xlfn.XLOOKUP(A208,monthly_work_hours!A:A,monthly_work_hours!F:F)</f>
        <v>선임</v>
      </c>
      <c r="E208">
        <f>SUMIFS(monthly_work_hours!$M:$M,monthly_work_hours!$A:$A,'FTE 계산'!$A208,monthly_work_hours!$H:$H,'FTE 계산'!E$2)</f>
        <v>141.80000000000001</v>
      </c>
      <c r="F208">
        <f>SUMIFS(monthly_work_hours!$M:$M,monthly_work_hours!$A:$A,'FTE 계산'!$A208,monthly_work_hours!$H:$H,'FTE 계산'!F$2)</f>
        <v>184.6</v>
      </c>
      <c r="G208">
        <f>SUMIFS(monthly_work_hours!$M:$M,monthly_work_hours!$A:$A,'FTE 계산'!$A208,monthly_work_hours!$H:$H,'FTE 계산'!G$2)</f>
        <v>135.1</v>
      </c>
      <c r="H208">
        <f>(SUMIFS(monthly_work_hours!$I:$I,monthly_work_hours!$A:$A,'FTE 계산'!$A208,monthly_work_hours!$H:$H,'FTE 계산'!H$2)) - (SUMIFS(monthly_work_hours!$L:$L,monthly_work_hours!$A:$A,'FTE 계산'!$A208,monthly_work_hours!$H:$H,'FTE 계산'!H$2))</f>
        <v>17</v>
      </c>
      <c r="I208">
        <f>(SUMIFS(monthly_work_hours!$I:$I,monthly_work_hours!$A:$A,'FTE 계산'!$A208,monthly_work_hours!$H:$H,'FTE 계산'!I$2)) - (SUMIFS(monthly_work_hours!$L:$L,monthly_work_hours!$A:$A,'FTE 계산'!$A208,monthly_work_hours!$H:$H,'FTE 계산'!I$2))</f>
        <v>17</v>
      </c>
      <c r="J208">
        <f>(SUMIFS(monthly_work_hours!$I:$I,monthly_work_hours!$A:$A,'FTE 계산'!$A208,monthly_work_hours!$H:$H,'FTE 계산'!J$2)) - (SUMIFS(monthly_work_hours!$L:$L,monthly_work_hours!$A:$A,'FTE 계산'!$A208,monthly_work_hours!$H:$H,'FTE 계산'!J$2))</f>
        <v>14</v>
      </c>
    </row>
    <row r="209" spans="1:10" x14ac:dyDescent="0.45">
      <c r="A209">
        <v>1224027</v>
      </c>
      <c r="B209" t="str">
        <f>_xlfn.XLOOKUP(A209,monthly_work_hours!A:A,monthly_work_hours!B:B)</f>
        <v>정인영</v>
      </c>
      <c r="C209" t="str">
        <f>_xlfn.XLOOKUP(A209,monthly_work_hours!A:A,monthly_work_hours!E:E)</f>
        <v>기획팀</v>
      </c>
      <c r="D209" t="str">
        <f>_xlfn.XLOOKUP(A209,monthly_work_hours!A:A,monthly_work_hours!F:F)</f>
        <v>선임</v>
      </c>
      <c r="E209">
        <f>SUMIFS(monthly_work_hours!$M:$M,monthly_work_hours!$A:$A,'FTE 계산'!$A209,monthly_work_hours!$H:$H,'FTE 계산'!E$2)</f>
        <v>160.4</v>
      </c>
      <c r="F209">
        <f>SUMIFS(monthly_work_hours!$M:$M,monthly_work_hours!$A:$A,'FTE 계산'!$A209,monthly_work_hours!$H:$H,'FTE 계산'!F$2)</f>
        <v>219.2</v>
      </c>
      <c r="G209">
        <f>SUMIFS(monthly_work_hours!$M:$M,monthly_work_hours!$A:$A,'FTE 계산'!$A209,monthly_work_hours!$H:$H,'FTE 계산'!G$2)</f>
        <v>140.80000000000001</v>
      </c>
      <c r="H209">
        <f>(SUMIFS(monthly_work_hours!$I:$I,monthly_work_hours!$A:$A,'FTE 계산'!$A209,monthly_work_hours!$H:$H,'FTE 계산'!H$2)) - (SUMIFS(monthly_work_hours!$L:$L,monthly_work_hours!$A:$A,'FTE 계산'!$A209,monthly_work_hours!$H:$H,'FTE 계산'!H$2))</f>
        <v>19</v>
      </c>
      <c r="I209">
        <f>(SUMIFS(monthly_work_hours!$I:$I,monthly_work_hours!$A:$A,'FTE 계산'!$A209,monthly_work_hours!$H:$H,'FTE 계산'!I$2)) - (SUMIFS(monthly_work_hours!$L:$L,monthly_work_hours!$A:$A,'FTE 계산'!$A209,monthly_work_hours!$H:$H,'FTE 계산'!I$2))</f>
        <v>19</v>
      </c>
      <c r="J209">
        <f>(SUMIFS(monthly_work_hours!$I:$I,monthly_work_hours!$A:$A,'FTE 계산'!$A209,monthly_work_hours!$H:$H,'FTE 계산'!J$2)) - (SUMIFS(monthly_work_hours!$L:$L,monthly_work_hours!$A:$A,'FTE 계산'!$A209,monthly_work_hours!$H:$H,'FTE 계산'!J$2))</f>
        <v>16</v>
      </c>
    </row>
    <row r="210" spans="1:10" x14ac:dyDescent="0.45">
      <c r="A210">
        <v>1224028</v>
      </c>
      <c r="B210" t="str">
        <f>_xlfn.XLOOKUP(A210,monthly_work_hours!A:A,monthly_work_hours!B:B)</f>
        <v>황준수</v>
      </c>
      <c r="C210" t="str">
        <f>_xlfn.XLOOKUP(A210,monthly_work_hours!A:A,monthly_work_hours!E:E)</f>
        <v>경영지원팀</v>
      </c>
      <c r="D210" t="str">
        <f>_xlfn.XLOOKUP(A210,monthly_work_hours!A:A,monthly_work_hours!F:F)</f>
        <v>선임</v>
      </c>
      <c r="E210">
        <f>SUMIFS(monthly_work_hours!$M:$M,monthly_work_hours!$A:$A,'FTE 계산'!$A210,monthly_work_hours!$H:$H,'FTE 계산'!E$2)</f>
        <v>175.3</v>
      </c>
      <c r="F210">
        <f>SUMIFS(monthly_work_hours!$M:$M,monthly_work_hours!$A:$A,'FTE 계산'!$A210,monthly_work_hours!$H:$H,'FTE 계산'!F$2)</f>
        <v>176.2</v>
      </c>
      <c r="G210">
        <f>SUMIFS(monthly_work_hours!$M:$M,monthly_work_hours!$A:$A,'FTE 계산'!$A210,monthly_work_hours!$H:$H,'FTE 계산'!G$2)</f>
        <v>117.7</v>
      </c>
      <c r="H210">
        <f>(SUMIFS(monthly_work_hours!$I:$I,monthly_work_hours!$A:$A,'FTE 계산'!$A210,monthly_work_hours!$H:$H,'FTE 계산'!H$2)) - (SUMIFS(monthly_work_hours!$L:$L,monthly_work_hours!$A:$A,'FTE 계산'!$A210,monthly_work_hours!$H:$H,'FTE 계산'!H$2))</f>
        <v>19</v>
      </c>
      <c r="I210">
        <f>(SUMIFS(monthly_work_hours!$I:$I,monthly_work_hours!$A:$A,'FTE 계산'!$A210,monthly_work_hours!$H:$H,'FTE 계산'!I$2)) - (SUMIFS(monthly_work_hours!$L:$L,monthly_work_hours!$A:$A,'FTE 계산'!$A210,monthly_work_hours!$H:$H,'FTE 계산'!I$2))</f>
        <v>18</v>
      </c>
      <c r="J210">
        <f>(SUMIFS(monthly_work_hours!$I:$I,monthly_work_hours!$A:$A,'FTE 계산'!$A210,monthly_work_hours!$H:$H,'FTE 계산'!J$2)) - (SUMIFS(monthly_work_hours!$L:$L,monthly_work_hours!$A:$A,'FTE 계산'!$A210,monthly_work_hours!$H:$H,'FTE 계산'!J$2))</f>
        <v>13</v>
      </c>
    </row>
    <row r="211" spans="1:10" x14ac:dyDescent="0.45">
      <c r="A211">
        <v>1224032</v>
      </c>
      <c r="B211" t="str">
        <f>_xlfn.XLOOKUP(A211,monthly_work_hours!A:A,monthly_work_hours!B:B)</f>
        <v>안상준</v>
      </c>
      <c r="C211" t="str">
        <f>_xlfn.XLOOKUP(A211,monthly_work_hours!A:A,monthly_work_hours!E:E)</f>
        <v>안전보안팀</v>
      </c>
      <c r="D211" t="str">
        <f>_xlfn.XLOOKUP(A211,monthly_work_hours!A:A,monthly_work_hours!F:F)</f>
        <v>사원</v>
      </c>
      <c r="E211">
        <f>SUMIFS(monthly_work_hours!$M:$M,monthly_work_hours!$A:$A,'FTE 계산'!$A211,monthly_work_hours!$H:$H,'FTE 계산'!E$2)</f>
        <v>144</v>
      </c>
      <c r="F211">
        <f>SUMIFS(monthly_work_hours!$M:$M,monthly_work_hours!$A:$A,'FTE 계산'!$A211,monthly_work_hours!$H:$H,'FTE 계산'!F$2)</f>
        <v>164.5</v>
      </c>
      <c r="G211">
        <f>SUMIFS(monthly_work_hours!$M:$M,monthly_work_hours!$A:$A,'FTE 계산'!$A211,monthly_work_hours!$H:$H,'FTE 계산'!G$2)</f>
        <v>105.7</v>
      </c>
      <c r="H211">
        <f>(SUMIFS(monthly_work_hours!$I:$I,monthly_work_hours!$A:$A,'FTE 계산'!$A211,monthly_work_hours!$H:$H,'FTE 계산'!H$2)) - (SUMIFS(monthly_work_hours!$L:$L,monthly_work_hours!$A:$A,'FTE 계산'!$A211,monthly_work_hours!$H:$H,'FTE 계산'!H$2))</f>
        <v>15</v>
      </c>
      <c r="I211">
        <f>(SUMIFS(monthly_work_hours!$I:$I,monthly_work_hours!$A:$A,'FTE 계산'!$A211,monthly_work_hours!$H:$H,'FTE 계산'!I$2)) - (SUMIFS(monthly_work_hours!$L:$L,monthly_work_hours!$A:$A,'FTE 계산'!$A211,monthly_work_hours!$H:$H,'FTE 계산'!I$2))</f>
        <v>18</v>
      </c>
      <c r="J211">
        <f>(SUMIFS(monthly_work_hours!$I:$I,monthly_work_hours!$A:$A,'FTE 계산'!$A211,monthly_work_hours!$H:$H,'FTE 계산'!J$2)) - (SUMIFS(monthly_work_hours!$L:$L,monthly_work_hours!$A:$A,'FTE 계산'!$A211,monthly_work_hours!$H:$H,'FTE 계산'!J$2))</f>
        <v>13</v>
      </c>
    </row>
    <row r="212" spans="1:10" x14ac:dyDescent="0.45">
      <c r="A212">
        <v>1224045</v>
      </c>
      <c r="B212" t="str">
        <f>_xlfn.XLOOKUP(A212,monthly_work_hours!A:A,monthly_work_hours!B:B)</f>
        <v>김환</v>
      </c>
      <c r="C212" t="str">
        <f>_xlfn.XLOOKUP(A212,monthly_work_hours!A:A,monthly_work_hours!E:E)</f>
        <v>제조자동화팀</v>
      </c>
      <c r="D212" t="str">
        <f>_xlfn.XLOOKUP(A212,monthly_work_hours!A:A,monthly_work_hours!F:F)</f>
        <v>선임</v>
      </c>
      <c r="E212">
        <f>SUMIFS(monthly_work_hours!$M:$M,monthly_work_hours!$A:$A,'FTE 계산'!$A212,monthly_work_hours!$H:$H,'FTE 계산'!E$2)</f>
        <v>185.2</v>
      </c>
      <c r="F212">
        <f>SUMIFS(monthly_work_hours!$M:$M,monthly_work_hours!$A:$A,'FTE 계산'!$A212,monthly_work_hours!$H:$H,'FTE 계산'!F$2)</f>
        <v>201.1</v>
      </c>
      <c r="G212">
        <f>SUMIFS(monthly_work_hours!$M:$M,monthly_work_hours!$A:$A,'FTE 계산'!$A212,monthly_work_hours!$H:$H,'FTE 계산'!G$2)</f>
        <v>143.30000000000001</v>
      </c>
      <c r="H212">
        <f>(SUMIFS(monthly_work_hours!$I:$I,monthly_work_hours!$A:$A,'FTE 계산'!$A212,monthly_work_hours!$H:$H,'FTE 계산'!H$2)) - (SUMIFS(monthly_work_hours!$L:$L,monthly_work_hours!$A:$A,'FTE 계산'!$A212,monthly_work_hours!$H:$H,'FTE 계산'!H$2))</f>
        <v>18</v>
      </c>
      <c r="I212">
        <f>(SUMIFS(monthly_work_hours!$I:$I,monthly_work_hours!$A:$A,'FTE 계산'!$A212,monthly_work_hours!$H:$H,'FTE 계산'!I$2)) - (SUMIFS(monthly_work_hours!$L:$L,monthly_work_hours!$A:$A,'FTE 계산'!$A212,monthly_work_hours!$H:$H,'FTE 계산'!I$2))</f>
        <v>18</v>
      </c>
      <c r="J212">
        <f>(SUMIFS(monthly_work_hours!$I:$I,monthly_work_hours!$A:$A,'FTE 계산'!$A212,monthly_work_hours!$H:$H,'FTE 계산'!J$2)) - (SUMIFS(monthly_work_hours!$L:$L,monthly_work_hours!$A:$A,'FTE 계산'!$A212,monthly_work_hours!$H:$H,'FTE 계산'!J$2))</f>
        <v>15</v>
      </c>
    </row>
    <row r="213" spans="1:10" x14ac:dyDescent="0.45">
      <c r="A213">
        <v>1224047</v>
      </c>
      <c r="B213" t="str">
        <f>_xlfn.XLOOKUP(A213,monthly_work_hours!A:A,monthly_work_hours!B:B)</f>
        <v>김경영</v>
      </c>
      <c r="C213" t="str">
        <f>_xlfn.XLOOKUP(A213,monthly_work_hours!A:A,monthly_work_hours!E:E)</f>
        <v>재무팀</v>
      </c>
      <c r="D213" t="str">
        <f>_xlfn.XLOOKUP(A213,monthly_work_hours!A:A,monthly_work_hours!F:F)</f>
        <v>사원</v>
      </c>
      <c r="E213">
        <f>SUMIFS(monthly_work_hours!$M:$M,monthly_work_hours!$A:$A,'FTE 계산'!$A213,monthly_work_hours!$H:$H,'FTE 계산'!E$2)</f>
        <v>192</v>
      </c>
      <c r="F213">
        <f>SUMIFS(monthly_work_hours!$M:$M,monthly_work_hours!$A:$A,'FTE 계산'!$A213,monthly_work_hours!$H:$H,'FTE 계산'!F$2)</f>
        <v>206.6</v>
      </c>
      <c r="G213">
        <f>SUMIFS(monthly_work_hours!$M:$M,monthly_work_hours!$A:$A,'FTE 계산'!$A213,monthly_work_hours!$H:$H,'FTE 계산'!G$2)</f>
        <v>154.4</v>
      </c>
      <c r="H213">
        <f>(SUMIFS(monthly_work_hours!$I:$I,monthly_work_hours!$A:$A,'FTE 계산'!$A213,monthly_work_hours!$H:$H,'FTE 계산'!H$2)) - (SUMIFS(monthly_work_hours!$L:$L,monthly_work_hours!$A:$A,'FTE 계산'!$A213,monthly_work_hours!$H:$H,'FTE 계산'!H$2))</f>
        <v>19</v>
      </c>
      <c r="I213">
        <f>(SUMIFS(monthly_work_hours!$I:$I,monthly_work_hours!$A:$A,'FTE 계산'!$A213,monthly_work_hours!$H:$H,'FTE 계산'!I$2)) - (SUMIFS(monthly_work_hours!$L:$L,monthly_work_hours!$A:$A,'FTE 계산'!$A213,monthly_work_hours!$H:$H,'FTE 계산'!I$2))</f>
        <v>19</v>
      </c>
      <c r="J213">
        <f>(SUMIFS(monthly_work_hours!$I:$I,monthly_work_hours!$A:$A,'FTE 계산'!$A213,monthly_work_hours!$H:$H,'FTE 계산'!J$2)) - (SUMIFS(monthly_work_hours!$L:$L,monthly_work_hours!$A:$A,'FTE 계산'!$A213,monthly_work_hours!$H:$H,'FTE 계산'!J$2))</f>
        <v>17</v>
      </c>
    </row>
    <row r="214" spans="1:10" x14ac:dyDescent="0.45">
      <c r="A214">
        <v>1224048</v>
      </c>
      <c r="B214" t="str">
        <f>_xlfn.XLOOKUP(A214,monthly_work_hours!A:A,monthly_work_hours!B:B)</f>
        <v>이창화</v>
      </c>
      <c r="C214" t="str">
        <f>_xlfn.XLOOKUP(A214,monthly_work_hours!A:A,monthly_work_hours!E:E)</f>
        <v>경영지원팀</v>
      </c>
      <c r="D214" t="str">
        <f>_xlfn.XLOOKUP(A214,monthly_work_hours!A:A,monthly_work_hours!F:F)</f>
        <v>선임</v>
      </c>
      <c r="E214">
        <f>SUMIFS(monthly_work_hours!$M:$M,monthly_work_hours!$A:$A,'FTE 계산'!$A214,monthly_work_hours!$H:$H,'FTE 계산'!E$2)</f>
        <v>184.8</v>
      </c>
      <c r="F214">
        <f>SUMIFS(monthly_work_hours!$M:$M,monthly_work_hours!$A:$A,'FTE 계산'!$A214,monthly_work_hours!$H:$H,'FTE 계산'!F$2)</f>
        <v>184.2</v>
      </c>
      <c r="G214">
        <f>SUMIFS(monthly_work_hours!$M:$M,monthly_work_hours!$A:$A,'FTE 계산'!$A214,monthly_work_hours!$H:$H,'FTE 계산'!G$2)</f>
        <v>143.30000000000001</v>
      </c>
      <c r="H214">
        <f>(SUMIFS(monthly_work_hours!$I:$I,monthly_work_hours!$A:$A,'FTE 계산'!$A214,monthly_work_hours!$H:$H,'FTE 계산'!H$2)) - (SUMIFS(monthly_work_hours!$L:$L,monthly_work_hours!$A:$A,'FTE 계산'!$A214,monthly_work_hours!$H:$H,'FTE 계산'!H$2))</f>
        <v>19</v>
      </c>
      <c r="I214">
        <f>(SUMIFS(monthly_work_hours!$I:$I,monthly_work_hours!$A:$A,'FTE 계산'!$A214,monthly_work_hours!$H:$H,'FTE 계산'!I$2)) - (SUMIFS(monthly_work_hours!$L:$L,monthly_work_hours!$A:$A,'FTE 계산'!$A214,monthly_work_hours!$H:$H,'FTE 계산'!I$2))</f>
        <v>19</v>
      </c>
      <c r="J214">
        <f>(SUMIFS(monthly_work_hours!$I:$I,monthly_work_hours!$A:$A,'FTE 계산'!$A214,monthly_work_hours!$H:$H,'FTE 계산'!J$2)) - (SUMIFS(monthly_work_hours!$L:$L,monthly_work_hours!$A:$A,'FTE 계산'!$A214,monthly_work_hours!$H:$H,'FTE 계산'!J$2))</f>
        <v>15</v>
      </c>
    </row>
    <row r="215" spans="1:10" x14ac:dyDescent="0.45">
      <c r="A215">
        <v>1224049</v>
      </c>
      <c r="B215" t="str">
        <f>_xlfn.XLOOKUP(A215,monthly_work_hours!A:A,monthly_work_hours!B:B)</f>
        <v>정부용</v>
      </c>
      <c r="C215" t="str">
        <f>_xlfn.XLOOKUP(A215,monthly_work_hours!A:A,monthly_work_hours!E:E)</f>
        <v>경영지원팀</v>
      </c>
      <c r="D215" t="str">
        <f>_xlfn.XLOOKUP(A215,monthly_work_hours!A:A,monthly_work_hours!F:F)</f>
        <v>사원</v>
      </c>
      <c r="E215">
        <f>SUMIFS(monthly_work_hours!$M:$M,monthly_work_hours!$A:$A,'FTE 계산'!$A215,monthly_work_hours!$H:$H,'FTE 계산'!E$2)</f>
        <v>194.4</v>
      </c>
      <c r="F215">
        <f>SUMIFS(monthly_work_hours!$M:$M,monthly_work_hours!$A:$A,'FTE 계산'!$A215,monthly_work_hours!$H:$H,'FTE 계산'!F$2)</f>
        <v>235.2</v>
      </c>
      <c r="G215">
        <f>SUMIFS(monthly_work_hours!$M:$M,monthly_work_hours!$A:$A,'FTE 계산'!$A215,monthly_work_hours!$H:$H,'FTE 계산'!G$2)</f>
        <v>132.4</v>
      </c>
      <c r="H215">
        <f>(SUMIFS(monthly_work_hours!$I:$I,monthly_work_hours!$A:$A,'FTE 계산'!$A215,monthly_work_hours!$H:$H,'FTE 계산'!H$2)) - (SUMIFS(monthly_work_hours!$L:$L,monthly_work_hours!$A:$A,'FTE 계산'!$A215,monthly_work_hours!$H:$H,'FTE 계산'!H$2))</f>
        <v>18</v>
      </c>
      <c r="I215">
        <f>(SUMIFS(monthly_work_hours!$I:$I,monthly_work_hours!$A:$A,'FTE 계산'!$A215,monthly_work_hours!$H:$H,'FTE 계산'!I$2)) - (SUMIFS(monthly_work_hours!$L:$L,monthly_work_hours!$A:$A,'FTE 계산'!$A215,monthly_work_hours!$H:$H,'FTE 계산'!I$2))</f>
        <v>21</v>
      </c>
      <c r="J215">
        <f>(SUMIFS(monthly_work_hours!$I:$I,monthly_work_hours!$A:$A,'FTE 계산'!$A215,monthly_work_hours!$H:$H,'FTE 계산'!J$2)) - (SUMIFS(monthly_work_hours!$L:$L,monthly_work_hours!$A:$A,'FTE 계산'!$A215,monthly_work_hours!$H:$H,'FTE 계산'!J$2))</f>
        <v>14</v>
      </c>
    </row>
    <row r="216" spans="1:10" x14ac:dyDescent="0.45">
      <c r="A216">
        <v>1224050</v>
      </c>
      <c r="B216" t="str">
        <f>_xlfn.XLOOKUP(A216,monthly_work_hours!A:A,monthly_work_hours!B:B)</f>
        <v>권민정</v>
      </c>
      <c r="C216" t="str">
        <f>_xlfn.XLOOKUP(A216,monthly_work_hours!A:A,monthly_work_hours!E:E)</f>
        <v>SL구매팀</v>
      </c>
      <c r="D216" t="str">
        <f>_xlfn.XLOOKUP(A216,monthly_work_hours!A:A,monthly_work_hours!F:F)</f>
        <v>사원</v>
      </c>
      <c r="E216">
        <f>SUMIFS(monthly_work_hours!$M:$M,monthly_work_hours!$A:$A,'FTE 계산'!$A216,monthly_work_hours!$H:$H,'FTE 계산'!E$2)</f>
        <v>159.30000000000001</v>
      </c>
      <c r="F216">
        <f>SUMIFS(monthly_work_hours!$M:$M,monthly_work_hours!$A:$A,'FTE 계산'!$A216,monthly_work_hours!$H:$H,'FTE 계산'!F$2)</f>
        <v>141.80000000000001</v>
      </c>
      <c r="G216">
        <f>SUMIFS(monthly_work_hours!$M:$M,monthly_work_hours!$A:$A,'FTE 계산'!$A216,monthly_work_hours!$H:$H,'FTE 계산'!G$2)</f>
        <v>125.8</v>
      </c>
      <c r="H216">
        <f>(SUMIFS(monthly_work_hours!$I:$I,monthly_work_hours!$A:$A,'FTE 계산'!$A216,monthly_work_hours!$H:$H,'FTE 계산'!H$2)) - (SUMIFS(monthly_work_hours!$L:$L,monthly_work_hours!$A:$A,'FTE 계산'!$A216,monthly_work_hours!$H:$H,'FTE 계산'!H$2))</f>
        <v>16</v>
      </c>
      <c r="I216">
        <f>(SUMIFS(monthly_work_hours!$I:$I,monthly_work_hours!$A:$A,'FTE 계산'!$A216,monthly_work_hours!$H:$H,'FTE 계산'!I$2)) - (SUMIFS(monthly_work_hours!$L:$L,monthly_work_hours!$A:$A,'FTE 계산'!$A216,monthly_work_hours!$H:$H,'FTE 계산'!I$2))</f>
        <v>14</v>
      </c>
      <c r="J216">
        <f>(SUMIFS(monthly_work_hours!$I:$I,monthly_work_hours!$A:$A,'FTE 계산'!$A216,monthly_work_hours!$H:$H,'FTE 계산'!J$2)) - (SUMIFS(monthly_work_hours!$L:$L,monthly_work_hours!$A:$A,'FTE 계산'!$A216,monthly_work_hours!$H:$H,'FTE 계산'!J$2))</f>
        <v>14</v>
      </c>
    </row>
    <row r="217" spans="1:10" x14ac:dyDescent="0.45">
      <c r="A217">
        <v>1224051</v>
      </c>
      <c r="B217" t="str">
        <f>_xlfn.XLOOKUP(A217,monthly_work_hours!A:A,monthly_work_hours!B:B)</f>
        <v>최민석</v>
      </c>
      <c r="C217" t="str">
        <f>_xlfn.XLOOKUP(A217,monthly_work_hours!A:A,monthly_work_hours!E:E)</f>
        <v>FL개발팀</v>
      </c>
      <c r="D217" t="str">
        <f>_xlfn.XLOOKUP(A217,monthly_work_hours!A:A,monthly_work_hours!F:F)</f>
        <v>사원</v>
      </c>
      <c r="E217">
        <f>SUMIFS(monthly_work_hours!$M:$M,monthly_work_hours!$A:$A,'FTE 계산'!$A217,monthly_work_hours!$H:$H,'FTE 계산'!E$2)</f>
        <v>98.5</v>
      </c>
      <c r="F217">
        <f>SUMIFS(monthly_work_hours!$M:$M,monthly_work_hours!$A:$A,'FTE 계산'!$A217,monthly_work_hours!$H:$H,'FTE 계산'!F$2)</f>
        <v>72.5</v>
      </c>
      <c r="G217">
        <f>SUMIFS(monthly_work_hours!$M:$M,monthly_work_hours!$A:$A,'FTE 계산'!$A217,monthly_work_hours!$H:$H,'FTE 계산'!G$2)</f>
        <v>77.599999999999994</v>
      </c>
      <c r="H217">
        <f>(SUMIFS(monthly_work_hours!$I:$I,monthly_work_hours!$A:$A,'FTE 계산'!$A217,monthly_work_hours!$H:$H,'FTE 계산'!H$2)) - (SUMIFS(monthly_work_hours!$L:$L,monthly_work_hours!$A:$A,'FTE 계산'!$A217,monthly_work_hours!$H:$H,'FTE 계산'!H$2))</f>
        <v>11</v>
      </c>
      <c r="I217">
        <f>(SUMIFS(monthly_work_hours!$I:$I,monthly_work_hours!$A:$A,'FTE 계산'!$A217,monthly_work_hours!$H:$H,'FTE 계산'!I$2)) - (SUMIFS(monthly_work_hours!$L:$L,monthly_work_hours!$A:$A,'FTE 계산'!$A217,monthly_work_hours!$H:$H,'FTE 계산'!I$2))</f>
        <v>11</v>
      </c>
      <c r="J217">
        <f>(SUMIFS(monthly_work_hours!$I:$I,monthly_work_hours!$A:$A,'FTE 계산'!$A217,monthly_work_hours!$H:$H,'FTE 계산'!J$2)) - (SUMIFS(monthly_work_hours!$L:$L,monthly_work_hours!$A:$A,'FTE 계산'!$A217,monthly_work_hours!$H:$H,'FTE 계산'!J$2))</f>
        <v>11</v>
      </c>
    </row>
    <row r="218" spans="1:10" x14ac:dyDescent="0.45">
      <c r="A218">
        <v>1224052</v>
      </c>
      <c r="B218" t="str">
        <f>_xlfn.XLOOKUP(A218,monthly_work_hours!A:A,monthly_work_hours!B:B)</f>
        <v>박소희</v>
      </c>
      <c r="C218" t="str">
        <f>_xlfn.XLOOKUP(A218,monthly_work_hours!A:A,monthly_work_hours!E:E)</f>
        <v>SL상생협력팀</v>
      </c>
      <c r="D218" t="str">
        <f>_xlfn.XLOOKUP(A218,monthly_work_hours!A:A,monthly_work_hours!F:F)</f>
        <v>사원</v>
      </c>
      <c r="E218">
        <f>SUMIFS(monthly_work_hours!$M:$M,monthly_work_hours!$A:$A,'FTE 계산'!$A218,monthly_work_hours!$H:$H,'FTE 계산'!E$2)</f>
        <v>155.5</v>
      </c>
      <c r="F218">
        <f>SUMIFS(monthly_work_hours!$M:$M,monthly_work_hours!$A:$A,'FTE 계산'!$A218,monthly_work_hours!$H:$H,'FTE 계산'!F$2)</f>
        <v>178.6</v>
      </c>
      <c r="G218">
        <f>SUMIFS(monthly_work_hours!$M:$M,monthly_work_hours!$A:$A,'FTE 계산'!$A218,monthly_work_hours!$H:$H,'FTE 계산'!G$2)</f>
        <v>140.30000000000001</v>
      </c>
      <c r="H218">
        <f>(SUMIFS(monthly_work_hours!$I:$I,monthly_work_hours!$A:$A,'FTE 계산'!$A218,monthly_work_hours!$H:$H,'FTE 계산'!H$2)) - (SUMIFS(monthly_work_hours!$L:$L,monthly_work_hours!$A:$A,'FTE 계산'!$A218,monthly_work_hours!$H:$H,'FTE 계산'!H$2))</f>
        <v>17</v>
      </c>
      <c r="I218">
        <f>(SUMIFS(monthly_work_hours!$I:$I,monthly_work_hours!$A:$A,'FTE 계산'!$A218,monthly_work_hours!$H:$H,'FTE 계산'!I$2)) - (SUMIFS(monthly_work_hours!$L:$L,monthly_work_hours!$A:$A,'FTE 계산'!$A218,monthly_work_hours!$H:$H,'FTE 계산'!I$2))</f>
        <v>19</v>
      </c>
      <c r="J218">
        <f>(SUMIFS(monthly_work_hours!$I:$I,monthly_work_hours!$A:$A,'FTE 계산'!$A218,monthly_work_hours!$H:$H,'FTE 계산'!J$2)) - (SUMIFS(monthly_work_hours!$L:$L,monthly_work_hours!$A:$A,'FTE 계산'!$A218,monthly_work_hours!$H:$H,'FTE 계산'!J$2))</f>
        <v>16</v>
      </c>
    </row>
    <row r="219" spans="1:10" x14ac:dyDescent="0.45">
      <c r="A219">
        <v>1224055</v>
      </c>
      <c r="B219" t="str">
        <f>_xlfn.XLOOKUP(A219,monthly_work_hours!A:A,monthly_work_hours!B:B)</f>
        <v>최성용</v>
      </c>
      <c r="C219" t="str">
        <f>_xlfn.XLOOKUP(A219,monthly_work_hours!A:A,monthly_work_hours!E:E)</f>
        <v>SCM팀</v>
      </c>
      <c r="D219" t="str">
        <f>_xlfn.XLOOKUP(A219,monthly_work_hours!A:A,monthly_work_hours!F:F)</f>
        <v>사원</v>
      </c>
      <c r="E219">
        <f>SUMIFS(monthly_work_hours!$M:$M,monthly_work_hours!$A:$A,'FTE 계산'!$A219,monthly_work_hours!$H:$H,'FTE 계산'!E$2)</f>
        <v>158</v>
      </c>
      <c r="F219">
        <f>SUMIFS(monthly_work_hours!$M:$M,monthly_work_hours!$A:$A,'FTE 계산'!$A219,monthly_work_hours!$H:$H,'FTE 계산'!F$2)</f>
        <v>177.6</v>
      </c>
      <c r="G219">
        <f>SUMIFS(monthly_work_hours!$M:$M,monthly_work_hours!$A:$A,'FTE 계산'!$A219,monthly_work_hours!$H:$H,'FTE 계산'!G$2)</f>
        <v>144.69999999999999</v>
      </c>
      <c r="H219">
        <f>(SUMIFS(monthly_work_hours!$I:$I,monthly_work_hours!$A:$A,'FTE 계산'!$A219,monthly_work_hours!$H:$H,'FTE 계산'!H$2)) - (SUMIFS(monthly_work_hours!$L:$L,monthly_work_hours!$A:$A,'FTE 계산'!$A219,monthly_work_hours!$H:$H,'FTE 계산'!H$2))</f>
        <v>18</v>
      </c>
      <c r="I219">
        <f>(SUMIFS(monthly_work_hours!$I:$I,monthly_work_hours!$A:$A,'FTE 계산'!$A219,monthly_work_hours!$H:$H,'FTE 계산'!I$2)) - (SUMIFS(monthly_work_hours!$L:$L,monthly_work_hours!$A:$A,'FTE 계산'!$A219,monthly_work_hours!$H:$H,'FTE 계산'!I$2))</f>
        <v>19</v>
      </c>
      <c r="J219">
        <f>(SUMIFS(monthly_work_hours!$I:$I,monthly_work_hours!$A:$A,'FTE 계산'!$A219,monthly_work_hours!$H:$H,'FTE 계산'!J$2)) - (SUMIFS(monthly_work_hours!$L:$L,monthly_work_hours!$A:$A,'FTE 계산'!$A219,monthly_work_hours!$H:$H,'FTE 계산'!J$2))</f>
        <v>17</v>
      </c>
    </row>
    <row r="220" spans="1:10" x14ac:dyDescent="0.45">
      <c r="A220">
        <v>1224056</v>
      </c>
      <c r="B220" t="str">
        <f>_xlfn.XLOOKUP(A220,monthly_work_hours!A:A,monthly_work_hours!B:B)</f>
        <v>신디</v>
      </c>
      <c r="C220" t="str">
        <f>_xlfn.XLOOKUP(A220,monthly_work_hours!A:A,monthly_work_hours!E:E)</f>
        <v>B/H사업팀</v>
      </c>
      <c r="D220" t="str">
        <f>_xlfn.XLOOKUP(A220,monthly_work_hours!A:A,monthly_work_hours!F:F)</f>
        <v>사원</v>
      </c>
      <c r="E220">
        <f>SUMIFS(monthly_work_hours!$M:$M,monthly_work_hours!$A:$A,'FTE 계산'!$A220,monthly_work_hours!$H:$H,'FTE 계산'!E$2)</f>
        <v>183.9</v>
      </c>
      <c r="F220">
        <f>SUMIFS(monthly_work_hours!$M:$M,monthly_work_hours!$A:$A,'FTE 계산'!$A220,monthly_work_hours!$H:$H,'FTE 계산'!F$2)</f>
        <v>177.3</v>
      </c>
      <c r="G220">
        <f>SUMIFS(monthly_work_hours!$M:$M,monthly_work_hours!$A:$A,'FTE 계산'!$A220,monthly_work_hours!$H:$H,'FTE 계산'!G$2)</f>
        <v>146.69999999999999</v>
      </c>
      <c r="H220">
        <f>(SUMIFS(monthly_work_hours!$I:$I,monthly_work_hours!$A:$A,'FTE 계산'!$A220,monthly_work_hours!$H:$H,'FTE 계산'!H$2)) - (SUMIFS(monthly_work_hours!$L:$L,monthly_work_hours!$A:$A,'FTE 계산'!$A220,monthly_work_hours!$H:$H,'FTE 계산'!H$2))</f>
        <v>19</v>
      </c>
      <c r="I220">
        <f>(SUMIFS(monthly_work_hours!$I:$I,monthly_work_hours!$A:$A,'FTE 계산'!$A220,monthly_work_hours!$H:$H,'FTE 계산'!I$2)) - (SUMIFS(monthly_work_hours!$L:$L,monthly_work_hours!$A:$A,'FTE 계산'!$A220,monthly_work_hours!$H:$H,'FTE 계산'!I$2))</f>
        <v>19</v>
      </c>
      <c r="J220">
        <f>(SUMIFS(monthly_work_hours!$I:$I,monthly_work_hours!$A:$A,'FTE 계산'!$A220,monthly_work_hours!$H:$H,'FTE 계산'!J$2)) - (SUMIFS(monthly_work_hours!$L:$L,monthly_work_hours!$A:$A,'FTE 계산'!$A220,monthly_work_hours!$H:$H,'FTE 계산'!J$2))</f>
        <v>16</v>
      </c>
    </row>
    <row r="221" spans="1:10" x14ac:dyDescent="0.45">
      <c r="A221">
        <v>1224057</v>
      </c>
      <c r="B221" t="str">
        <f>_xlfn.XLOOKUP(A221,monthly_work_hours!A:A,monthly_work_hours!B:B)</f>
        <v>자보히르</v>
      </c>
      <c r="C221" t="str">
        <f>_xlfn.XLOOKUP(A221,monthly_work_hours!A:A,monthly_work_hours!E:E)</f>
        <v>SL개발팀</v>
      </c>
      <c r="D221" t="str">
        <f>_xlfn.XLOOKUP(A221,monthly_work_hours!A:A,monthly_work_hours!F:F)</f>
        <v>사원</v>
      </c>
      <c r="E221">
        <f>SUMIFS(monthly_work_hours!$M:$M,monthly_work_hours!$A:$A,'FTE 계산'!$A221,monthly_work_hours!$H:$H,'FTE 계산'!E$2)</f>
        <v>162.4</v>
      </c>
      <c r="F221">
        <f>SUMIFS(monthly_work_hours!$M:$M,monthly_work_hours!$A:$A,'FTE 계산'!$A221,monthly_work_hours!$H:$H,'FTE 계산'!F$2)</f>
        <v>139.19999999999999</v>
      </c>
      <c r="G221">
        <f>SUMIFS(monthly_work_hours!$M:$M,monthly_work_hours!$A:$A,'FTE 계산'!$A221,monthly_work_hours!$H:$H,'FTE 계산'!G$2)</f>
        <v>124.5</v>
      </c>
      <c r="H221">
        <f>(SUMIFS(monthly_work_hours!$I:$I,monthly_work_hours!$A:$A,'FTE 계산'!$A221,monthly_work_hours!$H:$H,'FTE 계산'!H$2)) - (SUMIFS(monthly_work_hours!$L:$L,monthly_work_hours!$A:$A,'FTE 계산'!$A221,monthly_work_hours!$H:$H,'FTE 계산'!H$2))</f>
        <v>17</v>
      </c>
      <c r="I221">
        <f>(SUMIFS(monthly_work_hours!$I:$I,monthly_work_hours!$A:$A,'FTE 계산'!$A221,monthly_work_hours!$H:$H,'FTE 계산'!I$2)) - (SUMIFS(monthly_work_hours!$L:$L,monthly_work_hours!$A:$A,'FTE 계산'!$A221,monthly_work_hours!$H:$H,'FTE 계산'!I$2))</f>
        <v>15</v>
      </c>
      <c r="J221">
        <f>(SUMIFS(monthly_work_hours!$I:$I,monthly_work_hours!$A:$A,'FTE 계산'!$A221,monthly_work_hours!$H:$H,'FTE 계산'!J$2)) - (SUMIFS(monthly_work_hours!$L:$L,monthly_work_hours!$A:$A,'FTE 계산'!$A221,monthly_work_hours!$H:$H,'FTE 계산'!J$2))</f>
        <v>14</v>
      </c>
    </row>
    <row r="222" spans="1:10" x14ac:dyDescent="0.45">
      <c r="A222">
        <v>1225001</v>
      </c>
      <c r="B222" t="str">
        <f>_xlfn.XLOOKUP(A222,monthly_work_hours!A:A,monthly_work_hours!B:B)</f>
        <v>허세린</v>
      </c>
      <c r="C222" t="str">
        <f>_xlfn.XLOOKUP(A222,monthly_work_hours!A:A,monthly_work_hours!E:E)</f>
        <v>SL구매팀</v>
      </c>
      <c r="D222" t="str">
        <f>_xlfn.XLOOKUP(A222,monthly_work_hours!A:A,monthly_work_hours!F:F)</f>
        <v>사원</v>
      </c>
      <c r="E222">
        <f>SUMIFS(monthly_work_hours!$M:$M,monthly_work_hours!$A:$A,'FTE 계산'!$A222,monthly_work_hours!$H:$H,'FTE 계산'!E$2)</f>
        <v>180.7</v>
      </c>
      <c r="F222">
        <f>SUMIFS(monthly_work_hours!$M:$M,monthly_work_hours!$A:$A,'FTE 계산'!$A222,monthly_work_hours!$H:$H,'FTE 계산'!F$2)</f>
        <v>166.6</v>
      </c>
      <c r="G222">
        <f>SUMIFS(monthly_work_hours!$M:$M,monthly_work_hours!$A:$A,'FTE 계산'!$A222,monthly_work_hours!$H:$H,'FTE 계산'!G$2)</f>
        <v>143.19999999999999</v>
      </c>
      <c r="H222">
        <f>(SUMIFS(monthly_work_hours!$I:$I,monthly_work_hours!$A:$A,'FTE 계산'!$A222,monthly_work_hours!$H:$H,'FTE 계산'!H$2)) - (SUMIFS(monthly_work_hours!$L:$L,monthly_work_hours!$A:$A,'FTE 계산'!$A222,monthly_work_hours!$H:$H,'FTE 계산'!H$2))</f>
        <v>18</v>
      </c>
      <c r="I222">
        <f>(SUMIFS(monthly_work_hours!$I:$I,monthly_work_hours!$A:$A,'FTE 계산'!$A222,monthly_work_hours!$H:$H,'FTE 계산'!I$2)) - (SUMIFS(monthly_work_hours!$L:$L,monthly_work_hours!$A:$A,'FTE 계산'!$A222,monthly_work_hours!$H:$H,'FTE 계산'!I$2))</f>
        <v>18</v>
      </c>
      <c r="J222">
        <f>(SUMIFS(monthly_work_hours!$I:$I,monthly_work_hours!$A:$A,'FTE 계산'!$A222,monthly_work_hours!$H:$H,'FTE 계산'!J$2)) - (SUMIFS(monthly_work_hours!$L:$L,monthly_work_hours!$A:$A,'FTE 계산'!$A222,monthly_work_hours!$H:$H,'FTE 계산'!J$2))</f>
        <v>16</v>
      </c>
    </row>
    <row r="223" spans="1:10" x14ac:dyDescent="0.45">
      <c r="A223">
        <v>1225002</v>
      </c>
      <c r="B223" t="str">
        <f>_xlfn.XLOOKUP(A223,monthly_work_hours!A:A,monthly_work_hours!B:B)</f>
        <v>민경록</v>
      </c>
      <c r="C223" t="str">
        <f>_xlfn.XLOOKUP(A223,monthly_work_hours!A:A,monthly_work_hours!E:E)</f>
        <v>SL운영팀</v>
      </c>
      <c r="D223" t="str">
        <f>_xlfn.XLOOKUP(A223,monthly_work_hours!A:A,monthly_work_hours!F:F)</f>
        <v>사원</v>
      </c>
      <c r="E223">
        <f>SUMIFS(monthly_work_hours!$M:$M,monthly_work_hours!$A:$A,'FTE 계산'!$A223,monthly_work_hours!$H:$H,'FTE 계산'!E$2)</f>
        <v>106.1</v>
      </c>
      <c r="F223">
        <f>SUMIFS(monthly_work_hours!$M:$M,monthly_work_hours!$A:$A,'FTE 계산'!$A223,monthly_work_hours!$H:$H,'FTE 계산'!F$2)</f>
        <v>175.6</v>
      </c>
      <c r="G223">
        <f>SUMIFS(monthly_work_hours!$M:$M,monthly_work_hours!$A:$A,'FTE 계산'!$A223,monthly_work_hours!$H:$H,'FTE 계산'!G$2)</f>
        <v>138.5</v>
      </c>
      <c r="H223">
        <f>(SUMIFS(monthly_work_hours!$I:$I,monthly_work_hours!$A:$A,'FTE 계산'!$A223,monthly_work_hours!$H:$H,'FTE 계산'!H$2)) - (SUMIFS(monthly_work_hours!$L:$L,monthly_work_hours!$A:$A,'FTE 계산'!$A223,monthly_work_hours!$H:$H,'FTE 계산'!H$2))</f>
        <v>10</v>
      </c>
      <c r="I223">
        <f>(SUMIFS(monthly_work_hours!$I:$I,monthly_work_hours!$A:$A,'FTE 계산'!$A223,monthly_work_hours!$H:$H,'FTE 계산'!I$2)) - (SUMIFS(monthly_work_hours!$L:$L,monthly_work_hours!$A:$A,'FTE 계산'!$A223,monthly_work_hours!$H:$H,'FTE 계산'!I$2))</f>
        <v>18</v>
      </c>
      <c r="J223">
        <f>(SUMIFS(monthly_work_hours!$I:$I,monthly_work_hours!$A:$A,'FTE 계산'!$A223,monthly_work_hours!$H:$H,'FTE 계산'!J$2)) - (SUMIFS(monthly_work_hours!$L:$L,monthly_work_hours!$A:$A,'FTE 계산'!$A223,monthly_work_hours!$H:$H,'FTE 계산'!J$2))</f>
        <v>16</v>
      </c>
    </row>
    <row r="224" spans="1:10" x14ac:dyDescent="0.45">
      <c r="A224">
        <v>1225003</v>
      </c>
      <c r="B224" t="str">
        <f>_xlfn.XLOOKUP(A224,monthly_work_hours!A:A,monthly_work_hours!B:B)</f>
        <v>박준호</v>
      </c>
      <c r="C224" t="str">
        <f>_xlfn.XLOOKUP(A224,monthly_work_hours!A:A,monthly_work_hours!E:E)</f>
        <v>FL영업팀</v>
      </c>
      <c r="D224" t="str">
        <f>_xlfn.XLOOKUP(A224,monthly_work_hours!A:A,monthly_work_hours!F:F)</f>
        <v>사원</v>
      </c>
      <c r="E224">
        <f>SUMIFS(monthly_work_hours!$M:$M,monthly_work_hours!$A:$A,'FTE 계산'!$A224,monthly_work_hours!$H:$H,'FTE 계산'!E$2)</f>
        <v>179.9</v>
      </c>
      <c r="F224">
        <f>SUMIFS(monthly_work_hours!$M:$M,monthly_work_hours!$A:$A,'FTE 계산'!$A224,monthly_work_hours!$H:$H,'FTE 계산'!F$2)</f>
        <v>212</v>
      </c>
      <c r="G224">
        <f>SUMIFS(monthly_work_hours!$M:$M,monthly_work_hours!$A:$A,'FTE 계산'!$A224,monthly_work_hours!$H:$H,'FTE 계산'!G$2)</f>
        <v>185.9</v>
      </c>
      <c r="H224">
        <f>(SUMIFS(monthly_work_hours!$I:$I,monthly_work_hours!$A:$A,'FTE 계산'!$A224,monthly_work_hours!$H:$H,'FTE 계산'!H$2)) - (SUMIFS(monthly_work_hours!$L:$L,monthly_work_hours!$A:$A,'FTE 계산'!$A224,monthly_work_hours!$H:$H,'FTE 계산'!H$2))</f>
        <v>17</v>
      </c>
      <c r="I224">
        <f>(SUMIFS(monthly_work_hours!$I:$I,monthly_work_hours!$A:$A,'FTE 계산'!$A224,monthly_work_hours!$H:$H,'FTE 계산'!I$2)) - (SUMIFS(monthly_work_hours!$L:$L,monthly_work_hours!$A:$A,'FTE 계산'!$A224,monthly_work_hours!$H:$H,'FTE 계산'!I$2))</f>
        <v>19</v>
      </c>
      <c r="J224">
        <f>(SUMIFS(monthly_work_hours!$I:$I,monthly_work_hours!$A:$A,'FTE 계산'!$A224,monthly_work_hours!$H:$H,'FTE 계산'!J$2)) - (SUMIFS(monthly_work_hours!$L:$L,monthly_work_hours!$A:$A,'FTE 계산'!$A224,monthly_work_hours!$H:$H,'FTE 계산'!J$2))</f>
        <v>16</v>
      </c>
    </row>
    <row r="225" spans="1:10" x14ac:dyDescent="0.45">
      <c r="A225">
        <v>1225004</v>
      </c>
      <c r="B225" t="str">
        <f>_xlfn.XLOOKUP(A225,monthly_work_hours!A:A,monthly_work_hours!B:B)</f>
        <v>박성원</v>
      </c>
      <c r="C225" t="str">
        <f>_xlfn.XLOOKUP(A225,monthly_work_hours!A:A,monthly_work_hours!E:E)</f>
        <v>SCM팀</v>
      </c>
      <c r="D225" t="str">
        <f>_xlfn.XLOOKUP(A225,monthly_work_hours!A:A,monthly_work_hours!F:F)</f>
        <v>사원</v>
      </c>
      <c r="E225">
        <f>SUMIFS(monthly_work_hours!$M:$M,monthly_work_hours!$A:$A,'FTE 계산'!$A225,monthly_work_hours!$H:$H,'FTE 계산'!E$2)</f>
        <v>210.2</v>
      </c>
      <c r="F225">
        <f>SUMIFS(monthly_work_hours!$M:$M,monthly_work_hours!$A:$A,'FTE 계산'!$A225,monthly_work_hours!$H:$H,'FTE 계산'!F$2)</f>
        <v>251.2</v>
      </c>
      <c r="G225">
        <f>SUMIFS(monthly_work_hours!$M:$M,monthly_work_hours!$A:$A,'FTE 계산'!$A225,monthly_work_hours!$H:$H,'FTE 계산'!G$2)</f>
        <v>182.3</v>
      </c>
      <c r="H225">
        <f>(SUMIFS(monthly_work_hours!$I:$I,monthly_work_hours!$A:$A,'FTE 계산'!$A225,monthly_work_hours!$H:$H,'FTE 계산'!H$2)) - (SUMIFS(monthly_work_hours!$L:$L,monthly_work_hours!$A:$A,'FTE 계산'!$A225,monthly_work_hours!$H:$H,'FTE 계산'!H$2))</f>
        <v>19</v>
      </c>
      <c r="I225">
        <f>(SUMIFS(monthly_work_hours!$I:$I,monthly_work_hours!$A:$A,'FTE 계산'!$A225,monthly_work_hours!$H:$H,'FTE 계산'!I$2)) - (SUMIFS(monthly_work_hours!$L:$L,monthly_work_hours!$A:$A,'FTE 계산'!$A225,monthly_work_hours!$H:$H,'FTE 계산'!I$2))</f>
        <v>22</v>
      </c>
      <c r="J225">
        <f>(SUMIFS(monthly_work_hours!$I:$I,monthly_work_hours!$A:$A,'FTE 계산'!$A225,monthly_work_hours!$H:$H,'FTE 계산'!J$2)) - (SUMIFS(monthly_work_hours!$L:$L,monthly_work_hours!$A:$A,'FTE 계산'!$A225,monthly_work_hours!$H:$H,'FTE 계산'!J$2))</f>
        <v>17</v>
      </c>
    </row>
    <row r="226" spans="1:10" x14ac:dyDescent="0.45">
      <c r="A226">
        <v>1225005</v>
      </c>
      <c r="B226" t="str">
        <f>_xlfn.XLOOKUP(A226,monthly_work_hours!A:A,monthly_work_hours!B:B)</f>
        <v>양은혜</v>
      </c>
      <c r="C226" t="str">
        <f>_xlfn.XLOOKUP(A226,monthly_work_hours!A:A,monthly_work_hours!E:E)</f>
        <v>SL설계팀</v>
      </c>
      <c r="D226" t="str">
        <f>_xlfn.XLOOKUP(A226,monthly_work_hours!A:A,monthly_work_hours!F:F)</f>
        <v>사원</v>
      </c>
      <c r="E226">
        <f>SUMIFS(monthly_work_hours!$M:$M,monthly_work_hours!$A:$A,'FTE 계산'!$A226,monthly_work_hours!$H:$H,'FTE 계산'!E$2)</f>
        <v>170.3</v>
      </c>
      <c r="F226">
        <f>SUMIFS(monthly_work_hours!$M:$M,monthly_work_hours!$A:$A,'FTE 계산'!$A226,monthly_work_hours!$H:$H,'FTE 계산'!F$2)</f>
        <v>166</v>
      </c>
      <c r="G226">
        <f>SUMIFS(monthly_work_hours!$M:$M,monthly_work_hours!$A:$A,'FTE 계산'!$A226,monthly_work_hours!$H:$H,'FTE 계산'!G$2)</f>
        <v>137.5</v>
      </c>
      <c r="H226">
        <f>(SUMIFS(monthly_work_hours!$I:$I,monthly_work_hours!$A:$A,'FTE 계산'!$A226,monthly_work_hours!$H:$H,'FTE 계산'!H$2)) - (SUMIFS(monthly_work_hours!$L:$L,monthly_work_hours!$A:$A,'FTE 계산'!$A226,monthly_work_hours!$H:$H,'FTE 계산'!H$2))</f>
        <v>18</v>
      </c>
      <c r="I226">
        <f>(SUMIFS(monthly_work_hours!$I:$I,monthly_work_hours!$A:$A,'FTE 계산'!$A226,monthly_work_hours!$H:$H,'FTE 계산'!I$2)) - (SUMIFS(monthly_work_hours!$L:$L,monthly_work_hours!$A:$A,'FTE 계산'!$A226,monthly_work_hours!$H:$H,'FTE 계산'!I$2))</f>
        <v>18</v>
      </c>
      <c r="J226">
        <f>(SUMIFS(monthly_work_hours!$I:$I,monthly_work_hours!$A:$A,'FTE 계산'!$A226,monthly_work_hours!$H:$H,'FTE 계산'!J$2)) - (SUMIFS(monthly_work_hours!$L:$L,monthly_work_hours!$A:$A,'FTE 계산'!$A226,monthly_work_hours!$H:$H,'FTE 계산'!J$2))</f>
        <v>16</v>
      </c>
    </row>
    <row r="227" spans="1:10" x14ac:dyDescent="0.45">
      <c r="A227">
        <v>1225007</v>
      </c>
      <c r="B227" t="str">
        <f>_xlfn.XLOOKUP(A227,monthly_work_hours!A:A,monthly_work_hours!B:B)</f>
        <v>김정현</v>
      </c>
      <c r="C227" t="str">
        <f>_xlfn.XLOOKUP(A227,monthly_work_hours!A:A,monthly_work_hours!E:E)</f>
        <v>FL설계팀</v>
      </c>
      <c r="D227" t="str">
        <f>_xlfn.XLOOKUP(A227,monthly_work_hours!A:A,monthly_work_hours!F:F)</f>
        <v>사원</v>
      </c>
      <c r="E227">
        <f>SUMIFS(monthly_work_hours!$M:$M,monthly_work_hours!$A:$A,'FTE 계산'!$A227,monthly_work_hours!$H:$H,'FTE 계산'!E$2)</f>
        <v>168.4</v>
      </c>
      <c r="F227">
        <f>SUMIFS(monthly_work_hours!$M:$M,monthly_work_hours!$A:$A,'FTE 계산'!$A227,monthly_work_hours!$H:$H,'FTE 계산'!F$2)</f>
        <v>176</v>
      </c>
      <c r="G227">
        <f>SUMIFS(monthly_work_hours!$M:$M,monthly_work_hours!$A:$A,'FTE 계산'!$A227,monthly_work_hours!$H:$H,'FTE 계산'!G$2)</f>
        <v>114.8</v>
      </c>
      <c r="H227">
        <f>(SUMIFS(monthly_work_hours!$I:$I,monthly_work_hours!$A:$A,'FTE 계산'!$A227,monthly_work_hours!$H:$H,'FTE 계산'!H$2)) - (SUMIFS(monthly_work_hours!$L:$L,monthly_work_hours!$A:$A,'FTE 계산'!$A227,monthly_work_hours!$H:$H,'FTE 계산'!H$2))</f>
        <v>18</v>
      </c>
      <c r="I227">
        <f>(SUMIFS(monthly_work_hours!$I:$I,monthly_work_hours!$A:$A,'FTE 계산'!$A227,monthly_work_hours!$H:$H,'FTE 계산'!I$2)) - (SUMIFS(monthly_work_hours!$L:$L,monthly_work_hours!$A:$A,'FTE 계산'!$A227,monthly_work_hours!$H:$H,'FTE 계산'!I$2))</f>
        <v>19</v>
      </c>
      <c r="J227">
        <f>(SUMIFS(monthly_work_hours!$I:$I,monthly_work_hours!$A:$A,'FTE 계산'!$A227,monthly_work_hours!$H:$H,'FTE 계산'!J$2)) - (SUMIFS(monthly_work_hours!$L:$L,monthly_work_hours!$A:$A,'FTE 계산'!$A227,monthly_work_hours!$H:$H,'FTE 계산'!J$2))</f>
        <v>13</v>
      </c>
    </row>
    <row r="228" spans="1:10" x14ac:dyDescent="0.45">
      <c r="A228">
        <v>1225008</v>
      </c>
      <c r="B228" t="str">
        <f>_xlfn.XLOOKUP(A228,monthly_work_hours!A:A,monthly_work_hours!B:B)</f>
        <v>조해정</v>
      </c>
      <c r="C228" t="str">
        <f>_xlfn.XLOOKUP(A228,monthly_work_hours!A:A,monthly_work_hours!E:E)</f>
        <v>FL설계팀</v>
      </c>
      <c r="D228" t="str">
        <f>_xlfn.XLOOKUP(A228,monthly_work_hours!A:A,monthly_work_hours!F:F)</f>
        <v>사원</v>
      </c>
      <c r="E228">
        <f>SUMIFS(monthly_work_hours!$M:$M,monthly_work_hours!$A:$A,'FTE 계산'!$A228,monthly_work_hours!$H:$H,'FTE 계산'!E$2)</f>
        <v>200.2</v>
      </c>
      <c r="F228">
        <f>SUMIFS(monthly_work_hours!$M:$M,monthly_work_hours!$A:$A,'FTE 계산'!$A228,monthly_work_hours!$H:$H,'FTE 계산'!F$2)</f>
        <v>184.3</v>
      </c>
      <c r="G228">
        <f>SUMIFS(monthly_work_hours!$M:$M,monthly_work_hours!$A:$A,'FTE 계산'!$A228,monthly_work_hours!$H:$H,'FTE 계산'!G$2)</f>
        <v>157</v>
      </c>
      <c r="H228">
        <f>(SUMIFS(monthly_work_hours!$I:$I,monthly_work_hours!$A:$A,'FTE 계산'!$A228,monthly_work_hours!$H:$H,'FTE 계산'!H$2)) - (SUMIFS(monthly_work_hours!$L:$L,monthly_work_hours!$A:$A,'FTE 계산'!$A228,monthly_work_hours!$H:$H,'FTE 계산'!H$2))</f>
        <v>19</v>
      </c>
      <c r="I228">
        <f>(SUMIFS(monthly_work_hours!$I:$I,monthly_work_hours!$A:$A,'FTE 계산'!$A228,monthly_work_hours!$H:$H,'FTE 계산'!I$2)) - (SUMIFS(monthly_work_hours!$L:$L,monthly_work_hours!$A:$A,'FTE 계산'!$A228,monthly_work_hours!$H:$H,'FTE 계산'!I$2))</f>
        <v>18</v>
      </c>
      <c r="J228">
        <f>(SUMIFS(monthly_work_hours!$I:$I,monthly_work_hours!$A:$A,'FTE 계산'!$A228,monthly_work_hours!$H:$H,'FTE 계산'!J$2)) - (SUMIFS(monthly_work_hours!$L:$L,monthly_work_hours!$A:$A,'FTE 계산'!$A228,monthly_work_hours!$H:$H,'FTE 계산'!J$2))</f>
        <v>16</v>
      </c>
    </row>
    <row r="229" spans="1:10" x14ac:dyDescent="0.45">
      <c r="A229">
        <v>1225009</v>
      </c>
      <c r="B229" t="str">
        <f>_xlfn.XLOOKUP(A229,monthly_work_hours!A:A,monthly_work_hours!B:B)</f>
        <v>최재원</v>
      </c>
      <c r="C229" t="str">
        <f>_xlfn.XLOOKUP(A229,monthly_work_hours!A:A,monthly_work_hours!E:E)</f>
        <v>HR팀</v>
      </c>
      <c r="D229" t="str">
        <f>_xlfn.XLOOKUP(A229,monthly_work_hours!A:A,monthly_work_hours!F:F)</f>
        <v>선임</v>
      </c>
      <c r="E229">
        <f>SUMIFS(monthly_work_hours!$M:$M,monthly_work_hours!$A:$A,'FTE 계산'!$A229,monthly_work_hours!$H:$H,'FTE 계산'!E$2)</f>
        <v>169</v>
      </c>
      <c r="F229">
        <f>SUMIFS(monthly_work_hours!$M:$M,monthly_work_hours!$A:$A,'FTE 계산'!$A229,monthly_work_hours!$H:$H,'FTE 계산'!F$2)</f>
        <v>170.9</v>
      </c>
      <c r="G229">
        <f>SUMIFS(monthly_work_hours!$M:$M,monthly_work_hours!$A:$A,'FTE 계산'!$A229,monthly_work_hours!$H:$H,'FTE 계산'!G$2)</f>
        <v>131.69999999999999</v>
      </c>
      <c r="H229">
        <f>(SUMIFS(monthly_work_hours!$I:$I,monthly_work_hours!$A:$A,'FTE 계산'!$A229,monthly_work_hours!$H:$H,'FTE 계산'!H$2)) - (SUMIFS(monthly_work_hours!$L:$L,monthly_work_hours!$A:$A,'FTE 계산'!$A229,monthly_work_hours!$H:$H,'FTE 계산'!H$2))</f>
        <v>18</v>
      </c>
      <c r="I229">
        <f>(SUMIFS(monthly_work_hours!$I:$I,monthly_work_hours!$A:$A,'FTE 계산'!$A229,monthly_work_hours!$H:$H,'FTE 계산'!I$2)) - (SUMIFS(monthly_work_hours!$L:$L,monthly_work_hours!$A:$A,'FTE 계산'!$A229,monthly_work_hours!$H:$H,'FTE 계산'!I$2))</f>
        <v>18</v>
      </c>
      <c r="J229">
        <f>(SUMIFS(monthly_work_hours!$I:$I,monthly_work_hours!$A:$A,'FTE 계산'!$A229,monthly_work_hours!$H:$H,'FTE 계산'!J$2)) - (SUMIFS(monthly_work_hours!$L:$L,monthly_work_hours!$A:$A,'FTE 계산'!$A229,monthly_work_hours!$H:$H,'FTE 계산'!J$2))</f>
        <v>16</v>
      </c>
    </row>
    <row r="230" spans="1:10" x14ac:dyDescent="0.45">
      <c r="A230">
        <v>1225010</v>
      </c>
      <c r="B230" t="str">
        <f>_xlfn.XLOOKUP(A230,monthly_work_hours!A:A,monthly_work_hours!B:B)</f>
        <v>정연우</v>
      </c>
      <c r="C230" t="str">
        <f>_xlfn.XLOOKUP(A230,monthly_work_hours!A:A,monthly_work_hours!E:E)</f>
        <v>SL품질보증팀</v>
      </c>
      <c r="D230" t="str">
        <f>_xlfn.XLOOKUP(A230,monthly_work_hours!A:A,monthly_work_hours!F:F)</f>
        <v>사원</v>
      </c>
      <c r="E230">
        <f>SUMIFS(monthly_work_hours!$M:$M,monthly_work_hours!$A:$A,'FTE 계산'!$A230,monthly_work_hours!$H:$H,'FTE 계산'!E$2)</f>
        <v>168.2</v>
      </c>
      <c r="F230">
        <f>SUMIFS(monthly_work_hours!$M:$M,monthly_work_hours!$A:$A,'FTE 계산'!$A230,monthly_work_hours!$H:$H,'FTE 계산'!F$2)</f>
        <v>183.8</v>
      </c>
      <c r="G230">
        <f>SUMIFS(monthly_work_hours!$M:$M,monthly_work_hours!$A:$A,'FTE 계산'!$A230,monthly_work_hours!$H:$H,'FTE 계산'!G$2)</f>
        <v>146.4</v>
      </c>
      <c r="H230">
        <f>(SUMIFS(monthly_work_hours!$I:$I,monthly_work_hours!$A:$A,'FTE 계산'!$A230,monthly_work_hours!$H:$H,'FTE 계산'!H$2)) - (SUMIFS(monthly_work_hours!$L:$L,monthly_work_hours!$A:$A,'FTE 계산'!$A230,monthly_work_hours!$H:$H,'FTE 계산'!H$2))</f>
        <v>18</v>
      </c>
      <c r="I230">
        <f>(SUMIFS(monthly_work_hours!$I:$I,monthly_work_hours!$A:$A,'FTE 계산'!$A230,monthly_work_hours!$H:$H,'FTE 계산'!I$2)) - (SUMIFS(monthly_work_hours!$L:$L,monthly_work_hours!$A:$A,'FTE 계산'!$A230,monthly_work_hours!$H:$H,'FTE 계산'!I$2))</f>
        <v>19</v>
      </c>
      <c r="J230">
        <f>(SUMIFS(monthly_work_hours!$I:$I,monthly_work_hours!$A:$A,'FTE 계산'!$A230,monthly_work_hours!$H:$H,'FTE 계산'!J$2)) - (SUMIFS(monthly_work_hours!$L:$L,monthly_work_hours!$A:$A,'FTE 계산'!$A230,monthly_work_hours!$H:$H,'FTE 계산'!J$2))</f>
        <v>16</v>
      </c>
    </row>
    <row r="231" spans="1:10" x14ac:dyDescent="0.45">
      <c r="A231">
        <v>1225011</v>
      </c>
      <c r="B231" t="str">
        <f>_xlfn.XLOOKUP(A231,monthly_work_hours!A:A,monthly_work_hours!B:B)</f>
        <v>임지은</v>
      </c>
      <c r="C231" t="str">
        <f>_xlfn.XLOOKUP(A231,monthly_work_hours!A:A,monthly_work_hours!E:E)</f>
        <v>SL품질보증팀</v>
      </c>
      <c r="D231" t="str">
        <f>_xlfn.XLOOKUP(A231,monthly_work_hours!A:A,monthly_work_hours!F:F)</f>
        <v>선임</v>
      </c>
      <c r="E231">
        <f>SUMIFS(monthly_work_hours!$M:$M,monthly_work_hours!$A:$A,'FTE 계산'!$A231,monthly_work_hours!$H:$H,'FTE 계산'!E$2)</f>
        <v>66.8</v>
      </c>
      <c r="F231">
        <f>SUMIFS(monthly_work_hours!$M:$M,monthly_work_hours!$A:$A,'FTE 계산'!$A231,monthly_work_hours!$H:$H,'FTE 계산'!F$2)</f>
        <v>71.099999999999994</v>
      </c>
      <c r="G231">
        <f>SUMIFS(monthly_work_hours!$M:$M,monthly_work_hours!$A:$A,'FTE 계산'!$A231,monthly_work_hours!$H:$H,'FTE 계산'!G$2)</f>
        <v>43.4</v>
      </c>
      <c r="H231">
        <f>(SUMIFS(monthly_work_hours!$I:$I,monthly_work_hours!$A:$A,'FTE 계산'!$A231,monthly_work_hours!$H:$H,'FTE 계산'!H$2)) - (SUMIFS(monthly_work_hours!$L:$L,monthly_work_hours!$A:$A,'FTE 계산'!$A231,monthly_work_hours!$H:$H,'FTE 계산'!H$2))</f>
        <v>17</v>
      </c>
      <c r="I231">
        <f>(SUMIFS(monthly_work_hours!$I:$I,monthly_work_hours!$A:$A,'FTE 계산'!$A231,monthly_work_hours!$H:$H,'FTE 계산'!I$2)) - (SUMIFS(monthly_work_hours!$L:$L,monthly_work_hours!$A:$A,'FTE 계산'!$A231,monthly_work_hours!$H:$H,'FTE 계산'!I$2))</f>
        <v>16</v>
      </c>
      <c r="J231">
        <f>(SUMIFS(monthly_work_hours!$I:$I,monthly_work_hours!$A:$A,'FTE 계산'!$A231,monthly_work_hours!$H:$H,'FTE 계산'!J$2)) - (SUMIFS(monthly_work_hours!$L:$L,monthly_work_hours!$A:$A,'FTE 계산'!$A231,monthly_work_hours!$H:$H,'FTE 계산'!J$2))</f>
        <v>11</v>
      </c>
    </row>
    <row r="232" spans="1:10" x14ac:dyDescent="0.45">
      <c r="A232">
        <v>1225012</v>
      </c>
      <c r="B232" t="str">
        <f>_xlfn.XLOOKUP(A232,monthly_work_hours!A:A,monthly_work_hours!B:B)</f>
        <v>김종민</v>
      </c>
      <c r="C232" t="str">
        <f>_xlfn.XLOOKUP(A232,monthly_work_hours!A:A,monthly_work_hours!E:E)</f>
        <v>B/H사업팀</v>
      </c>
      <c r="D232" t="str">
        <f>_xlfn.XLOOKUP(A232,monthly_work_hours!A:A,monthly_work_hours!F:F)</f>
        <v>선임</v>
      </c>
      <c r="E232">
        <f>SUMIFS(monthly_work_hours!$M:$M,monthly_work_hours!$A:$A,'FTE 계산'!$A232,monthly_work_hours!$H:$H,'FTE 계산'!E$2)</f>
        <v>142.6</v>
      </c>
      <c r="F232">
        <f>SUMIFS(monthly_work_hours!$M:$M,monthly_work_hours!$A:$A,'FTE 계산'!$A232,monthly_work_hours!$H:$H,'FTE 계산'!F$2)</f>
        <v>175.8</v>
      </c>
      <c r="G232">
        <f>SUMIFS(monthly_work_hours!$M:$M,monthly_work_hours!$A:$A,'FTE 계산'!$A232,monthly_work_hours!$H:$H,'FTE 계산'!G$2)</f>
        <v>157.1</v>
      </c>
      <c r="H232">
        <f>(SUMIFS(monthly_work_hours!$I:$I,monthly_work_hours!$A:$A,'FTE 계산'!$A232,monthly_work_hours!$H:$H,'FTE 계산'!H$2)) - (SUMIFS(monthly_work_hours!$L:$L,monthly_work_hours!$A:$A,'FTE 계산'!$A232,monthly_work_hours!$H:$H,'FTE 계산'!H$2))</f>
        <v>17</v>
      </c>
      <c r="I232">
        <f>(SUMIFS(monthly_work_hours!$I:$I,monthly_work_hours!$A:$A,'FTE 계산'!$A232,monthly_work_hours!$H:$H,'FTE 계산'!I$2)) - (SUMIFS(monthly_work_hours!$L:$L,monthly_work_hours!$A:$A,'FTE 계산'!$A232,monthly_work_hours!$H:$H,'FTE 계산'!I$2))</f>
        <v>18</v>
      </c>
      <c r="J232">
        <f>(SUMIFS(monthly_work_hours!$I:$I,monthly_work_hours!$A:$A,'FTE 계산'!$A232,monthly_work_hours!$H:$H,'FTE 계산'!J$2)) - (SUMIFS(monthly_work_hours!$L:$L,monthly_work_hours!$A:$A,'FTE 계산'!$A232,monthly_work_hours!$H:$H,'FTE 계산'!J$2))</f>
        <v>16</v>
      </c>
    </row>
    <row r="233" spans="1:10" x14ac:dyDescent="0.45">
      <c r="A233">
        <v>1225013</v>
      </c>
      <c r="B233" t="str">
        <f>_xlfn.XLOOKUP(A233,monthly_work_hours!A:A,monthly_work_hours!B:B)</f>
        <v>이승철</v>
      </c>
      <c r="C233" t="str">
        <f>_xlfn.XLOOKUP(A233,monthly_work_hours!A:A,monthly_work_hours!E:E)</f>
        <v>SCM팀</v>
      </c>
      <c r="D233" t="str">
        <f>_xlfn.XLOOKUP(A233,monthly_work_hours!A:A,monthly_work_hours!F:F)</f>
        <v>선임</v>
      </c>
      <c r="E233">
        <f>SUMIFS(monthly_work_hours!$M:$M,monthly_work_hours!$A:$A,'FTE 계산'!$A233,monthly_work_hours!$H:$H,'FTE 계산'!E$2)</f>
        <v>214.1</v>
      </c>
      <c r="F233">
        <f>SUMIFS(monthly_work_hours!$M:$M,monthly_work_hours!$A:$A,'FTE 계산'!$A233,monthly_work_hours!$H:$H,'FTE 계산'!F$2)</f>
        <v>164.6</v>
      </c>
      <c r="G233">
        <f>SUMIFS(monthly_work_hours!$M:$M,monthly_work_hours!$A:$A,'FTE 계산'!$A233,monthly_work_hours!$H:$H,'FTE 계산'!G$2)</f>
        <v>138.6</v>
      </c>
      <c r="H233">
        <f>(SUMIFS(monthly_work_hours!$I:$I,monthly_work_hours!$A:$A,'FTE 계산'!$A233,monthly_work_hours!$H:$H,'FTE 계산'!H$2)) - (SUMIFS(monthly_work_hours!$L:$L,monthly_work_hours!$A:$A,'FTE 계산'!$A233,monthly_work_hours!$H:$H,'FTE 계산'!H$2))</f>
        <v>20</v>
      </c>
      <c r="I233">
        <f>(SUMIFS(monthly_work_hours!$I:$I,monthly_work_hours!$A:$A,'FTE 계산'!$A233,monthly_work_hours!$H:$H,'FTE 계산'!I$2)) - (SUMIFS(monthly_work_hours!$L:$L,monthly_work_hours!$A:$A,'FTE 계산'!$A233,monthly_work_hours!$H:$H,'FTE 계산'!I$2))</f>
        <v>19</v>
      </c>
      <c r="J233">
        <f>(SUMIFS(monthly_work_hours!$I:$I,monthly_work_hours!$A:$A,'FTE 계산'!$A233,monthly_work_hours!$H:$H,'FTE 계산'!J$2)) - (SUMIFS(monthly_work_hours!$L:$L,monthly_work_hours!$A:$A,'FTE 계산'!$A233,monthly_work_hours!$H:$H,'FTE 계산'!J$2))</f>
        <v>16</v>
      </c>
    </row>
    <row r="234" spans="1:10" x14ac:dyDescent="0.45">
      <c r="A234">
        <v>1225014</v>
      </c>
      <c r="B234" t="str">
        <f>_xlfn.XLOOKUP(A234,monthly_work_hours!A:A,monthly_work_hours!B:B)</f>
        <v>국인웅</v>
      </c>
      <c r="C234" t="str">
        <f>_xlfn.XLOOKUP(A234,monthly_work_hours!A:A,monthly_work_hours!E:E)</f>
        <v>품질경영팀</v>
      </c>
      <c r="D234" t="str">
        <f>_xlfn.XLOOKUP(A234,monthly_work_hours!A:A,monthly_work_hours!F:F)</f>
        <v>선임</v>
      </c>
      <c r="E234">
        <f>SUMIFS(monthly_work_hours!$M:$M,monthly_work_hours!$A:$A,'FTE 계산'!$A234,monthly_work_hours!$H:$H,'FTE 계산'!E$2)</f>
        <v>171</v>
      </c>
      <c r="F234">
        <f>SUMIFS(monthly_work_hours!$M:$M,monthly_work_hours!$A:$A,'FTE 계산'!$A234,monthly_work_hours!$H:$H,'FTE 계산'!F$2)</f>
        <v>171.2</v>
      </c>
      <c r="G234">
        <f>SUMIFS(monthly_work_hours!$M:$M,monthly_work_hours!$A:$A,'FTE 계산'!$A234,monthly_work_hours!$H:$H,'FTE 계산'!G$2)</f>
        <v>159.1</v>
      </c>
      <c r="H234">
        <f>(SUMIFS(monthly_work_hours!$I:$I,monthly_work_hours!$A:$A,'FTE 계산'!$A234,monthly_work_hours!$H:$H,'FTE 계산'!H$2)) - (SUMIFS(monthly_work_hours!$L:$L,monthly_work_hours!$A:$A,'FTE 계산'!$A234,monthly_work_hours!$H:$H,'FTE 계산'!H$2))</f>
        <v>19</v>
      </c>
      <c r="I234">
        <f>(SUMIFS(monthly_work_hours!$I:$I,monthly_work_hours!$A:$A,'FTE 계산'!$A234,monthly_work_hours!$H:$H,'FTE 계산'!I$2)) - (SUMIFS(monthly_work_hours!$L:$L,monthly_work_hours!$A:$A,'FTE 계산'!$A234,monthly_work_hours!$H:$H,'FTE 계산'!I$2))</f>
        <v>17</v>
      </c>
      <c r="J234">
        <f>(SUMIFS(monthly_work_hours!$I:$I,monthly_work_hours!$A:$A,'FTE 계산'!$A234,monthly_work_hours!$H:$H,'FTE 계산'!J$2)) - (SUMIFS(monthly_work_hours!$L:$L,monthly_work_hours!$A:$A,'FTE 계산'!$A234,monthly_work_hours!$H:$H,'FTE 계산'!J$2))</f>
        <v>16</v>
      </c>
    </row>
    <row r="235" spans="1:10" x14ac:dyDescent="0.45">
      <c r="A235">
        <v>1225015</v>
      </c>
      <c r="B235" t="str">
        <f>_xlfn.XLOOKUP(A235,monthly_work_hours!A:A,monthly_work_hours!B:B)</f>
        <v>장서연</v>
      </c>
      <c r="C235" t="str">
        <f>_xlfn.XLOOKUP(A235,monthly_work_hours!A:A,monthly_work_hours!E:E)</f>
        <v>HR팀</v>
      </c>
      <c r="D235" t="str">
        <f>_xlfn.XLOOKUP(A235,monthly_work_hours!A:A,monthly_work_hours!F:F)</f>
        <v>사원</v>
      </c>
      <c r="E235">
        <f>SUMIFS(monthly_work_hours!$M:$M,monthly_work_hours!$A:$A,'FTE 계산'!$A235,monthly_work_hours!$H:$H,'FTE 계산'!E$2)</f>
        <v>157.9</v>
      </c>
      <c r="F235">
        <f>SUMIFS(monthly_work_hours!$M:$M,monthly_work_hours!$A:$A,'FTE 계산'!$A235,monthly_work_hours!$H:$H,'FTE 계산'!F$2)</f>
        <v>167.2</v>
      </c>
      <c r="G235">
        <f>SUMIFS(monthly_work_hours!$M:$M,monthly_work_hours!$A:$A,'FTE 계산'!$A235,monthly_work_hours!$H:$H,'FTE 계산'!G$2)</f>
        <v>232.1</v>
      </c>
      <c r="H235">
        <f>(SUMIFS(monthly_work_hours!$I:$I,monthly_work_hours!$A:$A,'FTE 계산'!$A235,monthly_work_hours!$H:$H,'FTE 계산'!H$2)) - (SUMIFS(monthly_work_hours!$L:$L,monthly_work_hours!$A:$A,'FTE 계산'!$A235,monthly_work_hours!$H:$H,'FTE 계산'!H$2))</f>
        <v>18</v>
      </c>
      <c r="I235">
        <f>(SUMIFS(monthly_work_hours!$I:$I,monthly_work_hours!$A:$A,'FTE 계산'!$A235,monthly_work_hours!$H:$H,'FTE 계산'!I$2)) - (SUMIFS(monthly_work_hours!$L:$L,monthly_work_hours!$A:$A,'FTE 계산'!$A235,monthly_work_hours!$H:$H,'FTE 계산'!I$2))</f>
        <v>18</v>
      </c>
      <c r="J235">
        <f>(SUMIFS(monthly_work_hours!$I:$I,monthly_work_hours!$A:$A,'FTE 계산'!$A235,monthly_work_hours!$H:$H,'FTE 계산'!J$2)) - (SUMIFS(monthly_work_hours!$L:$L,monthly_work_hours!$A:$A,'FTE 계산'!$A235,monthly_work_hours!$H:$H,'FTE 계산'!J$2))</f>
        <v>15</v>
      </c>
    </row>
    <row r="236" spans="1:10" x14ac:dyDescent="0.45">
      <c r="A236">
        <v>1225035</v>
      </c>
      <c r="B236" t="str">
        <f>_xlfn.XLOOKUP(A236,monthly_work_hours!A:A,monthly_work_hours!B:B)</f>
        <v>안영욱</v>
      </c>
      <c r="C236" t="str">
        <f>_xlfn.XLOOKUP(A236,monthly_work_hours!A:A,monthly_work_hours!E:E)</f>
        <v>제조자동화팀</v>
      </c>
      <c r="D236" t="str">
        <f>_xlfn.XLOOKUP(A236,monthly_work_hours!A:A,monthly_work_hours!F:F)</f>
        <v>선임</v>
      </c>
      <c r="E236">
        <f>SUMIFS(monthly_work_hours!$M:$M,monthly_work_hours!$A:$A,'FTE 계산'!$A236,monthly_work_hours!$H:$H,'FTE 계산'!E$2)</f>
        <v>191</v>
      </c>
      <c r="F236">
        <f>SUMIFS(monthly_work_hours!$M:$M,monthly_work_hours!$A:$A,'FTE 계산'!$A236,monthly_work_hours!$H:$H,'FTE 계산'!F$2)</f>
        <v>208.1</v>
      </c>
      <c r="G236">
        <f>SUMIFS(monthly_work_hours!$M:$M,monthly_work_hours!$A:$A,'FTE 계산'!$A236,monthly_work_hours!$H:$H,'FTE 계산'!G$2)</f>
        <v>139.9</v>
      </c>
      <c r="H236">
        <f>(SUMIFS(monthly_work_hours!$I:$I,monthly_work_hours!$A:$A,'FTE 계산'!$A236,monthly_work_hours!$H:$H,'FTE 계산'!H$2)) - (SUMIFS(monthly_work_hours!$L:$L,monthly_work_hours!$A:$A,'FTE 계산'!$A236,monthly_work_hours!$H:$H,'FTE 계산'!H$2))</f>
        <v>19</v>
      </c>
      <c r="I236">
        <f>(SUMIFS(monthly_work_hours!$I:$I,monthly_work_hours!$A:$A,'FTE 계산'!$A236,monthly_work_hours!$H:$H,'FTE 계산'!I$2)) - (SUMIFS(monthly_work_hours!$L:$L,monthly_work_hours!$A:$A,'FTE 계산'!$A236,monthly_work_hours!$H:$H,'FTE 계산'!I$2))</f>
        <v>19</v>
      </c>
      <c r="J236">
        <f>(SUMIFS(monthly_work_hours!$I:$I,monthly_work_hours!$A:$A,'FTE 계산'!$A236,monthly_work_hours!$H:$H,'FTE 계산'!J$2)) - (SUMIFS(monthly_work_hours!$L:$L,monthly_work_hours!$A:$A,'FTE 계산'!$A236,monthly_work_hours!$H:$H,'FTE 계산'!J$2))</f>
        <v>16</v>
      </c>
    </row>
    <row r="237" spans="1:10" x14ac:dyDescent="0.45">
      <c r="A237">
        <v>1225037</v>
      </c>
      <c r="B237" t="str">
        <f>_xlfn.XLOOKUP(A237,monthly_work_hours!A:A,monthly_work_hours!B:B)</f>
        <v>홍성열</v>
      </c>
      <c r="C237" t="str">
        <f>_xlfn.XLOOKUP(A237,monthly_work_hours!A:A,monthly_work_hours!E:E)</f>
        <v>안전보안팀</v>
      </c>
      <c r="D237" t="str">
        <f>_xlfn.XLOOKUP(A237,monthly_work_hours!A:A,monthly_work_hours!F:F)</f>
        <v>선임</v>
      </c>
      <c r="E237">
        <f>SUMIFS(monthly_work_hours!$M:$M,monthly_work_hours!$A:$A,'FTE 계산'!$A237,monthly_work_hours!$H:$H,'FTE 계산'!E$2)</f>
        <v>159.80000000000001</v>
      </c>
      <c r="F237">
        <f>SUMIFS(monthly_work_hours!$M:$M,monthly_work_hours!$A:$A,'FTE 계산'!$A237,monthly_work_hours!$H:$H,'FTE 계산'!F$2)</f>
        <v>167.9</v>
      </c>
      <c r="G237">
        <f>SUMIFS(monthly_work_hours!$M:$M,monthly_work_hours!$A:$A,'FTE 계산'!$A237,monthly_work_hours!$H:$H,'FTE 계산'!G$2)</f>
        <v>126.5</v>
      </c>
      <c r="H237">
        <f>(SUMIFS(monthly_work_hours!$I:$I,monthly_work_hours!$A:$A,'FTE 계산'!$A237,monthly_work_hours!$H:$H,'FTE 계산'!H$2)) - (SUMIFS(monthly_work_hours!$L:$L,monthly_work_hours!$A:$A,'FTE 계산'!$A237,monthly_work_hours!$H:$H,'FTE 계산'!H$2))</f>
        <v>16</v>
      </c>
      <c r="I237">
        <f>(SUMIFS(monthly_work_hours!$I:$I,monthly_work_hours!$A:$A,'FTE 계산'!$A237,monthly_work_hours!$H:$H,'FTE 계산'!I$2)) - (SUMIFS(monthly_work_hours!$L:$L,monthly_work_hours!$A:$A,'FTE 계산'!$A237,monthly_work_hours!$H:$H,'FTE 계산'!I$2))</f>
        <v>16</v>
      </c>
      <c r="J237">
        <f>(SUMIFS(monthly_work_hours!$I:$I,monthly_work_hours!$A:$A,'FTE 계산'!$A237,monthly_work_hours!$H:$H,'FTE 계산'!J$2)) - (SUMIFS(monthly_work_hours!$L:$L,monthly_work_hours!$A:$A,'FTE 계산'!$A237,monthly_work_hours!$H:$H,'FTE 계산'!J$2))</f>
        <v>13</v>
      </c>
    </row>
    <row r="238" spans="1:10" x14ac:dyDescent="0.45">
      <c r="A238">
        <v>1225044</v>
      </c>
      <c r="B238" t="str">
        <f>_xlfn.XLOOKUP(A238,monthly_work_hours!A:A,monthly_work_hours!B:B)</f>
        <v>이창진</v>
      </c>
      <c r="C238" t="str">
        <f>_xlfn.XLOOKUP(A238,monthly_work_hours!A:A,monthly_work_hours!E:E)</f>
        <v>제조자동화팀</v>
      </c>
      <c r="D238" t="str">
        <f>_xlfn.XLOOKUP(A238,monthly_work_hours!A:A,monthly_work_hours!F:F)</f>
        <v>사원</v>
      </c>
      <c r="E238">
        <f>SUMIFS(monthly_work_hours!$M:$M,monthly_work_hours!$A:$A,'FTE 계산'!$A238,monthly_work_hours!$H:$H,'FTE 계산'!E$2)</f>
        <v>36.9</v>
      </c>
      <c r="F238">
        <f>SUMIFS(monthly_work_hours!$M:$M,monthly_work_hours!$A:$A,'FTE 계산'!$A238,monthly_work_hours!$H:$H,'FTE 계산'!F$2)</f>
        <v>11</v>
      </c>
      <c r="G238">
        <f>SUMIFS(monthly_work_hours!$M:$M,monthly_work_hours!$A:$A,'FTE 계산'!$A238,monthly_work_hours!$H:$H,'FTE 계산'!G$2)</f>
        <v>0</v>
      </c>
      <c r="H238">
        <f>(SUMIFS(monthly_work_hours!$I:$I,monthly_work_hours!$A:$A,'FTE 계산'!$A238,monthly_work_hours!$H:$H,'FTE 계산'!H$2)) - (SUMIFS(monthly_work_hours!$L:$L,monthly_work_hours!$A:$A,'FTE 계산'!$A238,monthly_work_hours!$H:$H,'FTE 계산'!H$2))</f>
        <v>6</v>
      </c>
      <c r="I238">
        <f>(SUMIFS(monthly_work_hours!$I:$I,monthly_work_hours!$A:$A,'FTE 계산'!$A238,monthly_work_hours!$H:$H,'FTE 계산'!I$2)) - (SUMIFS(monthly_work_hours!$L:$L,monthly_work_hours!$A:$A,'FTE 계산'!$A238,monthly_work_hours!$H:$H,'FTE 계산'!I$2))</f>
        <v>5</v>
      </c>
      <c r="J238">
        <f>(SUMIFS(monthly_work_hours!$I:$I,monthly_work_hours!$A:$A,'FTE 계산'!$A238,monthly_work_hours!$H:$H,'FTE 계산'!J$2)) - (SUMIFS(monthly_work_hours!$L:$L,monthly_work_hours!$A:$A,'FTE 계산'!$A238,monthly_work_hours!$H:$H,'FTE 계산'!J$2))</f>
        <v>0</v>
      </c>
    </row>
    <row r="239" spans="1:10" x14ac:dyDescent="0.45">
      <c r="A239">
        <v>1225046</v>
      </c>
      <c r="B239" t="str">
        <f>_xlfn.XLOOKUP(A239,monthly_work_hours!A:A,monthly_work_hours!B:B)</f>
        <v>정시윤</v>
      </c>
      <c r="C239" t="str">
        <f>_xlfn.XLOOKUP(A239,monthly_work_hours!A:A,monthly_work_hours!E:E)</f>
        <v>SL설계팀</v>
      </c>
      <c r="D239" t="str">
        <f>_xlfn.XLOOKUP(A239,monthly_work_hours!A:A,monthly_work_hours!F:F)</f>
        <v>사원</v>
      </c>
      <c r="E239">
        <f>SUMIFS(monthly_work_hours!$M:$M,monthly_work_hours!$A:$A,'FTE 계산'!$A239,monthly_work_hours!$H:$H,'FTE 계산'!E$2)</f>
        <v>112.8</v>
      </c>
      <c r="F239">
        <f>SUMIFS(monthly_work_hours!$M:$M,monthly_work_hours!$A:$A,'FTE 계산'!$A239,monthly_work_hours!$H:$H,'FTE 계산'!F$2)</f>
        <v>164.5</v>
      </c>
      <c r="G239">
        <f>SUMIFS(monthly_work_hours!$M:$M,monthly_work_hours!$A:$A,'FTE 계산'!$A239,monthly_work_hours!$H:$H,'FTE 계산'!G$2)</f>
        <v>96.9</v>
      </c>
      <c r="H239">
        <f>(SUMIFS(monthly_work_hours!$I:$I,monthly_work_hours!$A:$A,'FTE 계산'!$A239,monthly_work_hours!$H:$H,'FTE 계산'!H$2)) - (SUMIFS(monthly_work_hours!$L:$L,monthly_work_hours!$A:$A,'FTE 계산'!$A239,monthly_work_hours!$H:$H,'FTE 계산'!H$2))</f>
        <v>13</v>
      </c>
      <c r="I239">
        <f>(SUMIFS(monthly_work_hours!$I:$I,monthly_work_hours!$A:$A,'FTE 계산'!$A239,monthly_work_hours!$H:$H,'FTE 계산'!I$2)) - (SUMIFS(monthly_work_hours!$L:$L,monthly_work_hours!$A:$A,'FTE 계산'!$A239,monthly_work_hours!$H:$H,'FTE 계산'!I$2))</f>
        <v>18</v>
      </c>
      <c r="J239">
        <f>(SUMIFS(monthly_work_hours!$I:$I,monthly_work_hours!$A:$A,'FTE 계산'!$A239,monthly_work_hours!$H:$H,'FTE 계산'!J$2)) - (SUMIFS(monthly_work_hours!$L:$L,monthly_work_hours!$A:$A,'FTE 계산'!$A239,monthly_work_hours!$H:$H,'FTE 계산'!J$2))</f>
        <v>12</v>
      </c>
    </row>
    <row r="240" spans="1:10" x14ac:dyDescent="0.45">
      <c r="A240">
        <v>1225051</v>
      </c>
      <c r="B240" t="str">
        <f>_xlfn.XLOOKUP(A240,monthly_work_hours!A:A,monthly_work_hours!B:B)</f>
        <v>박진수</v>
      </c>
      <c r="C240" t="str">
        <f>_xlfn.XLOOKUP(A240,monthly_work_hours!A:A,monthly_work_hours!E:E)</f>
        <v>SL생산기술팀</v>
      </c>
      <c r="D240" t="str">
        <f>_xlfn.XLOOKUP(A240,monthly_work_hours!A:A,monthly_work_hours!F:F)</f>
        <v>선임</v>
      </c>
      <c r="E240">
        <f>SUMIFS(monthly_work_hours!$M:$M,monthly_work_hours!$A:$A,'FTE 계산'!$A240,monthly_work_hours!$H:$H,'FTE 계산'!E$2)</f>
        <v>96.5</v>
      </c>
      <c r="F240">
        <f>SUMIFS(monthly_work_hours!$M:$M,monthly_work_hours!$A:$A,'FTE 계산'!$A240,monthly_work_hours!$H:$H,'FTE 계산'!F$2)</f>
        <v>173.3</v>
      </c>
      <c r="G240">
        <f>SUMIFS(monthly_work_hours!$M:$M,monthly_work_hours!$A:$A,'FTE 계산'!$A240,monthly_work_hours!$H:$H,'FTE 계산'!G$2)</f>
        <v>113.5</v>
      </c>
      <c r="H240">
        <f>(SUMIFS(monthly_work_hours!$I:$I,monthly_work_hours!$A:$A,'FTE 계산'!$A240,monthly_work_hours!$H:$H,'FTE 계산'!H$2)) - (SUMIFS(monthly_work_hours!$L:$L,monthly_work_hours!$A:$A,'FTE 계산'!$A240,monthly_work_hours!$H:$H,'FTE 계산'!H$2))</f>
        <v>16</v>
      </c>
      <c r="I240">
        <f>(SUMIFS(monthly_work_hours!$I:$I,monthly_work_hours!$A:$A,'FTE 계산'!$A240,monthly_work_hours!$H:$H,'FTE 계산'!I$2)) - (SUMIFS(monthly_work_hours!$L:$L,monthly_work_hours!$A:$A,'FTE 계산'!$A240,monthly_work_hours!$H:$H,'FTE 계산'!I$2))</f>
        <v>19</v>
      </c>
      <c r="J240">
        <f>(SUMIFS(monthly_work_hours!$I:$I,monthly_work_hours!$A:$A,'FTE 계산'!$A240,monthly_work_hours!$H:$H,'FTE 계산'!J$2)) - (SUMIFS(monthly_work_hours!$L:$L,monthly_work_hours!$A:$A,'FTE 계산'!$A240,monthly_work_hours!$H:$H,'FTE 계산'!J$2))</f>
        <v>13</v>
      </c>
    </row>
    <row r="241" spans="1:10" x14ac:dyDescent="0.45">
      <c r="A241">
        <v>1225053</v>
      </c>
      <c r="B241" t="str">
        <f>_xlfn.XLOOKUP(A241,monthly_work_hours!A:A,monthly_work_hours!B:B)</f>
        <v>권형기</v>
      </c>
      <c r="C241" t="str">
        <f>_xlfn.XLOOKUP(A241,monthly_work_hours!A:A,monthly_work_hours!E:E)</f>
        <v>FL개발팀</v>
      </c>
      <c r="D241" t="str">
        <f>_xlfn.XLOOKUP(A241,monthly_work_hours!A:A,monthly_work_hours!F:F)</f>
        <v>사원</v>
      </c>
      <c r="E241">
        <f>SUMIFS(monthly_work_hours!$M:$M,monthly_work_hours!$A:$A,'FTE 계산'!$A241,monthly_work_hours!$H:$H,'FTE 계산'!E$2)</f>
        <v>0</v>
      </c>
      <c r="F241">
        <f>SUMIFS(monthly_work_hours!$M:$M,monthly_work_hours!$A:$A,'FTE 계산'!$A241,monthly_work_hours!$H:$H,'FTE 계산'!F$2)</f>
        <v>127.8</v>
      </c>
      <c r="G241">
        <f>SUMIFS(monthly_work_hours!$M:$M,monthly_work_hours!$A:$A,'FTE 계산'!$A241,monthly_work_hours!$H:$H,'FTE 계산'!G$2)</f>
        <v>122.7</v>
      </c>
      <c r="H241">
        <f>(SUMIFS(monthly_work_hours!$I:$I,monthly_work_hours!$A:$A,'FTE 계산'!$A241,monthly_work_hours!$H:$H,'FTE 계산'!H$2)) - (SUMIFS(monthly_work_hours!$L:$L,monthly_work_hours!$A:$A,'FTE 계산'!$A241,monthly_work_hours!$H:$H,'FTE 계산'!H$2))</f>
        <v>0</v>
      </c>
      <c r="I241">
        <f>(SUMIFS(monthly_work_hours!$I:$I,monthly_work_hours!$A:$A,'FTE 계산'!$A241,monthly_work_hours!$H:$H,'FTE 계산'!I$2)) - (SUMIFS(monthly_work_hours!$L:$L,monthly_work_hours!$A:$A,'FTE 계산'!$A241,monthly_work_hours!$H:$H,'FTE 계산'!I$2))</f>
        <v>13</v>
      </c>
      <c r="J241">
        <f>(SUMIFS(monthly_work_hours!$I:$I,monthly_work_hours!$A:$A,'FTE 계산'!$A241,monthly_work_hours!$H:$H,'FTE 계산'!J$2)) - (SUMIFS(monthly_work_hours!$L:$L,monthly_work_hours!$A:$A,'FTE 계산'!$A241,monthly_work_hours!$H:$H,'FTE 계산'!J$2))</f>
        <v>14</v>
      </c>
    </row>
    <row r="242" spans="1:10" x14ac:dyDescent="0.45">
      <c r="A242">
        <v>1225054</v>
      </c>
      <c r="B242" t="str">
        <f>_xlfn.XLOOKUP(A242,monthly_work_hours!A:A,monthly_work_hours!B:B)</f>
        <v>구도훈</v>
      </c>
      <c r="C242" t="str">
        <f>_xlfn.XLOOKUP(A242,monthly_work_hours!A:A,monthly_work_hours!E:E)</f>
        <v>SL개발팀</v>
      </c>
      <c r="D242" t="str">
        <f>_xlfn.XLOOKUP(A242,monthly_work_hours!A:A,monthly_work_hours!F:F)</f>
        <v>선임</v>
      </c>
      <c r="E242">
        <f>SUMIFS(monthly_work_hours!$M:$M,monthly_work_hours!$A:$A,'FTE 계산'!$A242,monthly_work_hours!$H:$H,'FTE 계산'!E$2)</f>
        <v>162</v>
      </c>
      <c r="F242">
        <f>SUMIFS(monthly_work_hours!$M:$M,monthly_work_hours!$A:$A,'FTE 계산'!$A242,monthly_work_hours!$H:$H,'FTE 계산'!F$2)</f>
        <v>149.30000000000001</v>
      </c>
      <c r="G242">
        <f>SUMIFS(monthly_work_hours!$M:$M,monthly_work_hours!$A:$A,'FTE 계산'!$A242,monthly_work_hours!$H:$H,'FTE 계산'!G$2)</f>
        <v>112.7</v>
      </c>
      <c r="H242">
        <f>(SUMIFS(monthly_work_hours!$I:$I,monthly_work_hours!$A:$A,'FTE 계산'!$A242,monthly_work_hours!$H:$H,'FTE 계산'!H$2)) - (SUMIFS(monthly_work_hours!$L:$L,monthly_work_hours!$A:$A,'FTE 계산'!$A242,monthly_work_hours!$H:$H,'FTE 계산'!H$2))</f>
        <v>17</v>
      </c>
      <c r="I242">
        <f>(SUMIFS(monthly_work_hours!$I:$I,monthly_work_hours!$A:$A,'FTE 계산'!$A242,monthly_work_hours!$H:$H,'FTE 계산'!I$2)) - (SUMIFS(monthly_work_hours!$L:$L,monthly_work_hours!$A:$A,'FTE 계산'!$A242,monthly_work_hours!$H:$H,'FTE 계산'!I$2))</f>
        <v>16</v>
      </c>
      <c r="J242">
        <f>(SUMIFS(monthly_work_hours!$I:$I,monthly_work_hours!$A:$A,'FTE 계산'!$A242,monthly_work_hours!$H:$H,'FTE 계산'!J$2)) - (SUMIFS(monthly_work_hours!$L:$L,monthly_work_hours!$A:$A,'FTE 계산'!$A242,monthly_work_hours!$H:$H,'FTE 계산'!J$2))</f>
        <v>13</v>
      </c>
    </row>
    <row r="243" spans="1:10" x14ac:dyDescent="0.45">
      <c r="A243">
        <v>1225055</v>
      </c>
      <c r="B243" t="str">
        <f>_xlfn.XLOOKUP(A243,monthly_work_hours!A:A,monthly_work_hours!B:B)</f>
        <v>최재혁</v>
      </c>
      <c r="C243" t="str">
        <f>_xlfn.XLOOKUP(A243,monthly_work_hours!A:A,monthly_work_hours!E:E)</f>
        <v>SL품질보증팀</v>
      </c>
      <c r="D243" t="str">
        <f>_xlfn.XLOOKUP(A243,monthly_work_hours!A:A,monthly_work_hours!F:F)</f>
        <v>사원</v>
      </c>
      <c r="E243">
        <f>SUMIFS(monthly_work_hours!$M:$M,monthly_work_hours!$A:$A,'FTE 계산'!$A243,monthly_work_hours!$H:$H,'FTE 계산'!E$2)</f>
        <v>99.2</v>
      </c>
      <c r="F243">
        <f>SUMIFS(monthly_work_hours!$M:$M,monthly_work_hours!$A:$A,'FTE 계산'!$A243,monthly_work_hours!$H:$H,'FTE 계산'!F$2)</f>
        <v>179.6</v>
      </c>
      <c r="G243">
        <f>SUMIFS(monthly_work_hours!$M:$M,monthly_work_hours!$A:$A,'FTE 계산'!$A243,monthly_work_hours!$H:$H,'FTE 계산'!G$2)</f>
        <v>97</v>
      </c>
      <c r="H243">
        <f>(SUMIFS(monthly_work_hours!$I:$I,monthly_work_hours!$A:$A,'FTE 계산'!$A243,monthly_work_hours!$H:$H,'FTE 계산'!H$2)) - (SUMIFS(monthly_work_hours!$L:$L,monthly_work_hours!$A:$A,'FTE 계산'!$A243,monthly_work_hours!$H:$H,'FTE 계산'!H$2))</f>
        <v>12</v>
      </c>
      <c r="I243">
        <f>(SUMIFS(monthly_work_hours!$I:$I,monthly_work_hours!$A:$A,'FTE 계산'!$A243,monthly_work_hours!$H:$H,'FTE 계산'!I$2)) - (SUMIFS(monthly_work_hours!$L:$L,monthly_work_hours!$A:$A,'FTE 계산'!$A243,monthly_work_hours!$H:$H,'FTE 계산'!I$2))</f>
        <v>19</v>
      </c>
      <c r="J243">
        <f>(SUMIFS(monthly_work_hours!$I:$I,monthly_work_hours!$A:$A,'FTE 계산'!$A243,monthly_work_hours!$H:$H,'FTE 계산'!J$2)) - (SUMIFS(monthly_work_hours!$L:$L,monthly_work_hours!$A:$A,'FTE 계산'!$A243,monthly_work_hours!$H:$H,'FTE 계산'!J$2))</f>
        <v>12</v>
      </c>
    </row>
    <row r="244" spans="1:10" x14ac:dyDescent="0.45">
      <c r="A244">
        <v>1225056</v>
      </c>
      <c r="B244" t="str">
        <f>_xlfn.XLOOKUP(A244,monthly_work_hours!A:A,monthly_work_hours!B:B)</f>
        <v>김도환</v>
      </c>
      <c r="C244" t="str">
        <f>_xlfn.XLOOKUP(A244,monthly_work_hours!A:A,monthly_work_hours!E:E)</f>
        <v>FL영업팀</v>
      </c>
      <c r="D244" t="str">
        <f>_xlfn.XLOOKUP(A244,monthly_work_hours!A:A,monthly_work_hours!F:F)</f>
        <v>사원</v>
      </c>
      <c r="E244">
        <f>SUMIFS(monthly_work_hours!$M:$M,monthly_work_hours!$A:$A,'FTE 계산'!$A244,monthly_work_hours!$H:$H,'FTE 계산'!E$2)</f>
        <v>225.5</v>
      </c>
      <c r="F244">
        <f>SUMIFS(monthly_work_hours!$M:$M,monthly_work_hours!$A:$A,'FTE 계산'!$A244,monthly_work_hours!$H:$H,'FTE 계산'!F$2)</f>
        <v>158.69999999999999</v>
      </c>
      <c r="G244">
        <f>SUMIFS(monthly_work_hours!$M:$M,monthly_work_hours!$A:$A,'FTE 계산'!$A244,monthly_work_hours!$H:$H,'FTE 계산'!G$2)</f>
        <v>157</v>
      </c>
      <c r="H244">
        <f>(SUMIFS(monthly_work_hours!$I:$I,monthly_work_hours!$A:$A,'FTE 계산'!$A244,monthly_work_hours!$H:$H,'FTE 계산'!H$2)) - (SUMIFS(monthly_work_hours!$L:$L,monthly_work_hours!$A:$A,'FTE 계산'!$A244,monthly_work_hours!$H:$H,'FTE 계산'!H$2))</f>
        <v>19</v>
      </c>
      <c r="I244">
        <f>(SUMIFS(monthly_work_hours!$I:$I,monthly_work_hours!$A:$A,'FTE 계산'!$A244,monthly_work_hours!$H:$H,'FTE 계산'!I$2)) - (SUMIFS(monthly_work_hours!$L:$L,monthly_work_hours!$A:$A,'FTE 계산'!$A244,monthly_work_hours!$H:$H,'FTE 계산'!I$2))</f>
        <v>14</v>
      </c>
      <c r="J244">
        <f>(SUMIFS(monthly_work_hours!$I:$I,monthly_work_hours!$A:$A,'FTE 계산'!$A244,monthly_work_hours!$H:$H,'FTE 계산'!J$2)) - (SUMIFS(monthly_work_hours!$L:$L,monthly_work_hours!$A:$A,'FTE 계산'!$A244,monthly_work_hours!$H:$H,'FTE 계산'!J$2))</f>
        <v>16</v>
      </c>
    </row>
    <row r="245" spans="1:10" x14ac:dyDescent="0.45">
      <c r="A245">
        <v>1225057</v>
      </c>
      <c r="B245" t="str">
        <f>_xlfn.XLOOKUP(A245,monthly_work_hours!A:A,monthly_work_hours!B:B)</f>
        <v>윤종문</v>
      </c>
      <c r="C245" t="str">
        <f>_xlfn.XLOOKUP(A245,monthly_work_hours!A:A,monthly_work_hours!E:E)</f>
        <v>상생협력팀</v>
      </c>
      <c r="D245" t="str">
        <f>_xlfn.XLOOKUP(A245,monthly_work_hours!A:A,monthly_work_hours!F:F)</f>
        <v>사원</v>
      </c>
      <c r="E245">
        <f>SUMIFS(monthly_work_hours!$M:$M,monthly_work_hours!$A:$A,'FTE 계산'!$A245,monthly_work_hours!$H:$H,'FTE 계산'!E$2)</f>
        <v>185.2</v>
      </c>
      <c r="F245">
        <f>SUMIFS(monthly_work_hours!$M:$M,monthly_work_hours!$A:$A,'FTE 계산'!$A245,monthly_work_hours!$H:$H,'FTE 계산'!F$2)</f>
        <v>179.6</v>
      </c>
      <c r="G245">
        <f>SUMIFS(monthly_work_hours!$M:$M,monthly_work_hours!$A:$A,'FTE 계산'!$A245,monthly_work_hours!$H:$H,'FTE 계산'!G$2)</f>
        <v>129.19999999999999</v>
      </c>
      <c r="H245">
        <f>(SUMIFS(monthly_work_hours!$I:$I,monthly_work_hours!$A:$A,'FTE 계산'!$A245,monthly_work_hours!$H:$H,'FTE 계산'!H$2)) - (SUMIFS(monthly_work_hours!$L:$L,monthly_work_hours!$A:$A,'FTE 계산'!$A245,monthly_work_hours!$H:$H,'FTE 계산'!H$2))</f>
        <v>18</v>
      </c>
      <c r="I245">
        <f>(SUMIFS(monthly_work_hours!$I:$I,monthly_work_hours!$A:$A,'FTE 계산'!$A245,monthly_work_hours!$H:$H,'FTE 계산'!I$2)) - (SUMIFS(monthly_work_hours!$L:$L,monthly_work_hours!$A:$A,'FTE 계산'!$A245,monthly_work_hours!$H:$H,'FTE 계산'!I$2))</f>
        <v>18</v>
      </c>
      <c r="J245">
        <f>(SUMIFS(monthly_work_hours!$I:$I,monthly_work_hours!$A:$A,'FTE 계산'!$A245,monthly_work_hours!$H:$H,'FTE 계산'!J$2)) - (SUMIFS(monthly_work_hours!$L:$L,monthly_work_hours!$A:$A,'FTE 계산'!$A245,monthly_work_hours!$H:$H,'FTE 계산'!J$2))</f>
        <v>14</v>
      </c>
    </row>
    <row r="246" spans="1:10" x14ac:dyDescent="0.45">
      <c r="A246">
        <v>1225063</v>
      </c>
      <c r="B246" t="str">
        <f>_xlfn.XLOOKUP(A246,monthly_work_hours!A:A,monthly_work_hours!B:B)</f>
        <v>김태휘</v>
      </c>
      <c r="C246" t="str">
        <f>_xlfn.XLOOKUP(A246,monthly_work_hours!A:A,monthly_work_hours!E:E)</f>
        <v>SL생산팀</v>
      </c>
      <c r="D246" t="str">
        <f>_xlfn.XLOOKUP(A246,monthly_work_hours!A:A,monthly_work_hours!F:F)</f>
        <v>선임</v>
      </c>
      <c r="E246">
        <f>SUMIFS(monthly_work_hours!$M:$M,monthly_work_hours!$A:$A,'FTE 계산'!$A246,monthly_work_hours!$H:$H,'FTE 계산'!E$2)</f>
        <v>166.9</v>
      </c>
      <c r="F246">
        <f>SUMIFS(monthly_work_hours!$M:$M,monthly_work_hours!$A:$A,'FTE 계산'!$A246,monthly_work_hours!$H:$H,'FTE 계산'!F$2)</f>
        <v>175.1</v>
      </c>
      <c r="G246">
        <f>SUMIFS(monthly_work_hours!$M:$M,monthly_work_hours!$A:$A,'FTE 계산'!$A246,monthly_work_hours!$H:$H,'FTE 계산'!G$2)</f>
        <v>116.4</v>
      </c>
      <c r="H246">
        <f>(SUMIFS(monthly_work_hours!$I:$I,monthly_work_hours!$A:$A,'FTE 계산'!$A246,monthly_work_hours!$H:$H,'FTE 계산'!H$2)) - (SUMIFS(monthly_work_hours!$L:$L,monthly_work_hours!$A:$A,'FTE 계산'!$A246,monthly_work_hours!$H:$H,'FTE 계산'!H$2))</f>
        <v>17</v>
      </c>
      <c r="I246">
        <f>(SUMIFS(monthly_work_hours!$I:$I,monthly_work_hours!$A:$A,'FTE 계산'!$A246,monthly_work_hours!$H:$H,'FTE 계산'!I$2)) - (SUMIFS(monthly_work_hours!$L:$L,monthly_work_hours!$A:$A,'FTE 계산'!$A246,monthly_work_hours!$H:$H,'FTE 계산'!I$2))</f>
        <v>16</v>
      </c>
      <c r="J246">
        <f>(SUMIFS(monthly_work_hours!$I:$I,monthly_work_hours!$A:$A,'FTE 계산'!$A246,monthly_work_hours!$H:$H,'FTE 계산'!J$2)) - (SUMIFS(monthly_work_hours!$L:$L,monthly_work_hours!$A:$A,'FTE 계산'!$A246,monthly_work_hours!$H:$H,'FTE 계산'!J$2))</f>
        <v>13</v>
      </c>
    </row>
    <row r="247" spans="1:10" x14ac:dyDescent="0.45">
      <c r="A247">
        <v>1225064</v>
      </c>
      <c r="B247" t="str">
        <f>_xlfn.XLOOKUP(A247,monthly_work_hours!A:A,monthly_work_hours!B:B)</f>
        <v>장일하</v>
      </c>
      <c r="C247" t="str">
        <f>_xlfn.XLOOKUP(A247,monthly_work_hours!A:A,monthly_work_hours!E:E)</f>
        <v>FL품질보증팀</v>
      </c>
      <c r="D247" t="str">
        <f>_xlfn.XLOOKUP(A247,monthly_work_hours!A:A,monthly_work_hours!F:F)</f>
        <v>선임</v>
      </c>
      <c r="E247">
        <f>SUMIFS(monthly_work_hours!$M:$M,monthly_work_hours!$A:$A,'FTE 계산'!$A247,monthly_work_hours!$H:$H,'FTE 계산'!E$2)</f>
        <v>0</v>
      </c>
      <c r="F247">
        <f>SUMIFS(monthly_work_hours!$M:$M,monthly_work_hours!$A:$A,'FTE 계산'!$A247,monthly_work_hours!$H:$H,'FTE 계산'!F$2)</f>
        <v>134.1</v>
      </c>
      <c r="G247">
        <f>SUMIFS(monthly_work_hours!$M:$M,monthly_work_hours!$A:$A,'FTE 계산'!$A247,monthly_work_hours!$H:$H,'FTE 계산'!G$2)</f>
        <v>98.8</v>
      </c>
      <c r="H247">
        <f>(SUMIFS(monthly_work_hours!$I:$I,monthly_work_hours!$A:$A,'FTE 계산'!$A247,monthly_work_hours!$H:$H,'FTE 계산'!H$2)) - (SUMIFS(monthly_work_hours!$L:$L,monthly_work_hours!$A:$A,'FTE 계산'!$A247,monthly_work_hours!$H:$H,'FTE 계산'!H$2))</f>
        <v>0</v>
      </c>
      <c r="I247">
        <f>(SUMIFS(monthly_work_hours!$I:$I,monthly_work_hours!$A:$A,'FTE 계산'!$A247,monthly_work_hours!$H:$H,'FTE 계산'!I$2)) - (SUMIFS(monthly_work_hours!$L:$L,monthly_work_hours!$A:$A,'FTE 계산'!$A247,monthly_work_hours!$H:$H,'FTE 계산'!I$2))</f>
        <v>16</v>
      </c>
      <c r="J247">
        <f>(SUMIFS(monthly_work_hours!$I:$I,monthly_work_hours!$A:$A,'FTE 계산'!$A247,monthly_work_hours!$H:$H,'FTE 계산'!J$2)) - (SUMIFS(monthly_work_hours!$L:$L,monthly_work_hours!$A:$A,'FTE 계산'!$A247,monthly_work_hours!$H:$H,'FTE 계산'!J$2))</f>
        <v>12</v>
      </c>
    </row>
    <row r="248" spans="1:10" x14ac:dyDescent="0.45">
      <c r="A248">
        <v>1225065</v>
      </c>
      <c r="B248" t="str">
        <f>_xlfn.XLOOKUP(A248,monthly_work_hours!A:A,monthly_work_hours!B:B)</f>
        <v>박성배</v>
      </c>
      <c r="C248" t="str">
        <f>_xlfn.XLOOKUP(A248,monthly_work_hours!A:A,monthly_work_hours!E:E)</f>
        <v>FL영업팀</v>
      </c>
      <c r="D248" t="str">
        <f>_xlfn.XLOOKUP(A248,monthly_work_hours!A:A,monthly_work_hours!F:F)</f>
        <v>선임</v>
      </c>
      <c r="E248">
        <f>SUMIFS(monthly_work_hours!$M:$M,monthly_work_hours!$A:$A,'FTE 계산'!$A248,monthly_work_hours!$H:$H,'FTE 계산'!E$2)</f>
        <v>171.8</v>
      </c>
      <c r="F248">
        <f>SUMIFS(monthly_work_hours!$M:$M,monthly_work_hours!$A:$A,'FTE 계산'!$A248,monthly_work_hours!$H:$H,'FTE 계산'!F$2)</f>
        <v>201.9</v>
      </c>
      <c r="G248">
        <f>SUMIFS(monthly_work_hours!$M:$M,monthly_work_hours!$A:$A,'FTE 계산'!$A248,monthly_work_hours!$H:$H,'FTE 계산'!G$2)</f>
        <v>161.69999999999999</v>
      </c>
      <c r="H248">
        <f>(SUMIFS(monthly_work_hours!$I:$I,monthly_work_hours!$A:$A,'FTE 계산'!$A248,monthly_work_hours!$H:$H,'FTE 계산'!H$2)) - (SUMIFS(monthly_work_hours!$L:$L,monthly_work_hours!$A:$A,'FTE 계산'!$A248,monthly_work_hours!$H:$H,'FTE 계산'!H$2))</f>
        <v>14</v>
      </c>
      <c r="I248">
        <f>(SUMIFS(monthly_work_hours!$I:$I,monthly_work_hours!$A:$A,'FTE 계산'!$A248,monthly_work_hours!$H:$H,'FTE 계산'!I$2)) - (SUMIFS(monthly_work_hours!$L:$L,monthly_work_hours!$A:$A,'FTE 계산'!$A248,monthly_work_hours!$H:$H,'FTE 계산'!I$2))</f>
        <v>18</v>
      </c>
      <c r="J248">
        <f>(SUMIFS(monthly_work_hours!$I:$I,monthly_work_hours!$A:$A,'FTE 계산'!$A248,monthly_work_hours!$H:$H,'FTE 계산'!J$2)) - (SUMIFS(monthly_work_hours!$L:$L,monthly_work_hours!$A:$A,'FTE 계산'!$A248,monthly_work_hours!$H:$H,'FTE 계산'!J$2))</f>
        <v>15</v>
      </c>
    </row>
    <row r="249" spans="1:10" x14ac:dyDescent="0.45">
      <c r="A249">
        <v>1225066</v>
      </c>
      <c r="B249" t="str">
        <f>_xlfn.XLOOKUP(A249,monthly_work_hours!A:A,monthly_work_hours!B:B)</f>
        <v>김영관</v>
      </c>
      <c r="C249" t="str">
        <f>_xlfn.XLOOKUP(A249,monthly_work_hours!A:A,monthly_work_hours!E:E)</f>
        <v>구매원가팀</v>
      </c>
      <c r="D249" t="str">
        <f>_xlfn.XLOOKUP(A249,monthly_work_hours!A:A,monthly_work_hours!F:F)</f>
        <v>선임</v>
      </c>
      <c r="E249">
        <f>SUMIFS(monthly_work_hours!$M:$M,monthly_work_hours!$A:$A,'FTE 계산'!$A249,monthly_work_hours!$H:$H,'FTE 계산'!E$2)</f>
        <v>191.1</v>
      </c>
      <c r="F249">
        <f>SUMIFS(monthly_work_hours!$M:$M,monthly_work_hours!$A:$A,'FTE 계산'!$A249,monthly_work_hours!$H:$H,'FTE 계산'!F$2)</f>
        <v>173.4</v>
      </c>
      <c r="G249">
        <f>SUMIFS(monthly_work_hours!$M:$M,monthly_work_hours!$A:$A,'FTE 계산'!$A249,monthly_work_hours!$H:$H,'FTE 계산'!G$2)</f>
        <v>137.80000000000001</v>
      </c>
      <c r="H249">
        <f>(SUMIFS(monthly_work_hours!$I:$I,monthly_work_hours!$A:$A,'FTE 계산'!$A249,monthly_work_hours!$H:$H,'FTE 계산'!H$2)) - (SUMIFS(monthly_work_hours!$L:$L,monthly_work_hours!$A:$A,'FTE 계산'!$A249,monthly_work_hours!$H:$H,'FTE 계산'!H$2))</f>
        <v>19</v>
      </c>
      <c r="I249">
        <f>(SUMIFS(monthly_work_hours!$I:$I,monthly_work_hours!$A:$A,'FTE 계산'!$A249,monthly_work_hours!$H:$H,'FTE 계산'!I$2)) - (SUMIFS(monthly_work_hours!$L:$L,monthly_work_hours!$A:$A,'FTE 계산'!$A249,monthly_work_hours!$H:$H,'FTE 계산'!I$2))</f>
        <v>17</v>
      </c>
      <c r="J249">
        <f>(SUMIFS(monthly_work_hours!$I:$I,monthly_work_hours!$A:$A,'FTE 계산'!$A249,monthly_work_hours!$H:$H,'FTE 계산'!J$2)) - (SUMIFS(monthly_work_hours!$L:$L,monthly_work_hours!$A:$A,'FTE 계산'!$A249,monthly_work_hours!$H:$H,'FTE 계산'!J$2))</f>
        <v>14</v>
      </c>
    </row>
    <row r="250" spans="1:10" x14ac:dyDescent="0.45">
      <c r="A250">
        <v>1225068</v>
      </c>
      <c r="B250" t="str">
        <f>_xlfn.XLOOKUP(A250,monthly_work_hours!A:A,monthly_work_hours!B:B)</f>
        <v>안재우</v>
      </c>
      <c r="C250" t="str">
        <f>_xlfn.XLOOKUP(A250,monthly_work_hours!A:A,monthly_work_hours!E:E)</f>
        <v>상생협력팀</v>
      </c>
      <c r="D250" t="str">
        <f>_xlfn.XLOOKUP(A250,monthly_work_hours!A:A,monthly_work_hours!F:F)</f>
        <v>사원</v>
      </c>
      <c r="E250">
        <f>SUMIFS(monthly_work_hours!$M:$M,monthly_work_hours!$A:$A,'FTE 계산'!$A250,monthly_work_hours!$H:$H,'FTE 계산'!E$2)</f>
        <v>0</v>
      </c>
      <c r="F250">
        <f>SUMIFS(monthly_work_hours!$M:$M,monthly_work_hours!$A:$A,'FTE 계산'!$A250,monthly_work_hours!$H:$H,'FTE 계산'!F$2)</f>
        <v>174.6</v>
      </c>
      <c r="G250">
        <f>SUMIFS(monthly_work_hours!$M:$M,monthly_work_hours!$A:$A,'FTE 계산'!$A250,monthly_work_hours!$H:$H,'FTE 계산'!G$2)</f>
        <v>114.2</v>
      </c>
      <c r="H250">
        <f>(SUMIFS(monthly_work_hours!$I:$I,monthly_work_hours!$A:$A,'FTE 계산'!$A250,monthly_work_hours!$H:$H,'FTE 계산'!H$2)) - (SUMIFS(monthly_work_hours!$L:$L,monthly_work_hours!$A:$A,'FTE 계산'!$A250,monthly_work_hours!$H:$H,'FTE 계산'!H$2))</f>
        <v>0</v>
      </c>
      <c r="I250">
        <f>(SUMIFS(monthly_work_hours!$I:$I,monthly_work_hours!$A:$A,'FTE 계산'!$A250,monthly_work_hours!$H:$H,'FTE 계산'!I$2)) - (SUMIFS(monthly_work_hours!$L:$L,monthly_work_hours!$A:$A,'FTE 계산'!$A250,monthly_work_hours!$H:$H,'FTE 계산'!I$2))</f>
        <v>18</v>
      </c>
      <c r="J250">
        <f>(SUMIFS(monthly_work_hours!$I:$I,monthly_work_hours!$A:$A,'FTE 계산'!$A250,monthly_work_hours!$H:$H,'FTE 계산'!J$2)) - (SUMIFS(monthly_work_hours!$L:$L,monthly_work_hours!$A:$A,'FTE 계산'!$A250,monthly_work_hours!$H:$H,'FTE 계산'!J$2))</f>
        <v>12</v>
      </c>
    </row>
    <row r="251" spans="1:10" x14ac:dyDescent="0.45">
      <c r="A251">
        <v>1225070</v>
      </c>
      <c r="B251" t="str">
        <f>_xlfn.XLOOKUP(A251,monthly_work_hours!A:A,monthly_work_hours!B:B)</f>
        <v>이장원</v>
      </c>
      <c r="C251" t="str">
        <f>_xlfn.XLOOKUP(A251,monthly_work_hours!A:A,monthly_work_hours!E:E)</f>
        <v>안전보안팀</v>
      </c>
      <c r="D251" t="str">
        <f>_xlfn.XLOOKUP(A251,monthly_work_hours!A:A,monthly_work_hours!F:F)</f>
        <v>사원</v>
      </c>
      <c r="E251">
        <f>SUMIFS(monthly_work_hours!$M:$M,monthly_work_hours!$A:$A,'FTE 계산'!$A251,monthly_work_hours!$H:$H,'FTE 계산'!E$2)</f>
        <v>0</v>
      </c>
      <c r="F251">
        <f>SUMIFS(monthly_work_hours!$M:$M,monthly_work_hours!$A:$A,'FTE 계산'!$A251,monthly_work_hours!$H:$H,'FTE 계산'!F$2)</f>
        <v>134.19999999999999</v>
      </c>
      <c r="G251">
        <f>SUMIFS(monthly_work_hours!$M:$M,monthly_work_hours!$A:$A,'FTE 계산'!$A251,monthly_work_hours!$H:$H,'FTE 계산'!G$2)</f>
        <v>67.2</v>
      </c>
      <c r="H251">
        <f>(SUMIFS(monthly_work_hours!$I:$I,monthly_work_hours!$A:$A,'FTE 계산'!$A251,monthly_work_hours!$H:$H,'FTE 계산'!H$2)) - (SUMIFS(monthly_work_hours!$L:$L,monthly_work_hours!$A:$A,'FTE 계산'!$A251,monthly_work_hours!$H:$H,'FTE 계산'!H$2))</f>
        <v>0</v>
      </c>
      <c r="I251">
        <f>(SUMIFS(monthly_work_hours!$I:$I,monthly_work_hours!$A:$A,'FTE 계산'!$A251,monthly_work_hours!$H:$H,'FTE 계산'!I$2)) - (SUMIFS(monthly_work_hours!$L:$L,monthly_work_hours!$A:$A,'FTE 계산'!$A251,monthly_work_hours!$H:$H,'FTE 계산'!I$2))</f>
        <v>14</v>
      </c>
      <c r="J251">
        <f>(SUMIFS(monthly_work_hours!$I:$I,monthly_work_hours!$A:$A,'FTE 계산'!$A251,monthly_work_hours!$H:$H,'FTE 계산'!J$2)) - (SUMIFS(monthly_work_hours!$L:$L,monthly_work_hours!$A:$A,'FTE 계산'!$A251,monthly_work_hours!$H:$H,'FTE 계산'!J$2))</f>
        <v>8</v>
      </c>
    </row>
    <row r="252" spans="1:10" x14ac:dyDescent="0.45">
      <c r="A252">
        <v>1225078</v>
      </c>
      <c r="B252" t="str">
        <f>_xlfn.XLOOKUP(A252,monthly_work_hours!A:A,monthly_work_hours!B:B)</f>
        <v>진정학</v>
      </c>
      <c r="C252" t="str">
        <f>_xlfn.XLOOKUP(A252,monthly_work_hours!A:A,monthly_work_hours!E:E)</f>
        <v>FL설계팀</v>
      </c>
      <c r="D252" t="str">
        <f>_xlfn.XLOOKUP(A252,monthly_work_hours!A:A,monthly_work_hours!F:F)</f>
        <v>사원</v>
      </c>
      <c r="E252">
        <f>SUMIFS(monthly_work_hours!$M:$M,monthly_work_hours!$A:$A,'FTE 계산'!$A252,monthly_work_hours!$H:$H,'FTE 계산'!E$2)</f>
        <v>0</v>
      </c>
      <c r="F252">
        <f>SUMIFS(monthly_work_hours!$M:$M,monthly_work_hours!$A:$A,'FTE 계산'!$A252,monthly_work_hours!$H:$H,'FTE 계산'!F$2)</f>
        <v>0</v>
      </c>
      <c r="G252">
        <f>SUMIFS(monthly_work_hours!$M:$M,monthly_work_hours!$A:$A,'FTE 계산'!$A252,monthly_work_hours!$H:$H,'FTE 계산'!G$2)</f>
        <v>20.399999999999999</v>
      </c>
      <c r="H252">
        <f>(SUMIFS(monthly_work_hours!$I:$I,monthly_work_hours!$A:$A,'FTE 계산'!$A252,monthly_work_hours!$H:$H,'FTE 계산'!H$2)) - (SUMIFS(monthly_work_hours!$L:$L,monthly_work_hours!$A:$A,'FTE 계산'!$A252,monthly_work_hours!$H:$H,'FTE 계산'!H$2))</f>
        <v>0</v>
      </c>
      <c r="I252">
        <f>(SUMIFS(monthly_work_hours!$I:$I,monthly_work_hours!$A:$A,'FTE 계산'!$A252,monthly_work_hours!$H:$H,'FTE 계산'!I$2)) - (SUMIFS(monthly_work_hours!$L:$L,monthly_work_hours!$A:$A,'FTE 계산'!$A252,monthly_work_hours!$H:$H,'FTE 계산'!I$2))</f>
        <v>0</v>
      </c>
      <c r="J252">
        <f>(SUMIFS(monthly_work_hours!$I:$I,monthly_work_hours!$A:$A,'FTE 계산'!$A252,monthly_work_hours!$H:$H,'FTE 계산'!J$2)) - (SUMIFS(monthly_work_hours!$L:$L,monthly_work_hours!$A:$A,'FTE 계산'!$A252,monthly_work_hours!$H:$H,'FTE 계산'!J$2))</f>
        <v>3</v>
      </c>
    </row>
    <row r="253" spans="1:10" x14ac:dyDescent="0.45">
      <c r="A253">
        <v>1225079</v>
      </c>
      <c r="B253" t="str">
        <f>_xlfn.XLOOKUP(A253,monthly_work_hours!A:A,monthly_work_hours!B:B)</f>
        <v>이현민</v>
      </c>
      <c r="C253" t="str">
        <f>_xlfn.XLOOKUP(A253,monthly_work_hours!A:A,monthly_work_hours!E:E)</f>
        <v>FL설계팀</v>
      </c>
      <c r="D253" t="str">
        <f>_xlfn.XLOOKUP(A253,monthly_work_hours!A:A,monthly_work_hours!F:F)</f>
        <v>사원</v>
      </c>
      <c r="E253">
        <f>SUMIFS(monthly_work_hours!$M:$M,monthly_work_hours!$A:$A,'FTE 계산'!$A253,monthly_work_hours!$H:$H,'FTE 계산'!E$2)</f>
        <v>0</v>
      </c>
      <c r="F253">
        <f>SUMIFS(monthly_work_hours!$M:$M,monthly_work_hours!$A:$A,'FTE 계산'!$A253,monthly_work_hours!$H:$H,'FTE 계산'!F$2)</f>
        <v>0</v>
      </c>
      <c r="G253">
        <f>SUMIFS(monthly_work_hours!$M:$M,monthly_work_hours!$A:$A,'FTE 계산'!$A253,monthly_work_hours!$H:$H,'FTE 계산'!G$2)</f>
        <v>26.1</v>
      </c>
      <c r="H253">
        <f>(SUMIFS(monthly_work_hours!$I:$I,monthly_work_hours!$A:$A,'FTE 계산'!$A253,monthly_work_hours!$H:$H,'FTE 계산'!H$2)) - (SUMIFS(monthly_work_hours!$L:$L,monthly_work_hours!$A:$A,'FTE 계산'!$A253,monthly_work_hours!$H:$H,'FTE 계산'!H$2))</f>
        <v>0</v>
      </c>
      <c r="I253">
        <f>(SUMIFS(monthly_work_hours!$I:$I,monthly_work_hours!$A:$A,'FTE 계산'!$A253,monthly_work_hours!$H:$H,'FTE 계산'!I$2)) - (SUMIFS(monthly_work_hours!$L:$L,monthly_work_hours!$A:$A,'FTE 계산'!$A253,monthly_work_hours!$H:$H,'FTE 계산'!I$2))</f>
        <v>0</v>
      </c>
      <c r="J253">
        <f>(SUMIFS(monthly_work_hours!$I:$I,monthly_work_hours!$A:$A,'FTE 계산'!$A253,monthly_work_hours!$H:$H,'FTE 계산'!J$2)) - (SUMIFS(monthly_work_hours!$L:$L,monthly_work_hours!$A:$A,'FTE 계산'!$A253,monthly_work_hours!$H:$H,'FTE 계산'!J$2))</f>
        <v>3</v>
      </c>
    </row>
  </sheetData>
  <autoFilter ref="A2:J253" xr:uid="{39C2A553-4C95-47BA-BC1D-73652B8A0CE6}"/>
  <mergeCells count="11">
    <mergeCell ref="AQ1:AT1"/>
    <mergeCell ref="AU1:AX1"/>
    <mergeCell ref="AA1:AD1"/>
    <mergeCell ref="AE1:AH1"/>
    <mergeCell ref="AI1:AL1"/>
    <mergeCell ref="AM1:AP1"/>
    <mergeCell ref="E1:G1"/>
    <mergeCell ref="H1:J1"/>
    <mergeCell ref="O1:R1"/>
    <mergeCell ref="S1:V1"/>
    <mergeCell ref="W1:Z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862-76AE-452B-B7DC-3CCD3849C787}">
  <dimension ref="A1:E35"/>
  <sheetViews>
    <sheetView workbookViewId="0">
      <selection activeCell="C3" sqref="C3"/>
    </sheetView>
  </sheetViews>
  <sheetFormatPr defaultRowHeight="17" x14ac:dyDescent="0.45"/>
  <cols>
    <col min="1" max="1" width="16.83203125" customWidth="1"/>
  </cols>
  <sheetData>
    <row r="1" spans="1:5" x14ac:dyDescent="0.45">
      <c r="A1" t="s">
        <v>1157</v>
      </c>
      <c r="B1" t="s">
        <v>694</v>
      </c>
    </row>
    <row r="2" spans="1:5" x14ac:dyDescent="0.45">
      <c r="B2" t="s">
        <v>678</v>
      </c>
      <c r="C2" t="s">
        <v>17</v>
      </c>
      <c r="D2" t="s">
        <v>116</v>
      </c>
      <c r="E2" t="s">
        <v>171</v>
      </c>
    </row>
    <row r="3" spans="1:5" x14ac:dyDescent="0.45">
      <c r="A3" t="s">
        <v>827</v>
      </c>
      <c r="B3">
        <f>COUNTIFS(인원현황!$F:$F,'실제 인원'!$A3,인원현황!$B:$B,'실제 인원'!$A$1)</f>
        <v>12</v>
      </c>
      <c r="C3">
        <f>COUNTIFS(인원현황!$F:$F,'실제 인원'!$A3,인원현황!$B:$B,'실제 인원'!$A$1,인원현황!$I:$I,'실제 인원'!C$2)</f>
        <v>5</v>
      </c>
      <c r="D3">
        <f>COUNTIFS(인원현황!$F:$F,'실제 인원'!$A3,인원현황!$B:$B,'실제 인원'!$A$1,인원현황!$I:$I,'실제 인원'!D$2)</f>
        <v>5</v>
      </c>
      <c r="E3">
        <f>COUNTIFS(인원현황!$F:$F,'실제 인원'!$A3,인원현황!$B:$B,'실제 인원'!$A$1,인원현황!$I:$I,'실제 인원'!E$2)</f>
        <v>2</v>
      </c>
    </row>
    <row r="4" spans="1:5" x14ac:dyDescent="0.45">
      <c r="A4" t="s">
        <v>731</v>
      </c>
      <c r="B4">
        <f>COUNTIFS(인원현황!F:F,'실제 인원'!$A4,인원현황!B:B,'실제 인원'!$A$1)</f>
        <v>10</v>
      </c>
      <c r="C4">
        <f>COUNTIFS(인원현황!$F:$F,'실제 인원'!$A4,인원현황!$B:$B,'실제 인원'!$A$1,인원현황!$I:$I,'실제 인원'!C$2)</f>
        <v>5</v>
      </c>
      <c r="D4">
        <f>COUNTIFS(인원현황!$F:$F,'실제 인원'!$A4,인원현황!$B:$B,'실제 인원'!$A$1,인원현황!$I:$I,'실제 인원'!D$2)</f>
        <v>2</v>
      </c>
      <c r="E4">
        <f>COUNTIFS(인원현황!$F:$F,'실제 인원'!$A4,인원현황!$B:$B,'실제 인원'!$A$1,인원현황!$I:$I,'실제 인원'!E$2)</f>
        <v>3</v>
      </c>
    </row>
    <row r="5" spans="1:5" x14ac:dyDescent="0.45">
      <c r="A5" t="s">
        <v>942</v>
      </c>
      <c r="B5">
        <f>COUNTIFS(인원현황!F:F,'실제 인원'!$A5,인원현황!B:B,'실제 인원'!$A$1)</f>
        <v>6</v>
      </c>
      <c r="C5">
        <f>COUNTIFS(인원현황!$F:$F,'실제 인원'!$A5,인원현황!$B:$B,'실제 인원'!$A$1,인원현황!$I:$I,'실제 인원'!C$2)</f>
        <v>2</v>
      </c>
      <c r="D5">
        <f>COUNTIFS(인원현황!$F:$F,'실제 인원'!$A5,인원현황!$B:$B,'실제 인원'!$A$1,인원현황!$I:$I,'실제 인원'!D$2)</f>
        <v>2</v>
      </c>
      <c r="E5">
        <f>COUNTIFS(인원현황!$F:$F,'실제 인원'!$A5,인원현황!$B:$B,'실제 인원'!$A$1,인원현황!$I:$I,'실제 인원'!E$2)</f>
        <v>2</v>
      </c>
    </row>
    <row r="6" spans="1:5" x14ac:dyDescent="0.45">
      <c r="A6" t="s">
        <v>887</v>
      </c>
      <c r="B6">
        <f>COUNTIFS(인원현황!F:F,'실제 인원'!$A6,인원현황!B:B,'실제 인원'!$A$1)</f>
        <v>12</v>
      </c>
      <c r="C6">
        <f>COUNTIFS(인원현황!$F:$F,'실제 인원'!$A6,인원현황!$B:$B,'실제 인원'!$A$1,인원현황!$I:$I,'실제 인원'!C$2)</f>
        <v>4</v>
      </c>
      <c r="D6">
        <f>COUNTIFS(인원현황!$F:$F,'실제 인원'!$A6,인원현황!$B:$B,'실제 인원'!$A$1,인원현황!$I:$I,'실제 인원'!D$2)</f>
        <v>4</v>
      </c>
      <c r="E6">
        <f>COUNTIFS(인원현황!$F:$F,'실제 인원'!$A6,인원현황!$B:$B,'실제 인원'!$A$1,인원현황!$I:$I,'실제 인원'!E$2)</f>
        <v>4</v>
      </c>
    </row>
    <row r="7" spans="1:5" x14ac:dyDescent="0.45">
      <c r="A7" t="s">
        <v>819</v>
      </c>
      <c r="B7">
        <f>COUNTIFS(인원현황!F:F,'실제 인원'!$A7,인원현황!B:B,'실제 인원'!$A$1)</f>
        <v>14</v>
      </c>
      <c r="C7">
        <f>COUNTIFS(인원현황!$F:$F,'실제 인원'!$A7,인원현황!$B:$B,'실제 인원'!$A$1,인원현황!$I:$I,'실제 인원'!C$2)</f>
        <v>3</v>
      </c>
      <c r="D7">
        <f>COUNTIFS(인원현황!$F:$F,'실제 인원'!$A7,인원현황!$B:$B,'실제 인원'!$A$1,인원현황!$I:$I,'실제 인원'!D$2)</f>
        <v>8</v>
      </c>
      <c r="E7">
        <f>COUNTIFS(인원현황!$F:$F,'실제 인원'!$A7,인원현황!$B:$B,'실제 인원'!$A$1,인원현황!$I:$I,'실제 인원'!E$2)</f>
        <v>2</v>
      </c>
    </row>
    <row r="8" spans="1:5" x14ac:dyDescent="0.45">
      <c r="A8" t="s">
        <v>726</v>
      </c>
      <c r="B8">
        <f>COUNTIFS(인원현황!F:F,'실제 인원'!$A8,인원현황!B:B,'실제 인원'!$A$1)</f>
        <v>1</v>
      </c>
      <c r="C8">
        <f>COUNTIFS(인원현황!$F:$F,'실제 인원'!$A8,인원현황!$B:$B,'실제 인원'!$A$1,인원현황!$I:$I,'실제 인원'!C$2)</f>
        <v>1</v>
      </c>
      <c r="D8">
        <f>COUNTIFS(인원현황!$F:$F,'실제 인원'!$A8,인원현황!$B:$B,'실제 인원'!$A$1,인원현황!$I:$I,'실제 인원'!D$2)</f>
        <v>0</v>
      </c>
      <c r="E8">
        <f>COUNTIFS(인원현황!$F:$F,'실제 인원'!$A8,인원현황!$B:$B,'실제 인원'!$A$1,인원현황!$I:$I,'실제 인원'!E$2)</f>
        <v>0</v>
      </c>
    </row>
    <row r="9" spans="1:5" x14ac:dyDescent="0.45">
      <c r="A9" t="s">
        <v>733</v>
      </c>
      <c r="B9">
        <f>COUNTIFS(인원현황!F:F,'실제 인원'!$A9,인원현황!B:B,'실제 인원'!$A$1)</f>
        <v>5</v>
      </c>
      <c r="C9">
        <f>COUNTIFS(인원현황!$F:$F,'실제 인원'!$A9,인원현황!$B:$B,'실제 인원'!$A$1,인원현황!$I:$I,'실제 인원'!C$2)</f>
        <v>1</v>
      </c>
      <c r="D9">
        <f>COUNTIFS(인원현황!$F:$F,'실제 인원'!$A9,인원현황!$B:$B,'실제 인원'!$A$1,인원현황!$I:$I,'실제 인원'!D$2)</f>
        <v>2</v>
      </c>
      <c r="E9">
        <f>COUNTIFS(인원현황!$F:$F,'실제 인원'!$A9,인원현황!$B:$B,'실제 인원'!$A$1,인원현황!$I:$I,'실제 인원'!E$2)</f>
        <v>2</v>
      </c>
    </row>
    <row r="10" spans="1:5" x14ac:dyDescent="0.45">
      <c r="A10" t="s">
        <v>958</v>
      </c>
      <c r="B10">
        <f>COUNTIFS(인원현황!F:F,'실제 인원'!$A10,인원현황!B:B,'실제 인원'!$A$1)</f>
        <v>14</v>
      </c>
      <c r="C10">
        <f>COUNTIFS(인원현황!$F:$F,'실제 인원'!$A10,인원현황!$B:$B,'실제 인원'!$A$1,인원현황!$I:$I,'실제 인원'!C$2)</f>
        <v>3</v>
      </c>
      <c r="D10">
        <f>COUNTIFS(인원현황!$F:$F,'실제 인원'!$A10,인원현황!$B:$B,'실제 인원'!$A$1,인원현황!$I:$I,'실제 인원'!D$2)</f>
        <v>7</v>
      </c>
      <c r="E10">
        <f>COUNTIFS(인원현황!$F:$F,'실제 인원'!$A10,인원현황!$B:$B,'실제 인원'!$A$1,인원현황!$I:$I,'실제 인원'!E$2)</f>
        <v>3</v>
      </c>
    </row>
    <row r="11" spans="1:5" x14ac:dyDescent="0.45">
      <c r="A11" t="s">
        <v>737</v>
      </c>
      <c r="B11">
        <f>COUNTIFS(인원현황!F:F,'실제 인원'!$A11,인원현황!B:B,'실제 인원'!$A$1)</f>
        <v>8</v>
      </c>
      <c r="C11">
        <f>COUNTIFS(인원현황!$F:$F,'실제 인원'!$A11,인원현황!$B:$B,'실제 인원'!$A$1,인원현황!$I:$I,'실제 인원'!C$2)</f>
        <v>2</v>
      </c>
      <c r="D11">
        <f>COUNTIFS(인원현황!$F:$F,'실제 인원'!$A11,인원현황!$B:$B,'실제 인원'!$A$1,인원현황!$I:$I,'실제 인원'!D$2)</f>
        <v>4</v>
      </c>
      <c r="E11">
        <f>COUNTIFS(인원현황!$F:$F,'실제 인원'!$A11,인원현황!$B:$B,'실제 인원'!$A$1,인원현황!$I:$I,'실제 인원'!E$2)</f>
        <v>2</v>
      </c>
    </row>
    <row r="12" spans="1:5" x14ac:dyDescent="0.45">
      <c r="A12" t="s">
        <v>741</v>
      </c>
      <c r="B12">
        <f>COUNTIFS(인원현황!F:F,'실제 인원'!$A12,인원현황!B:B,'실제 인원'!$A$1)</f>
        <v>14</v>
      </c>
      <c r="C12">
        <f>COUNTIFS(인원현황!$F:$F,'실제 인원'!$A12,인원현황!$B:$B,'실제 인원'!$A$1,인원현황!$I:$I,'실제 인원'!C$2)</f>
        <v>2</v>
      </c>
      <c r="D12">
        <f>COUNTIFS(인원현황!$F:$F,'실제 인원'!$A12,인원현황!$B:$B,'실제 인원'!$A$1,인원현황!$I:$I,'실제 인원'!D$2)</f>
        <v>4</v>
      </c>
      <c r="E12">
        <f>COUNTIFS(인원현황!$F:$F,'실제 인원'!$A12,인원현황!$B:$B,'실제 인원'!$A$1,인원현황!$I:$I,'실제 인원'!E$2)</f>
        <v>6</v>
      </c>
    </row>
    <row r="13" spans="1:5" x14ac:dyDescent="0.45">
      <c r="A13" t="s">
        <v>885</v>
      </c>
      <c r="B13">
        <f>COUNTIFS(인원현황!F:F,'실제 인원'!$A13,인원현황!B:B,'실제 인원'!$A$1)</f>
        <v>7</v>
      </c>
      <c r="C13">
        <f>COUNTIFS(인원현황!$F:$F,'실제 인원'!$A13,인원현황!$B:$B,'실제 인원'!$A$1,인원현황!$I:$I,'실제 인원'!C$2)</f>
        <v>2</v>
      </c>
      <c r="D13">
        <f>COUNTIFS(인원현황!$F:$F,'실제 인원'!$A13,인원현황!$B:$B,'실제 인원'!$A$1,인원현황!$I:$I,'실제 인원'!D$2)</f>
        <v>4</v>
      </c>
      <c r="E13">
        <f>COUNTIFS(인원현황!$F:$F,'실제 인원'!$A13,인원현황!$B:$B,'실제 인원'!$A$1,인원현황!$I:$I,'실제 인원'!E$2)</f>
        <v>1</v>
      </c>
    </row>
    <row r="14" spans="1:5" x14ac:dyDescent="0.45">
      <c r="A14" t="s">
        <v>922</v>
      </c>
      <c r="B14">
        <f>COUNTIFS(인원현황!F:F,'실제 인원'!$A14,인원현황!B:B,'실제 인원'!$A$1)</f>
        <v>6</v>
      </c>
      <c r="C14">
        <f>COUNTIFS(인원현황!$F:$F,'실제 인원'!$A14,인원현황!$B:$B,'실제 인원'!$A$1,인원현황!$I:$I,'실제 인원'!C$2)</f>
        <v>2</v>
      </c>
      <c r="D14">
        <f>COUNTIFS(인원현황!$F:$F,'실제 인원'!$A14,인원현황!$B:$B,'실제 인원'!$A$1,인원현황!$I:$I,'실제 인원'!D$2)</f>
        <v>4</v>
      </c>
      <c r="E14">
        <f>COUNTIFS(인원현황!$F:$F,'실제 인원'!$A14,인원현황!$B:$B,'실제 인원'!$A$1,인원현황!$I:$I,'실제 인원'!E$2)</f>
        <v>0</v>
      </c>
    </row>
    <row r="15" spans="1:5" x14ac:dyDescent="0.45">
      <c r="A15" t="s">
        <v>909</v>
      </c>
      <c r="B15">
        <f>COUNTIFS(인원현황!F:F,'실제 인원'!$A15,인원현황!B:B,'실제 인원'!$A$1)</f>
        <v>11</v>
      </c>
      <c r="C15">
        <f>COUNTIFS(인원현황!$F:$F,'실제 인원'!$A15,인원현황!$B:$B,'실제 인원'!$A$1,인원현황!$I:$I,'실제 인원'!C$2)</f>
        <v>4</v>
      </c>
      <c r="D15">
        <f>COUNTIFS(인원현황!$F:$F,'실제 인원'!$A15,인원현황!$B:$B,'실제 인원'!$A$1,인원현황!$I:$I,'실제 인원'!D$2)</f>
        <v>6</v>
      </c>
      <c r="E15">
        <f>COUNTIFS(인원현황!$F:$F,'실제 인원'!$A15,인원현황!$B:$B,'실제 인원'!$A$1,인원현황!$I:$I,'실제 인원'!E$2)</f>
        <v>1</v>
      </c>
    </row>
    <row r="16" spans="1:5" x14ac:dyDescent="0.45">
      <c r="A16" t="s">
        <v>931</v>
      </c>
      <c r="B16">
        <f>COUNTIFS(인원현황!F:F,'실제 인원'!$A16,인원현황!B:B,'실제 인원'!$A$1)</f>
        <v>6</v>
      </c>
      <c r="C16">
        <f>COUNTIFS(인원현황!$F:$F,'실제 인원'!$A16,인원현황!$B:$B,'실제 인원'!$A$1,인원현황!$I:$I,'실제 인원'!C$2)</f>
        <v>2</v>
      </c>
      <c r="D16">
        <f>COUNTIFS(인원현황!$F:$F,'실제 인원'!$A16,인원현황!$B:$B,'실제 인원'!$A$1,인원현황!$I:$I,'실제 인원'!D$2)</f>
        <v>4</v>
      </c>
      <c r="E16">
        <f>COUNTIFS(인원현황!$F:$F,'실제 인원'!$A16,인원현황!$B:$B,'실제 인원'!$A$1,인원현황!$I:$I,'실제 인원'!E$2)</f>
        <v>0</v>
      </c>
    </row>
    <row r="17" spans="1:5" x14ac:dyDescent="0.45">
      <c r="A17" t="s">
        <v>962</v>
      </c>
      <c r="B17">
        <f>COUNTIFS(인원현황!F:F,'실제 인원'!$A17,인원현황!B:B,'실제 인원'!$A$1)</f>
        <v>13</v>
      </c>
      <c r="C17">
        <f>COUNTIFS(인원현황!$F:$F,'실제 인원'!$A17,인원현황!$B:$B,'실제 인원'!$A$1,인원현황!$I:$I,'실제 인원'!C$2)</f>
        <v>3</v>
      </c>
      <c r="D17">
        <f>COUNTIFS(인원현황!$F:$F,'실제 인원'!$A17,인원현황!$B:$B,'실제 인원'!$A$1,인원현황!$I:$I,'실제 인원'!D$2)</f>
        <v>6</v>
      </c>
      <c r="E17">
        <f>COUNTIFS(인원현황!$F:$F,'실제 인원'!$A17,인원현황!$B:$B,'실제 인원'!$A$1,인원현황!$I:$I,'실제 인원'!E$2)</f>
        <v>3</v>
      </c>
    </row>
    <row r="18" spans="1:5" x14ac:dyDescent="0.45">
      <c r="A18" t="s">
        <v>940</v>
      </c>
      <c r="B18">
        <f>COUNTIFS(인원현황!F:F,'실제 인원'!$A18,인원현황!B:B,'실제 인원'!$A$1)</f>
        <v>6</v>
      </c>
      <c r="C18">
        <f>COUNTIFS(인원현황!$F:$F,'실제 인원'!$A18,인원현황!$B:$B,'실제 인원'!$A$1,인원현황!$I:$I,'실제 인원'!C$2)</f>
        <v>2</v>
      </c>
      <c r="D18">
        <f>COUNTIFS(인원현황!$F:$F,'실제 인원'!$A18,인원현황!$B:$B,'실제 인원'!$A$1,인원현황!$I:$I,'실제 인원'!D$2)</f>
        <v>1</v>
      </c>
      <c r="E18">
        <f>COUNTIFS(인원현황!$F:$F,'실제 인원'!$A18,인원현황!$B:$B,'실제 인원'!$A$1,인원현황!$I:$I,'실제 인원'!E$2)</f>
        <v>2</v>
      </c>
    </row>
    <row r="19" spans="1:5" x14ac:dyDescent="0.45">
      <c r="A19" t="s">
        <v>743</v>
      </c>
      <c r="B19">
        <f>COUNTIFS(인원현황!F:F,'실제 인원'!$A19,인원현황!B:B,'실제 인원'!$A$1)</f>
        <v>6</v>
      </c>
      <c r="C19">
        <f>COUNTIFS(인원현황!$F:$F,'실제 인원'!$A19,인원현황!$B:$B,'실제 인원'!$A$1,인원현황!$I:$I,'실제 인원'!C$2)</f>
        <v>3</v>
      </c>
      <c r="D19">
        <f>COUNTIFS(인원현황!$F:$F,'실제 인원'!$A19,인원현황!$B:$B,'실제 인원'!$A$1,인원현황!$I:$I,'실제 인원'!D$2)</f>
        <v>2</v>
      </c>
      <c r="E19">
        <f>COUNTIFS(인원현황!$F:$F,'실제 인원'!$A19,인원현황!$B:$B,'실제 인원'!$A$1,인원현황!$I:$I,'실제 인원'!E$2)</f>
        <v>1</v>
      </c>
    </row>
    <row r="20" spans="1:5" x14ac:dyDescent="0.45">
      <c r="A20" t="s">
        <v>830</v>
      </c>
      <c r="B20">
        <f>COUNTIFS(인원현황!F:F,'실제 인원'!$A20,인원현황!B:B,'실제 인원'!$A$1)</f>
        <v>6</v>
      </c>
      <c r="C20">
        <f>COUNTIFS(인원현황!$F:$F,'실제 인원'!$A20,인원현황!$B:$B,'실제 인원'!$A$1,인원현황!$I:$I,'실제 인원'!C$2)</f>
        <v>2</v>
      </c>
      <c r="D20">
        <f>COUNTIFS(인원현황!$F:$F,'실제 인원'!$A20,인원현황!$B:$B,'실제 인원'!$A$1,인원현황!$I:$I,'실제 인원'!D$2)</f>
        <v>2</v>
      </c>
      <c r="E20">
        <f>COUNTIFS(인원현황!$F:$F,'실제 인원'!$A20,인원현황!$B:$B,'실제 인원'!$A$1,인원현황!$I:$I,'실제 인원'!E$2)</f>
        <v>2</v>
      </c>
    </row>
    <row r="21" spans="1:5" x14ac:dyDescent="0.45">
      <c r="A21" t="s">
        <v>956</v>
      </c>
      <c r="B21">
        <f>COUNTIFS(인원현황!F:F,'실제 인원'!$A21,인원현황!B:B,'실제 인원'!$A$1)</f>
        <v>13</v>
      </c>
      <c r="C21">
        <f>COUNTIFS(인원현황!$F:$F,'실제 인원'!$A21,인원현황!$B:$B,'실제 인원'!$A$1,인원현황!$I:$I,'실제 인원'!C$2)</f>
        <v>2</v>
      </c>
      <c r="D21">
        <f>COUNTIFS(인원현황!$F:$F,'실제 인원'!$A21,인원현황!$B:$B,'실제 인원'!$A$1,인원현황!$I:$I,'실제 인원'!D$2)</f>
        <v>9</v>
      </c>
      <c r="E21">
        <f>COUNTIFS(인원현황!$F:$F,'실제 인원'!$A21,인원현황!$B:$B,'실제 인원'!$A$1,인원현황!$I:$I,'실제 인원'!E$2)</f>
        <v>2</v>
      </c>
    </row>
    <row r="22" spans="1:5" x14ac:dyDescent="0.45">
      <c r="A22" t="s">
        <v>835</v>
      </c>
      <c r="B22">
        <f>COUNTIFS(인원현황!F:F,'실제 인원'!$A22,인원현황!B:B,'실제 인원'!$A$1)</f>
        <v>7</v>
      </c>
      <c r="C22">
        <f>COUNTIFS(인원현황!$F:$F,'실제 인원'!$A22,인원현황!$B:$B,'실제 인원'!$A$1,인원현황!$I:$I,'실제 인원'!C$2)</f>
        <v>1</v>
      </c>
      <c r="D22">
        <f>COUNTIFS(인원현황!$F:$F,'실제 인원'!$A22,인원현황!$B:$B,'실제 인원'!$A$1,인원현황!$I:$I,'실제 인원'!D$2)</f>
        <v>5</v>
      </c>
      <c r="E22">
        <f>COUNTIFS(인원현황!$F:$F,'실제 인원'!$A22,인원현황!$B:$B,'실제 인원'!$A$1,인원현황!$I:$I,'실제 인원'!E$2)</f>
        <v>1</v>
      </c>
    </row>
    <row r="23" spans="1:5" x14ac:dyDescent="0.45">
      <c r="A23" t="s">
        <v>1013</v>
      </c>
      <c r="B23">
        <f>COUNTIFS(인원현황!F:F,'실제 인원'!$A23,인원현황!B:B,'실제 인원'!$A$1)</f>
        <v>5</v>
      </c>
      <c r="C23">
        <f>COUNTIFS(인원현황!$F:$F,'실제 인원'!$A23,인원현황!$B:$B,'실제 인원'!$A$1,인원현황!$I:$I,'실제 인원'!C$2)</f>
        <v>1</v>
      </c>
      <c r="D23">
        <f>COUNTIFS(인원현황!$F:$F,'실제 인원'!$A23,인원현황!$B:$B,'실제 인원'!$A$1,인원현황!$I:$I,'실제 인원'!D$2)</f>
        <v>2</v>
      </c>
      <c r="E23">
        <f>COUNTIFS(인원현황!$F:$F,'실제 인원'!$A23,인원현황!$B:$B,'실제 인원'!$A$1,인원현황!$I:$I,'실제 인원'!E$2)</f>
        <v>1</v>
      </c>
    </row>
    <row r="24" spans="1:5" x14ac:dyDescent="0.45">
      <c r="A24" t="s">
        <v>1036</v>
      </c>
      <c r="B24">
        <f>COUNTIFS(인원현황!F:F,'실제 인원'!$A24,인원현황!B:B,'실제 인원'!$A$1)</f>
        <v>4</v>
      </c>
      <c r="C24">
        <f>COUNTIFS(인원현황!$F:$F,'실제 인원'!$A24,인원현황!$B:$B,'실제 인원'!$A$1,인원현황!$I:$I,'실제 인원'!C$2)</f>
        <v>1</v>
      </c>
      <c r="D24">
        <f>COUNTIFS(인원현황!$F:$F,'실제 인원'!$A24,인원현황!$B:$B,'실제 인원'!$A$1,인원현황!$I:$I,'실제 인원'!D$2)</f>
        <v>1</v>
      </c>
      <c r="E24">
        <f>COUNTIFS(인원현황!$F:$F,'실제 인원'!$A24,인원현황!$B:$B,'실제 인원'!$A$1,인원현황!$I:$I,'실제 인원'!E$2)</f>
        <v>2</v>
      </c>
    </row>
    <row r="25" spans="1:5" x14ac:dyDescent="0.45">
      <c r="A25" t="s">
        <v>739</v>
      </c>
      <c r="B25">
        <f>COUNTIFS(인원현황!F:F,'실제 인원'!$A25,인원현황!B:B,'실제 인원'!$A$1)</f>
        <v>14</v>
      </c>
      <c r="C25">
        <f>COUNTIFS(인원현황!$F:$F,'실제 인원'!$A25,인원현황!$B:$B,'실제 인원'!$A$1,인원현황!$I:$I,'실제 인원'!C$2)</f>
        <v>2</v>
      </c>
      <c r="D25">
        <f>COUNTIFS(인원현황!$F:$F,'실제 인원'!$A25,인원현황!$B:$B,'실제 인원'!$A$1,인원현황!$I:$I,'실제 인원'!D$2)</f>
        <v>10</v>
      </c>
      <c r="E25">
        <f>COUNTIFS(인원현황!$F:$F,'실제 인원'!$A25,인원현황!$B:$B,'실제 인원'!$A$1,인원현황!$I:$I,'실제 인원'!E$2)</f>
        <v>2</v>
      </c>
    </row>
    <row r="26" spans="1:5" x14ac:dyDescent="0.45">
      <c r="A26" t="s">
        <v>1001</v>
      </c>
      <c r="B26">
        <f>COUNTIFS(인원현황!F:F,'실제 인원'!$A26,인원현황!B:B,'실제 인원'!$A$1)</f>
        <v>6</v>
      </c>
      <c r="C26">
        <f>COUNTIFS(인원현황!$F:$F,'실제 인원'!$A26,인원현황!$B:$B,'실제 인원'!$A$1,인원현황!$I:$I,'실제 인원'!C$2)</f>
        <v>2</v>
      </c>
      <c r="D26">
        <f>COUNTIFS(인원현황!$F:$F,'실제 인원'!$A26,인원현황!$B:$B,'실제 인원'!$A$1,인원현황!$I:$I,'실제 인원'!D$2)</f>
        <v>2</v>
      </c>
      <c r="E26">
        <f>COUNTIFS(인원현황!$F:$F,'실제 인원'!$A26,인원현황!$B:$B,'실제 인원'!$A$1,인원현황!$I:$I,'실제 인원'!E$2)</f>
        <v>2</v>
      </c>
    </row>
    <row r="27" spans="1:5" x14ac:dyDescent="0.45">
      <c r="A27" t="s">
        <v>1010</v>
      </c>
      <c r="B27">
        <f>COUNTIFS(인원현황!F:F,'실제 인원'!$A27,인원현황!B:B,'실제 인원'!$A$1)</f>
        <v>11</v>
      </c>
      <c r="C27">
        <f>COUNTIFS(인원현황!$F:$F,'실제 인원'!$A27,인원현황!$B:$B,'실제 인원'!$A$1,인원현황!$I:$I,'실제 인원'!C$2)</f>
        <v>2</v>
      </c>
      <c r="D27">
        <f>COUNTIFS(인원현황!$F:$F,'실제 인원'!$A27,인원현황!$B:$B,'실제 인원'!$A$1,인원현황!$I:$I,'실제 인원'!D$2)</f>
        <v>5</v>
      </c>
      <c r="E27">
        <f>COUNTIFS(인원현황!$F:$F,'실제 인원'!$A27,인원현황!$B:$B,'실제 인원'!$A$1,인원현황!$I:$I,'실제 인원'!E$2)</f>
        <v>3</v>
      </c>
    </row>
    <row r="28" spans="1:5" x14ac:dyDescent="0.45">
      <c r="A28" t="s">
        <v>823</v>
      </c>
      <c r="B28">
        <f>COUNTIFS(인원현황!F:F,'실제 인원'!$A28,인원현황!B:B,'실제 인원'!$A$1)</f>
        <v>11</v>
      </c>
      <c r="C28">
        <f>COUNTIFS(인원현황!$F:$F,'실제 인원'!$A28,인원현황!$B:$B,'실제 인원'!$A$1,인원현황!$I:$I,'실제 인원'!C$2)</f>
        <v>3</v>
      </c>
      <c r="D28">
        <f>COUNTIFS(인원현황!$F:$F,'실제 인원'!$A28,인원현황!$B:$B,'실제 인원'!$A$1,인원현황!$I:$I,'실제 인원'!D$2)</f>
        <v>8</v>
      </c>
      <c r="E28">
        <f>COUNTIFS(인원현황!$F:$F,'실제 인원'!$A28,인원현황!$B:$B,'실제 인원'!$A$1,인원현황!$I:$I,'실제 인원'!E$2)</f>
        <v>0</v>
      </c>
    </row>
    <row r="29" spans="1:5" x14ac:dyDescent="0.45">
      <c r="A29" t="s">
        <v>821</v>
      </c>
      <c r="B29">
        <f>COUNTIFS(인원현황!F:F,'실제 인원'!$A29,인원현황!B:B,'실제 인원'!$A$1)</f>
        <v>7</v>
      </c>
      <c r="C29">
        <f>COUNTIFS(인원현황!$F:$F,'실제 인원'!$A29,인원현황!$B:$B,'실제 인원'!$A$1,인원현황!$I:$I,'실제 인원'!C$2)</f>
        <v>1</v>
      </c>
      <c r="D29">
        <f>COUNTIFS(인원현황!$F:$F,'실제 인원'!$A29,인원현황!$B:$B,'실제 인원'!$A$1,인원현황!$I:$I,'실제 인원'!D$2)</f>
        <v>4</v>
      </c>
      <c r="E29">
        <f>COUNTIFS(인원현황!$F:$F,'실제 인원'!$A29,인원현황!$B:$B,'실제 인원'!$A$1,인원현황!$I:$I,'실제 인원'!E$2)</f>
        <v>2</v>
      </c>
    </row>
    <row r="30" spans="1:5" x14ac:dyDescent="0.45">
      <c r="A30" t="s">
        <v>729</v>
      </c>
      <c r="B30">
        <f>COUNTIFS(인원현황!F:F,'실제 인원'!$A30,인원현황!B:B,'실제 인원'!$A$1)</f>
        <v>6</v>
      </c>
      <c r="C30">
        <f>COUNTIFS(인원현황!$F:$F,'실제 인원'!$A30,인원현황!$B:$B,'실제 인원'!$A$1,인원현황!$I:$I,'실제 인원'!C$2)</f>
        <v>2</v>
      </c>
      <c r="D30">
        <f>COUNTIFS(인원현황!$F:$F,'실제 인원'!$A30,인원현황!$B:$B,'실제 인원'!$A$1,인원현황!$I:$I,'실제 인원'!D$2)</f>
        <v>2</v>
      </c>
      <c r="E30">
        <f>COUNTIFS(인원현황!$F:$F,'실제 인원'!$A30,인원현황!$B:$B,'실제 인원'!$A$1,인원현황!$I:$I,'실제 인원'!E$2)</f>
        <v>2</v>
      </c>
    </row>
    <row r="31" spans="1:5" x14ac:dyDescent="0.45">
      <c r="A31" t="s">
        <v>1015</v>
      </c>
      <c r="B31">
        <f>COUNTIFS(인원현황!F:F,'실제 인원'!$A31,인원현황!B:B,'실제 인원'!$A$1)</f>
        <v>2</v>
      </c>
      <c r="C31">
        <f>COUNTIFS(인원현황!$F:$F,'실제 인원'!$A31,인원현황!$B:$B,'실제 인원'!$A$1,인원현황!$I:$I,'실제 인원'!C$2)</f>
        <v>1</v>
      </c>
      <c r="D31">
        <f>COUNTIFS(인원현황!$F:$F,'실제 인원'!$A31,인원현황!$B:$B,'실제 인원'!$A$1,인원현황!$I:$I,'실제 인원'!D$2)</f>
        <v>0</v>
      </c>
      <c r="E31">
        <f>COUNTIFS(인원현황!$F:$F,'실제 인원'!$A31,인원현황!$B:$B,'실제 인원'!$A$1,인원현황!$I:$I,'실제 인원'!E$2)</f>
        <v>1</v>
      </c>
    </row>
    <row r="32" spans="1:5" x14ac:dyDescent="0.45">
      <c r="A32" t="s">
        <v>1034</v>
      </c>
      <c r="B32">
        <f>COUNTIFS(인원현황!F:F,'실제 인원'!$A32,인원현황!B:B,'실제 인원'!$A$1)</f>
        <v>7</v>
      </c>
      <c r="C32">
        <f>COUNTIFS(인원현황!$F:$F,'실제 인원'!$A32,인원현황!$B:$B,'실제 인원'!$A$1,인원현황!$I:$I,'실제 인원'!C$2)</f>
        <v>1</v>
      </c>
      <c r="D32">
        <f>COUNTIFS(인원현황!$F:$F,'실제 인원'!$A32,인원현황!$B:$B,'실제 인원'!$A$1,인원현황!$I:$I,'실제 인원'!D$2)</f>
        <v>3</v>
      </c>
      <c r="E32">
        <f>COUNTIFS(인원현황!$F:$F,'실제 인원'!$A32,인원현황!$B:$B,'실제 인원'!$A$1,인원현황!$I:$I,'실제 인원'!E$2)</f>
        <v>2</v>
      </c>
    </row>
    <row r="33" spans="1:5" x14ac:dyDescent="0.45">
      <c r="A33" t="s">
        <v>746</v>
      </c>
      <c r="B33">
        <f>COUNTIFS(인원현황!F:F,'실제 인원'!$A33,인원현황!B:B,'실제 인원'!$A$1)</f>
        <v>10</v>
      </c>
      <c r="C33">
        <f>COUNTIFS(인원현황!$F:$F,'실제 인원'!$A33,인원현황!$B:$B,'실제 인원'!$A$1,인원현황!$I:$I,'실제 인원'!C$2)</f>
        <v>2</v>
      </c>
      <c r="D33">
        <f>COUNTIFS(인원현황!$F:$F,'실제 인원'!$A33,인원현황!$B:$B,'실제 인원'!$A$1,인원현황!$I:$I,'실제 인원'!D$2)</f>
        <v>6</v>
      </c>
      <c r="E33">
        <f>COUNTIFS(인원현황!$F:$F,'실제 인원'!$A33,인원현황!$B:$B,'실제 인원'!$A$1,인원현황!$I:$I,'실제 인원'!E$2)</f>
        <v>2</v>
      </c>
    </row>
    <row r="34" spans="1:5" x14ac:dyDescent="0.45">
      <c r="A34" t="s">
        <v>1158</v>
      </c>
      <c r="B34">
        <f>COUNTIFS(인원현황!F:F,'실제 인원'!$A34,인원현황!B:B,'실제 인원'!$A$1)</f>
        <v>0</v>
      </c>
      <c r="C34">
        <f>COUNTIFS(인원현황!$F:$F,'실제 인원'!$A34,인원현황!$B:$B,'실제 인원'!$A$1,인원현황!$I:$I,'실제 인원'!C$2)</f>
        <v>0</v>
      </c>
      <c r="D34">
        <f>COUNTIFS(인원현황!$F:$F,'실제 인원'!$A34,인원현황!$B:$B,'실제 인원'!$A$1,인원현황!$I:$I,'실제 인원'!D$2)</f>
        <v>0</v>
      </c>
      <c r="E34">
        <f>COUNTIFS(인원현황!$F:$F,'실제 인원'!$A34,인원현황!$B:$B,'실제 인원'!$A$1,인원현황!$I:$I,'실제 인원'!E$2)</f>
        <v>0</v>
      </c>
    </row>
    <row r="35" spans="1:5" x14ac:dyDescent="0.45">
      <c r="A35" t="s">
        <v>710</v>
      </c>
      <c r="B35">
        <f>COUNTIFS(인원현황!F:F,'실제 인원'!$A35,인원현황!B:B,'실제 인원'!$A$1)</f>
        <v>1</v>
      </c>
      <c r="C35">
        <f>COUNTIFS(인원현황!$F:$F,'실제 인원'!$A35,인원현황!$B:$B,'실제 인원'!$A$1,인원현황!$I:$I,'실제 인원'!C$2)</f>
        <v>0</v>
      </c>
      <c r="D35">
        <f>COUNTIFS(인원현황!$F:$F,'실제 인원'!$A35,인원현황!$B:$B,'실제 인원'!$A$1,인원현황!$I:$I,'실제 인원'!D$2)</f>
        <v>0</v>
      </c>
      <c r="E35">
        <f>COUNTIFS(인원현황!$F:$F,'실제 인원'!$A35,인원현황!$B:$B,'실제 인원'!$A$1,인원현황!$I:$I,'실제 인원'!E$2)</f>
        <v>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14C1-748F-47B4-8746-DD8BFA070A4F}">
  <dimension ref="A1:N367"/>
  <sheetViews>
    <sheetView showGridLines="0" workbookViewId="0">
      <selection activeCell="H375" sqref="H375"/>
    </sheetView>
  </sheetViews>
  <sheetFormatPr defaultColWidth="8.83203125" defaultRowHeight="15" x14ac:dyDescent="0.45"/>
  <cols>
    <col min="1" max="1" width="4.6640625" style="5" bestFit="1" customWidth="1"/>
    <col min="2" max="3" width="6.1640625" style="7" bestFit="1" customWidth="1"/>
    <col min="4" max="4" width="7.83203125" style="7" bestFit="1" customWidth="1"/>
    <col min="5" max="5" width="13.33203125" style="7" bestFit="1" customWidth="1"/>
    <col min="6" max="6" width="16.33203125" style="7" bestFit="1" customWidth="1"/>
    <col min="7" max="7" width="9.33203125" style="7" bestFit="1" customWidth="1"/>
    <col min="8" max="8" width="9.4140625" style="7" bestFit="1" customWidth="1"/>
    <col min="9" max="9" width="9.4140625" style="7" customWidth="1"/>
    <col min="10" max="10" width="10.4140625" style="7" bestFit="1" customWidth="1"/>
    <col min="11" max="11" width="11.08203125" style="7" bestFit="1" customWidth="1"/>
    <col min="12" max="12" width="30.1640625" style="7" bestFit="1" customWidth="1"/>
    <col min="13" max="16384" width="8.83203125" style="5"/>
  </cols>
  <sheetData>
    <row r="1" spans="1:14" x14ac:dyDescent="0.45">
      <c r="A1" s="4" t="s">
        <v>699</v>
      </c>
      <c r="B1" s="4" t="s">
        <v>700</v>
      </c>
      <c r="C1" s="4" t="s">
        <v>701</v>
      </c>
      <c r="D1" s="4" t="s">
        <v>702</v>
      </c>
      <c r="E1" s="4" t="s">
        <v>703</v>
      </c>
      <c r="F1" s="4" t="s">
        <v>704</v>
      </c>
      <c r="G1" s="4" t="s">
        <v>674</v>
      </c>
      <c r="H1" s="4" t="s">
        <v>677</v>
      </c>
      <c r="I1" s="4"/>
      <c r="J1" s="4" t="s">
        <v>705</v>
      </c>
      <c r="K1" s="4" t="s">
        <v>706</v>
      </c>
      <c r="L1" s="4" t="s">
        <v>707</v>
      </c>
    </row>
    <row r="2" spans="1:14" x14ac:dyDescent="0.45">
      <c r="A2" s="6">
        <v>1</v>
      </c>
      <c r="B2" s="10" t="s">
        <v>1159</v>
      </c>
      <c r="C2" s="10" t="s">
        <v>708</v>
      </c>
      <c r="D2" s="10" t="s">
        <v>709</v>
      </c>
      <c r="E2" s="10" t="s">
        <v>710</v>
      </c>
      <c r="F2" s="10" t="s">
        <v>710</v>
      </c>
      <c r="G2" s="10" t="s">
        <v>1161</v>
      </c>
      <c r="H2" s="10" t="s">
        <v>711</v>
      </c>
      <c r="I2" s="6" t="str" cm="1">
        <f t="array" ref="I2">_xlfn.IFS(
    OR(H2="A1", H2="A2", H2="G1"), "사원",
    OR(H2="G2", H2="G3"), "선임",
    OR(H2="G4", H2="G5"), "책임"
)</f>
        <v>사원</v>
      </c>
      <c r="J2" s="11">
        <v>43040</v>
      </c>
      <c r="K2" s="11">
        <v>46753</v>
      </c>
      <c r="L2" s="10" t="s">
        <v>712</v>
      </c>
      <c r="N2" s="5" t="s">
        <v>713</v>
      </c>
    </row>
    <row r="3" spans="1:14" x14ac:dyDescent="0.45">
      <c r="A3" s="6">
        <v>2</v>
      </c>
      <c r="B3" s="10" t="s">
        <v>1159</v>
      </c>
      <c r="C3" s="10" t="s">
        <v>708</v>
      </c>
      <c r="D3" s="10" t="s">
        <v>709</v>
      </c>
      <c r="E3" s="10" t="s">
        <v>714</v>
      </c>
      <c r="F3" s="10" t="s">
        <v>1162</v>
      </c>
      <c r="G3" s="10" t="s">
        <v>1163</v>
      </c>
      <c r="H3" s="10" t="s">
        <v>1164</v>
      </c>
      <c r="I3" s="6" t="e" cm="1">
        <f t="array" ref="I3">_xlfn.IFS(
    OR(H3="A1", H3="A2", H3="G1"), "사원",
    OR(H3="G2", H3="G3"), "선임",
    OR(H3="G4", H3="G5"), "책임"
)</f>
        <v>#N/A</v>
      </c>
      <c r="J3" s="11">
        <v>41122</v>
      </c>
      <c r="K3" s="11"/>
      <c r="L3" s="10" t="s">
        <v>1442</v>
      </c>
    </row>
    <row r="4" spans="1:14" x14ac:dyDescent="0.45">
      <c r="A4" s="6">
        <v>3</v>
      </c>
      <c r="B4" s="10" t="s">
        <v>1159</v>
      </c>
      <c r="C4" s="10" t="s">
        <v>708</v>
      </c>
      <c r="D4" s="10" t="s">
        <v>709</v>
      </c>
      <c r="E4" s="10" t="s">
        <v>714</v>
      </c>
      <c r="F4" s="10" t="s">
        <v>1165</v>
      </c>
      <c r="G4" s="10" t="s">
        <v>1166</v>
      </c>
      <c r="H4" s="10" t="s">
        <v>1167</v>
      </c>
      <c r="I4" s="6" t="e" cm="1">
        <f t="array" ref="I4">_xlfn.IFS(
    OR(H4="A1", H4="A2", H4="G1"), "사원",
    OR(H4="G2", H4="G3"), "선임",
    OR(H4="G4", H4="G5"), "책임"
)</f>
        <v>#N/A</v>
      </c>
      <c r="J4" s="11">
        <v>35278</v>
      </c>
      <c r="K4" s="11"/>
      <c r="L4" s="10" t="s">
        <v>1443</v>
      </c>
    </row>
    <row r="5" spans="1:14" x14ac:dyDescent="0.45">
      <c r="A5" s="6">
        <v>4</v>
      </c>
      <c r="B5" s="10" t="s">
        <v>1159</v>
      </c>
      <c r="C5" s="10" t="s">
        <v>708</v>
      </c>
      <c r="D5" s="10" t="s">
        <v>709</v>
      </c>
      <c r="E5" s="10" t="s">
        <v>714</v>
      </c>
      <c r="F5" s="10" t="s">
        <v>715</v>
      </c>
      <c r="G5" s="10" t="s">
        <v>1168</v>
      </c>
      <c r="H5" s="10" t="s">
        <v>716</v>
      </c>
      <c r="I5" s="6" t="e" cm="1">
        <f t="array" ref="I5">_xlfn.IFS(
    OR(H5="A1", H5="A2", H5="G1"), "사원",
    OR(H5="G2", H5="G3"), "선임",
    OR(H5="G4", H5="G5"), "책임"
)</f>
        <v>#N/A</v>
      </c>
      <c r="J5" s="11">
        <v>35989</v>
      </c>
      <c r="K5" s="11"/>
      <c r="L5" s="10" t="s">
        <v>717</v>
      </c>
    </row>
    <row r="6" spans="1:14" x14ac:dyDescent="0.45">
      <c r="A6" s="6">
        <v>5</v>
      </c>
      <c r="B6" s="10" t="s">
        <v>1159</v>
      </c>
      <c r="C6" s="10" t="s">
        <v>708</v>
      </c>
      <c r="D6" s="10" t="s">
        <v>709</v>
      </c>
      <c r="E6" s="10" t="s">
        <v>718</v>
      </c>
      <c r="F6" s="10" t="s">
        <v>718</v>
      </c>
      <c r="G6" s="10" t="s">
        <v>1169</v>
      </c>
      <c r="H6" s="10" t="s">
        <v>719</v>
      </c>
      <c r="I6" s="6" t="e" cm="1">
        <f t="array" ref="I6">_xlfn.IFS(
    OR(H6="A1", H6="A2", H6="G1"), "사원",
    OR(H6="G2", H6="G3"), "선임",
    OR(H6="G4", H6="G5"), "책임"
)</f>
        <v>#N/A</v>
      </c>
      <c r="J6" s="11">
        <v>33371</v>
      </c>
      <c r="K6" s="11"/>
      <c r="L6" s="10" t="s">
        <v>720</v>
      </c>
    </row>
    <row r="7" spans="1:14" x14ac:dyDescent="0.45">
      <c r="A7" s="6">
        <v>6</v>
      </c>
      <c r="B7" s="10" t="s">
        <v>1159</v>
      </c>
      <c r="C7" s="10" t="s">
        <v>708</v>
      </c>
      <c r="D7" s="10" t="s">
        <v>709</v>
      </c>
      <c r="E7" s="10" t="s">
        <v>718</v>
      </c>
      <c r="F7" s="10" t="s">
        <v>721</v>
      </c>
      <c r="G7" s="10" t="s">
        <v>1170</v>
      </c>
      <c r="H7" s="10" t="s">
        <v>722</v>
      </c>
      <c r="I7" s="6" t="e" cm="1">
        <f t="array" ref="I7">_xlfn.IFS(
    OR(H7="A1", H7="A2", H7="G1"), "사원",
    OR(H7="G2", H7="G3"), "선임",
    OR(H7="G4", H7="G5"), "책임"
)</f>
        <v>#N/A</v>
      </c>
      <c r="J7" s="11">
        <v>35191</v>
      </c>
      <c r="K7" s="11"/>
      <c r="L7" s="10" t="s">
        <v>723</v>
      </c>
    </row>
    <row r="8" spans="1:14" x14ac:dyDescent="0.45">
      <c r="A8" s="6">
        <v>7</v>
      </c>
      <c r="B8" s="10" t="s">
        <v>1159</v>
      </c>
      <c r="C8" s="10" t="s">
        <v>708</v>
      </c>
      <c r="D8" s="10" t="s">
        <v>709</v>
      </c>
      <c r="E8" s="10" t="s">
        <v>718</v>
      </c>
      <c r="F8" s="10" t="s">
        <v>724</v>
      </c>
      <c r="G8" s="10" t="s">
        <v>1171</v>
      </c>
      <c r="H8" s="10" t="s">
        <v>722</v>
      </c>
      <c r="I8" s="6" t="e" cm="1">
        <f t="array" ref="I8">_xlfn.IFS(
    OR(H8="A1", H8="A2", H8="G1"), "사원",
    OR(H8="G2", H8="G3"), "선임",
    OR(H8="G4", H8="G5"), "책임"
)</f>
        <v>#N/A</v>
      </c>
      <c r="J8" s="11">
        <v>36836</v>
      </c>
      <c r="K8" s="11"/>
      <c r="L8" s="10" t="s">
        <v>725</v>
      </c>
    </row>
    <row r="9" spans="1:14" x14ac:dyDescent="0.45">
      <c r="A9" s="6">
        <v>8</v>
      </c>
      <c r="B9" s="10" t="s">
        <v>1159</v>
      </c>
      <c r="C9" s="10" t="s">
        <v>708</v>
      </c>
      <c r="D9" s="10" t="s">
        <v>709</v>
      </c>
      <c r="E9" s="10" t="s">
        <v>718</v>
      </c>
      <c r="F9" s="10" t="s">
        <v>726</v>
      </c>
      <c r="G9" s="10" t="s">
        <v>1172</v>
      </c>
      <c r="H9" s="10" t="s">
        <v>727</v>
      </c>
      <c r="I9" s="6" t="str" cm="1">
        <f t="array" ref="I9">_xlfn.IFS(
    OR(H9="A1", H9="A2", H9="G1"), "사원",
    OR(H9="G2", H9="G3"), "선임",
    OR(H9="G4", H9="G5"), "책임"
)</f>
        <v>책임</v>
      </c>
      <c r="J9" s="11">
        <v>38173</v>
      </c>
      <c r="K9" s="11"/>
      <c r="L9" s="10" t="s">
        <v>728</v>
      </c>
    </row>
    <row r="10" spans="1:14" x14ac:dyDescent="0.45">
      <c r="A10" s="6">
        <v>9</v>
      </c>
      <c r="B10" s="10" t="s">
        <v>1159</v>
      </c>
      <c r="C10" s="10" t="s">
        <v>708</v>
      </c>
      <c r="D10" s="10" t="s">
        <v>709</v>
      </c>
      <c r="E10" s="10" t="s">
        <v>718</v>
      </c>
      <c r="F10" s="10" t="s">
        <v>729</v>
      </c>
      <c r="G10" s="10" t="s">
        <v>1173</v>
      </c>
      <c r="H10" s="10" t="s">
        <v>727</v>
      </c>
      <c r="I10" s="6" t="str" cm="1">
        <f t="array" ref="I10">_xlfn.IFS(
    OR(H10="A1", H10="A2", H10="G1"), "사원",
    OR(H10="G2", H10="G3"), "선임",
    OR(H10="G4", H10="G5"), "책임"
)</f>
        <v>책임</v>
      </c>
      <c r="J10" s="11">
        <v>42170</v>
      </c>
      <c r="K10" s="11"/>
      <c r="L10" s="10" t="s">
        <v>730</v>
      </c>
    </row>
    <row r="11" spans="1:14" x14ac:dyDescent="0.45">
      <c r="A11" s="6">
        <v>10</v>
      </c>
      <c r="B11" s="10" t="s">
        <v>1159</v>
      </c>
      <c r="C11" s="10" t="s">
        <v>708</v>
      </c>
      <c r="D11" s="10" t="s">
        <v>709</v>
      </c>
      <c r="E11" s="10" t="s">
        <v>718</v>
      </c>
      <c r="F11" s="10" t="s">
        <v>731</v>
      </c>
      <c r="G11" s="10" t="s">
        <v>1174</v>
      </c>
      <c r="H11" s="10" t="s">
        <v>727</v>
      </c>
      <c r="I11" s="6" t="str" cm="1">
        <f t="array" ref="I11">_xlfn.IFS(
    OR(H11="A1", H11="A2", H11="G1"), "사원",
    OR(H11="G2", H11="G3"), "선임",
    OR(H11="G4", H11="G5"), "책임"
)</f>
        <v>책임</v>
      </c>
      <c r="J11" s="11">
        <v>37998</v>
      </c>
      <c r="K11" s="11"/>
      <c r="L11" s="10" t="s">
        <v>732</v>
      </c>
    </row>
    <row r="12" spans="1:14" x14ac:dyDescent="0.45">
      <c r="A12" s="6">
        <v>11</v>
      </c>
      <c r="B12" s="10" t="s">
        <v>1159</v>
      </c>
      <c r="C12" s="10" t="s">
        <v>708</v>
      </c>
      <c r="D12" s="10" t="s">
        <v>709</v>
      </c>
      <c r="E12" s="10" t="s">
        <v>718</v>
      </c>
      <c r="F12" s="10" t="s">
        <v>733</v>
      </c>
      <c r="G12" s="10" t="s">
        <v>1175</v>
      </c>
      <c r="H12" s="10" t="s">
        <v>734</v>
      </c>
      <c r="I12" s="6" t="str" cm="1">
        <f t="array" ref="I12">_xlfn.IFS(
    OR(H12="A1", H12="A2", H12="G1"), "사원",
    OR(H12="G2", H12="G3"), "선임",
    OR(H12="G4", H12="G5"), "책임"
)</f>
        <v>책임</v>
      </c>
      <c r="J12" s="11">
        <v>38187</v>
      </c>
      <c r="K12" s="11">
        <v>45658</v>
      </c>
      <c r="L12" s="10" t="s">
        <v>735</v>
      </c>
    </row>
    <row r="13" spans="1:14" x14ac:dyDescent="0.45">
      <c r="A13" s="6">
        <v>12</v>
      </c>
      <c r="B13" s="10" t="s">
        <v>1159</v>
      </c>
      <c r="C13" s="10" t="s">
        <v>708</v>
      </c>
      <c r="D13" s="10" t="s">
        <v>709</v>
      </c>
      <c r="E13" s="10" t="s">
        <v>718</v>
      </c>
      <c r="F13" s="10" t="s">
        <v>731</v>
      </c>
      <c r="G13" s="10" t="s">
        <v>1176</v>
      </c>
      <c r="H13" s="10" t="s">
        <v>734</v>
      </c>
      <c r="I13" s="6" t="str" cm="1">
        <f t="array" ref="I13">_xlfn.IFS(
    OR(H13="A1", H13="A2", H13="G1"), "사원",
    OR(H13="G2", H13="G3"), "선임",
    OR(H13="G4", H13="G5"), "책임"
)</f>
        <v>책임</v>
      </c>
      <c r="J13" s="11">
        <v>37648</v>
      </c>
      <c r="K13" s="11">
        <v>44197</v>
      </c>
      <c r="L13" s="10" t="s">
        <v>736</v>
      </c>
    </row>
    <row r="14" spans="1:14" x14ac:dyDescent="0.45">
      <c r="A14" s="6">
        <v>13</v>
      </c>
      <c r="B14" s="10" t="s">
        <v>1159</v>
      </c>
      <c r="C14" s="10" t="s">
        <v>708</v>
      </c>
      <c r="D14" s="10" t="s">
        <v>709</v>
      </c>
      <c r="E14" s="10" t="s">
        <v>718</v>
      </c>
      <c r="F14" s="10" t="s">
        <v>737</v>
      </c>
      <c r="G14" s="10" t="s">
        <v>1177</v>
      </c>
      <c r="H14" s="10" t="s">
        <v>734</v>
      </c>
      <c r="I14" s="6" t="str" cm="1">
        <f t="array" ref="I14">_xlfn.IFS(
    OR(H14="A1", H14="A2", H14="G1"), "사원",
    OR(H14="G2", H14="G3"), "선임",
    OR(H14="G4", H14="G5"), "책임"
)</f>
        <v>책임</v>
      </c>
      <c r="J14" s="11">
        <v>39230</v>
      </c>
      <c r="K14" s="11">
        <v>45292</v>
      </c>
      <c r="L14" s="10" t="s">
        <v>738</v>
      </c>
    </row>
    <row r="15" spans="1:14" x14ac:dyDescent="0.45">
      <c r="A15" s="6">
        <v>14</v>
      </c>
      <c r="B15" s="10" t="s">
        <v>1159</v>
      </c>
      <c r="C15" s="10" t="s">
        <v>708</v>
      </c>
      <c r="D15" s="10" t="s">
        <v>709</v>
      </c>
      <c r="E15" s="10" t="s">
        <v>718</v>
      </c>
      <c r="F15" s="10" t="s">
        <v>739</v>
      </c>
      <c r="G15" s="10" t="s">
        <v>1178</v>
      </c>
      <c r="H15" s="10" t="s">
        <v>734</v>
      </c>
      <c r="I15" s="6" t="str" cm="1">
        <f t="array" ref="I15">_xlfn.IFS(
    OR(H15="A1", H15="A2", H15="G1"), "사원",
    OR(H15="G2", H15="G3"), "선임",
    OR(H15="G4", H15="G5"), "책임"
)</f>
        <v>책임</v>
      </c>
      <c r="J15" s="11">
        <v>39398</v>
      </c>
      <c r="K15" s="11">
        <v>46023</v>
      </c>
      <c r="L15" s="10" t="s">
        <v>740</v>
      </c>
    </row>
    <row r="16" spans="1:14" x14ac:dyDescent="0.45">
      <c r="A16" s="6">
        <v>15</v>
      </c>
      <c r="B16" s="10" t="s">
        <v>1159</v>
      </c>
      <c r="C16" s="10" t="s">
        <v>708</v>
      </c>
      <c r="D16" s="10" t="s">
        <v>709</v>
      </c>
      <c r="E16" s="10" t="s">
        <v>718</v>
      </c>
      <c r="F16" s="10" t="s">
        <v>741</v>
      </c>
      <c r="G16" s="10" t="s">
        <v>1179</v>
      </c>
      <c r="H16" s="10" t="s">
        <v>734</v>
      </c>
      <c r="I16" s="6" t="str" cm="1">
        <f t="array" ref="I16">_xlfn.IFS(
    OR(H16="A1", H16="A2", H16="G1"), "사원",
    OR(H16="G2", H16="G3"), "선임",
    OR(H16="G4", H16="G5"), "책임"
)</f>
        <v>책임</v>
      </c>
      <c r="J16" s="11">
        <v>38169</v>
      </c>
      <c r="K16" s="11">
        <v>46753</v>
      </c>
      <c r="L16" s="10" t="s">
        <v>742</v>
      </c>
    </row>
    <row r="17" spans="1:12" x14ac:dyDescent="0.45">
      <c r="A17" s="6">
        <v>16</v>
      </c>
      <c r="B17" s="10" t="s">
        <v>1159</v>
      </c>
      <c r="C17" s="10" t="s">
        <v>708</v>
      </c>
      <c r="D17" s="10" t="s">
        <v>709</v>
      </c>
      <c r="E17" s="10" t="s">
        <v>718</v>
      </c>
      <c r="F17" s="10" t="s">
        <v>743</v>
      </c>
      <c r="G17" s="10" t="s">
        <v>1180</v>
      </c>
      <c r="H17" s="10" t="s">
        <v>734</v>
      </c>
      <c r="I17" s="6" t="str" cm="1">
        <f t="array" ref="I17">_xlfn.IFS(
    OR(H17="A1", H17="A2", H17="G1"), "사원",
    OR(H17="G2", H17="G3"), "선임",
    OR(H17="G4", H17="G5"), "책임"
)</f>
        <v>책임</v>
      </c>
      <c r="J17" s="11">
        <v>40179</v>
      </c>
      <c r="K17" s="11">
        <v>46753</v>
      </c>
      <c r="L17" s="10" t="s">
        <v>744</v>
      </c>
    </row>
    <row r="18" spans="1:12" x14ac:dyDescent="0.45">
      <c r="A18" s="6">
        <v>17</v>
      </c>
      <c r="B18" s="10" t="s">
        <v>1159</v>
      </c>
      <c r="C18" s="10" t="s">
        <v>708</v>
      </c>
      <c r="D18" s="10" t="s">
        <v>709</v>
      </c>
      <c r="E18" s="10" t="s">
        <v>718</v>
      </c>
      <c r="F18" s="10" t="s">
        <v>743</v>
      </c>
      <c r="G18" s="10" t="s">
        <v>1181</v>
      </c>
      <c r="H18" s="10" t="s">
        <v>734</v>
      </c>
      <c r="I18" s="6" t="str" cm="1">
        <f t="array" ref="I18">_xlfn.IFS(
    OR(H18="A1", H18="A2", H18="G1"), "사원",
    OR(H18="G2", H18="G3"), "선임",
    OR(H18="G4", H18="G5"), "책임"
)</f>
        <v>책임</v>
      </c>
      <c r="J18" s="11">
        <v>40763</v>
      </c>
      <c r="K18" s="11">
        <v>46388</v>
      </c>
      <c r="L18" s="10" t="s">
        <v>745</v>
      </c>
    </row>
    <row r="19" spans="1:12" x14ac:dyDescent="0.45">
      <c r="A19" s="6">
        <v>18</v>
      </c>
      <c r="B19" s="10" t="s">
        <v>1159</v>
      </c>
      <c r="C19" s="10" t="s">
        <v>708</v>
      </c>
      <c r="D19" s="10" t="s">
        <v>709</v>
      </c>
      <c r="E19" s="10" t="s">
        <v>718</v>
      </c>
      <c r="F19" s="10" t="s">
        <v>746</v>
      </c>
      <c r="G19" s="10" t="s">
        <v>1182</v>
      </c>
      <c r="H19" s="10" t="s">
        <v>734</v>
      </c>
      <c r="I19" s="6" t="str" cm="1">
        <f t="array" ref="I19">_xlfn.IFS(
    OR(H19="A1", H19="A2", H19="G1"), "사원",
    OR(H19="G2", H19="G3"), "선임",
    OR(H19="G4", H19="G5"), "책임"
)</f>
        <v>책임</v>
      </c>
      <c r="J19" s="11">
        <v>34236</v>
      </c>
      <c r="K19" s="11">
        <v>45658</v>
      </c>
      <c r="L19" s="10" t="s">
        <v>747</v>
      </c>
    </row>
    <row r="20" spans="1:12" x14ac:dyDescent="0.45">
      <c r="A20" s="6">
        <v>19</v>
      </c>
      <c r="B20" s="10" t="s">
        <v>1159</v>
      </c>
      <c r="C20" s="10" t="s">
        <v>708</v>
      </c>
      <c r="D20" s="10" t="s">
        <v>709</v>
      </c>
      <c r="E20" s="10" t="s">
        <v>718</v>
      </c>
      <c r="F20" s="10" t="s">
        <v>746</v>
      </c>
      <c r="G20" s="10" t="s">
        <v>1183</v>
      </c>
      <c r="H20" s="10" t="s">
        <v>734</v>
      </c>
      <c r="I20" s="6" t="str" cm="1">
        <f t="array" ref="I20">_xlfn.IFS(
    OR(H20="A1", H20="A2", H20="G1"), "사원",
    OR(H20="G2", H20="G3"), "선임",
    OR(H20="G4", H20="G5"), "책임"
)</f>
        <v>책임</v>
      </c>
      <c r="J20" s="11">
        <v>40909</v>
      </c>
      <c r="K20" s="11">
        <v>46753</v>
      </c>
      <c r="L20" s="10" t="s">
        <v>748</v>
      </c>
    </row>
    <row r="21" spans="1:12" x14ac:dyDescent="0.45">
      <c r="A21" s="6">
        <v>20</v>
      </c>
      <c r="B21" s="10" t="s">
        <v>1159</v>
      </c>
      <c r="C21" s="10" t="s">
        <v>708</v>
      </c>
      <c r="D21" s="10" t="s">
        <v>709</v>
      </c>
      <c r="E21" s="10" t="s">
        <v>718</v>
      </c>
      <c r="F21" s="10" t="s">
        <v>743</v>
      </c>
      <c r="G21" s="10" t="s">
        <v>1184</v>
      </c>
      <c r="H21" s="10" t="s">
        <v>734</v>
      </c>
      <c r="I21" s="6" t="str" cm="1">
        <f t="array" ref="I21">_xlfn.IFS(
    OR(H21="A1", H21="A2", H21="G1"), "사원",
    OR(H21="G2", H21="G3"), "선임",
    OR(H21="G4", H21="G5"), "책임"
)</f>
        <v>책임</v>
      </c>
      <c r="J21" s="11">
        <v>41862</v>
      </c>
      <c r="K21" s="11">
        <v>47119</v>
      </c>
      <c r="L21" s="10" t="s">
        <v>749</v>
      </c>
    </row>
    <row r="22" spans="1:12" x14ac:dyDescent="0.45">
      <c r="A22" s="6">
        <v>21</v>
      </c>
      <c r="B22" s="10" t="s">
        <v>1159</v>
      </c>
      <c r="C22" s="10" t="s">
        <v>708</v>
      </c>
      <c r="D22" s="10" t="s">
        <v>709</v>
      </c>
      <c r="E22" s="10" t="s">
        <v>718</v>
      </c>
      <c r="F22" s="10" t="s">
        <v>729</v>
      </c>
      <c r="G22" s="10" t="s">
        <v>1185</v>
      </c>
      <c r="H22" s="10" t="s">
        <v>734</v>
      </c>
      <c r="I22" s="6" t="str" cm="1">
        <f t="array" ref="I22">_xlfn.IFS(
    OR(H22="A1", H22="A2", H22="G1"), "사원",
    OR(H22="G2", H22="G3"), "선임",
    OR(H22="G4", H22="G5"), "책임"
)</f>
        <v>책임</v>
      </c>
      <c r="J22" s="11">
        <v>41904</v>
      </c>
      <c r="K22" s="11">
        <v>46753</v>
      </c>
      <c r="L22" s="10" t="s">
        <v>750</v>
      </c>
    </row>
    <row r="23" spans="1:12" x14ac:dyDescent="0.45">
      <c r="A23" s="6">
        <v>22</v>
      </c>
      <c r="B23" s="10" t="s">
        <v>1159</v>
      </c>
      <c r="C23" s="10" t="s">
        <v>708</v>
      </c>
      <c r="D23" s="10" t="s">
        <v>709</v>
      </c>
      <c r="E23" s="10" t="s">
        <v>718</v>
      </c>
      <c r="F23" s="10" t="s">
        <v>739</v>
      </c>
      <c r="G23" s="10" t="s">
        <v>1186</v>
      </c>
      <c r="H23" s="10" t="s">
        <v>734</v>
      </c>
      <c r="I23" s="6" t="str" cm="1">
        <f t="array" ref="I23">_xlfn.IFS(
    OR(H23="A1", H23="A2", H23="G1"), "사원",
    OR(H23="G2", H23="G3"), "선임",
    OR(H23="G4", H23="G5"), "책임"
)</f>
        <v>책임</v>
      </c>
      <c r="J23" s="11">
        <v>42163</v>
      </c>
      <c r="K23" s="11">
        <v>46388</v>
      </c>
      <c r="L23" s="10" t="s">
        <v>751</v>
      </c>
    </row>
    <row r="24" spans="1:12" x14ac:dyDescent="0.45">
      <c r="A24" s="6">
        <v>23</v>
      </c>
      <c r="B24" s="10" t="s">
        <v>1159</v>
      </c>
      <c r="C24" s="10" t="s">
        <v>708</v>
      </c>
      <c r="D24" s="10" t="s">
        <v>709</v>
      </c>
      <c r="E24" s="10" t="s">
        <v>718</v>
      </c>
      <c r="F24" s="10" t="s">
        <v>741</v>
      </c>
      <c r="G24" s="10" t="s">
        <v>1187</v>
      </c>
      <c r="H24" s="10" t="s">
        <v>734</v>
      </c>
      <c r="I24" s="6" t="str" cm="1">
        <f t="array" ref="I24">_xlfn.IFS(
    OR(H24="A1", H24="A2", H24="G1"), "사원",
    OR(H24="G2", H24="G3"), "선임",
    OR(H24="G4", H24="G5"), "책임"
)</f>
        <v>책임</v>
      </c>
      <c r="J24" s="11">
        <v>42604</v>
      </c>
      <c r="K24" s="11">
        <v>46753</v>
      </c>
      <c r="L24" s="10" t="s">
        <v>752</v>
      </c>
    </row>
    <row r="25" spans="1:12" x14ac:dyDescent="0.45">
      <c r="A25" s="6">
        <v>24</v>
      </c>
      <c r="B25" s="10" t="s">
        <v>1159</v>
      </c>
      <c r="C25" s="10" t="s">
        <v>708</v>
      </c>
      <c r="D25" s="10" t="s">
        <v>709</v>
      </c>
      <c r="E25" s="10" t="s">
        <v>718</v>
      </c>
      <c r="F25" s="10" t="s">
        <v>731</v>
      </c>
      <c r="G25" s="10" t="s">
        <v>1188</v>
      </c>
      <c r="H25" s="10" t="s">
        <v>734</v>
      </c>
      <c r="I25" s="6" t="str" cm="1">
        <f t="array" ref="I25">_xlfn.IFS(
    OR(H25="A1", H25="A2", H25="G1"), "사원",
    OR(H25="G2", H25="G3"), "선임",
    OR(H25="G4", H25="G5"), "책임"
)</f>
        <v>책임</v>
      </c>
      <c r="J25" s="11">
        <v>42681</v>
      </c>
      <c r="K25" s="11">
        <v>43831</v>
      </c>
      <c r="L25" s="10" t="s">
        <v>753</v>
      </c>
    </row>
    <row r="26" spans="1:12" x14ac:dyDescent="0.45">
      <c r="A26" s="6">
        <v>25</v>
      </c>
      <c r="B26" s="10" t="s">
        <v>1159</v>
      </c>
      <c r="C26" s="10" t="s">
        <v>708</v>
      </c>
      <c r="D26" s="10" t="s">
        <v>709</v>
      </c>
      <c r="E26" s="10" t="s">
        <v>718</v>
      </c>
      <c r="F26" s="10" t="s">
        <v>731</v>
      </c>
      <c r="G26" s="10" t="s">
        <v>1189</v>
      </c>
      <c r="H26" s="10" t="s">
        <v>734</v>
      </c>
      <c r="I26" s="6" t="str" cm="1">
        <f t="array" ref="I26">_xlfn.IFS(
    OR(H26="A1", H26="A2", H26="G1"), "사원",
    OR(H26="G2", H26="G3"), "선임",
    OR(H26="G4", H26="G5"), "책임"
)</f>
        <v>책임</v>
      </c>
      <c r="J26" s="11">
        <v>42758</v>
      </c>
      <c r="K26" s="11">
        <v>47119</v>
      </c>
      <c r="L26" s="10" t="s">
        <v>754</v>
      </c>
    </row>
    <row r="27" spans="1:12" x14ac:dyDescent="0.45">
      <c r="A27" s="6">
        <v>26</v>
      </c>
      <c r="B27" s="10" t="s">
        <v>1159</v>
      </c>
      <c r="C27" s="10" t="s">
        <v>708</v>
      </c>
      <c r="D27" s="10" t="s">
        <v>709</v>
      </c>
      <c r="E27" s="10" t="s">
        <v>718</v>
      </c>
      <c r="F27" s="10" t="s">
        <v>737</v>
      </c>
      <c r="G27" s="10" t="s">
        <v>1190</v>
      </c>
      <c r="H27" s="10" t="s">
        <v>734</v>
      </c>
      <c r="I27" s="6" t="str" cm="1">
        <f t="array" ref="I27">_xlfn.IFS(
    OR(H27="A1", H27="A2", H27="G1"), "사원",
    OR(H27="G2", H27="G3"), "선임",
    OR(H27="G4", H27="G5"), "책임"
)</f>
        <v>책임</v>
      </c>
      <c r="J27" s="11">
        <v>43122</v>
      </c>
      <c r="K27" s="11">
        <v>47119</v>
      </c>
      <c r="L27" s="10" t="s">
        <v>755</v>
      </c>
    </row>
    <row r="28" spans="1:12" x14ac:dyDescent="0.45">
      <c r="A28" s="6">
        <v>27</v>
      </c>
      <c r="B28" s="10" t="s">
        <v>1159</v>
      </c>
      <c r="C28" s="10" t="s">
        <v>708</v>
      </c>
      <c r="D28" s="10" t="s">
        <v>709</v>
      </c>
      <c r="E28" s="10" t="s">
        <v>718</v>
      </c>
      <c r="F28" s="10" t="s">
        <v>731</v>
      </c>
      <c r="G28" s="10" t="s">
        <v>1191</v>
      </c>
      <c r="H28" s="10" t="s">
        <v>734</v>
      </c>
      <c r="I28" s="6" t="str" cm="1">
        <f t="array" ref="I28">_xlfn.IFS(
    OR(H28="A1", H28="A2", H28="G1"), "사원",
    OR(H28="G2", H28="G3"), "선임",
    OR(H28="G4", H28="G5"), "책임"
)</f>
        <v>책임</v>
      </c>
      <c r="J28" s="11">
        <v>38596</v>
      </c>
      <c r="K28" s="11">
        <v>46388</v>
      </c>
      <c r="L28" s="10" t="s">
        <v>756</v>
      </c>
    </row>
    <row r="29" spans="1:12" x14ac:dyDescent="0.45">
      <c r="A29" s="6">
        <v>28</v>
      </c>
      <c r="B29" s="10" t="s">
        <v>1159</v>
      </c>
      <c r="C29" s="10" t="s">
        <v>708</v>
      </c>
      <c r="D29" s="10" t="s">
        <v>709</v>
      </c>
      <c r="E29" s="10" t="s">
        <v>718</v>
      </c>
      <c r="F29" s="10" t="s">
        <v>741</v>
      </c>
      <c r="G29" s="10" t="s">
        <v>1192</v>
      </c>
      <c r="H29" s="10" t="s">
        <v>757</v>
      </c>
      <c r="I29" s="6" t="str" cm="1">
        <f t="array" ref="I29">_xlfn.IFS(
    OR(H29="A1", H29="A2", H29="G1"), "사원",
    OR(H29="G2", H29="G3"), "선임",
    OR(H29="G4", H29="G5"), "책임"
)</f>
        <v>선임</v>
      </c>
      <c r="J29" s="11">
        <v>41841</v>
      </c>
      <c r="K29" s="11">
        <v>46753</v>
      </c>
      <c r="L29" s="10" t="s">
        <v>758</v>
      </c>
    </row>
    <row r="30" spans="1:12" x14ac:dyDescent="0.45">
      <c r="A30" s="6">
        <v>29</v>
      </c>
      <c r="B30" s="10" t="s">
        <v>1159</v>
      </c>
      <c r="C30" s="10" t="s">
        <v>708</v>
      </c>
      <c r="D30" s="10" t="s">
        <v>709</v>
      </c>
      <c r="E30" s="10" t="s">
        <v>718</v>
      </c>
      <c r="F30" s="10" t="s">
        <v>739</v>
      </c>
      <c r="G30" s="10" t="s">
        <v>1193</v>
      </c>
      <c r="H30" s="10" t="s">
        <v>757</v>
      </c>
      <c r="I30" s="6" t="str" cm="1">
        <f t="array" ref="I30">_xlfn.IFS(
    OR(H30="A1", H30="A2", H30="G1"), "사원",
    OR(H30="G2", H30="G3"), "선임",
    OR(H30="G4", H30="G5"), "책임"
)</f>
        <v>선임</v>
      </c>
      <c r="J30" s="11">
        <v>43040</v>
      </c>
      <c r="K30" s="11">
        <v>47119</v>
      </c>
      <c r="L30" s="10" t="s">
        <v>759</v>
      </c>
    </row>
    <row r="31" spans="1:12" x14ac:dyDescent="0.45">
      <c r="A31" s="6">
        <v>30</v>
      </c>
      <c r="B31" s="10" t="s">
        <v>1159</v>
      </c>
      <c r="C31" s="10" t="s">
        <v>708</v>
      </c>
      <c r="D31" s="10" t="s">
        <v>709</v>
      </c>
      <c r="E31" s="10" t="s">
        <v>718</v>
      </c>
      <c r="F31" s="10" t="s">
        <v>733</v>
      </c>
      <c r="G31" s="10" t="s">
        <v>1194</v>
      </c>
      <c r="H31" s="10" t="s">
        <v>757</v>
      </c>
      <c r="I31" s="6" t="str" cm="1">
        <f t="array" ref="I31">_xlfn.IFS(
    OR(H31="A1", H31="A2", H31="G1"), "사원",
    OR(H31="G2", H31="G3"), "선임",
    OR(H31="G4", H31="G5"), "책임"
)</f>
        <v>선임</v>
      </c>
      <c r="J31" s="11">
        <v>42736</v>
      </c>
      <c r="K31" s="11">
        <v>47484</v>
      </c>
      <c r="L31" s="10" t="s">
        <v>760</v>
      </c>
    </row>
    <row r="32" spans="1:12" x14ac:dyDescent="0.45">
      <c r="A32" s="6">
        <v>31</v>
      </c>
      <c r="B32" s="10" t="s">
        <v>1159</v>
      </c>
      <c r="C32" s="10" t="s">
        <v>708</v>
      </c>
      <c r="D32" s="10" t="s">
        <v>709</v>
      </c>
      <c r="E32" s="10" t="s">
        <v>718</v>
      </c>
      <c r="F32" s="10" t="s">
        <v>739</v>
      </c>
      <c r="G32" s="10" t="s">
        <v>1195</v>
      </c>
      <c r="H32" s="10" t="s">
        <v>757</v>
      </c>
      <c r="I32" s="6" t="str" cm="1">
        <f t="array" ref="I32">_xlfn.IFS(
    OR(H32="A1", H32="A2", H32="G1"), "사원",
    OR(H32="G2", H32="G3"), "선임",
    OR(H32="G4", H32="G5"), "책임"
)</f>
        <v>선임</v>
      </c>
      <c r="J32" s="11">
        <v>42736</v>
      </c>
      <c r="K32" s="11">
        <v>47484</v>
      </c>
      <c r="L32" s="10" t="s">
        <v>761</v>
      </c>
    </row>
    <row r="33" spans="1:12" x14ac:dyDescent="0.45">
      <c r="A33" s="6">
        <v>32</v>
      </c>
      <c r="B33" s="10" t="s">
        <v>1159</v>
      </c>
      <c r="C33" s="10" t="s">
        <v>708</v>
      </c>
      <c r="D33" s="10" t="s">
        <v>709</v>
      </c>
      <c r="E33" s="10" t="s">
        <v>718</v>
      </c>
      <c r="F33" s="10" t="s">
        <v>743</v>
      </c>
      <c r="G33" s="10" t="s">
        <v>1196</v>
      </c>
      <c r="H33" s="10" t="s">
        <v>757</v>
      </c>
      <c r="I33" s="6" t="str" cm="1">
        <f t="array" ref="I33">_xlfn.IFS(
    OR(H33="A1", H33="A2", H33="G1"), "사원",
    OR(H33="G2", H33="G3"), "선임",
    OR(H33="G4", H33="G5"), "책임"
)</f>
        <v>선임</v>
      </c>
      <c r="J33" s="11">
        <v>42736</v>
      </c>
      <c r="K33" s="11">
        <v>47484</v>
      </c>
      <c r="L33" s="10" t="s">
        <v>762</v>
      </c>
    </row>
    <row r="34" spans="1:12" x14ac:dyDescent="0.45">
      <c r="A34" s="6">
        <v>33</v>
      </c>
      <c r="B34" s="10" t="s">
        <v>1159</v>
      </c>
      <c r="C34" s="10" t="s">
        <v>708</v>
      </c>
      <c r="D34" s="10" t="s">
        <v>709</v>
      </c>
      <c r="E34" s="10" t="s">
        <v>718</v>
      </c>
      <c r="F34" s="10" t="s">
        <v>737</v>
      </c>
      <c r="G34" s="10" t="s">
        <v>1197</v>
      </c>
      <c r="H34" s="10" t="s">
        <v>757</v>
      </c>
      <c r="I34" s="6" t="str" cm="1">
        <f t="array" ref="I34">_xlfn.IFS(
    OR(H34="A1", H34="A2", H34="G1"), "사원",
    OR(H34="G2", H34="G3"), "선임",
    OR(H34="G4", H34="G5"), "책임"
)</f>
        <v>선임</v>
      </c>
      <c r="J34" s="11">
        <v>42592</v>
      </c>
      <c r="K34" s="11">
        <v>47119</v>
      </c>
      <c r="L34" s="10" t="s">
        <v>763</v>
      </c>
    </row>
    <row r="35" spans="1:12" x14ac:dyDescent="0.45">
      <c r="A35" s="6">
        <v>34</v>
      </c>
      <c r="B35" s="10" t="s">
        <v>1159</v>
      </c>
      <c r="C35" s="10" t="s">
        <v>708</v>
      </c>
      <c r="D35" s="10" t="s">
        <v>709</v>
      </c>
      <c r="E35" s="10" t="s">
        <v>718</v>
      </c>
      <c r="F35" s="10" t="s">
        <v>729</v>
      </c>
      <c r="G35" s="10" t="s">
        <v>1198</v>
      </c>
      <c r="H35" s="10" t="s">
        <v>757</v>
      </c>
      <c r="I35" s="6" t="str" cm="1">
        <f t="array" ref="I35">_xlfn.IFS(
    OR(H35="A1", H35="A2", H35="G1"), "사원",
    OR(H35="G2", H35="G3"), "선임",
    OR(H35="G4", H35="G5"), "책임"
)</f>
        <v>선임</v>
      </c>
      <c r="J35" s="11">
        <v>42370</v>
      </c>
      <c r="K35" s="11">
        <v>47484</v>
      </c>
      <c r="L35" s="10" t="s">
        <v>764</v>
      </c>
    </row>
    <row r="36" spans="1:12" x14ac:dyDescent="0.45">
      <c r="A36" s="6">
        <v>35</v>
      </c>
      <c r="B36" s="10" t="s">
        <v>1159</v>
      </c>
      <c r="C36" s="10" t="s">
        <v>708</v>
      </c>
      <c r="D36" s="10" t="s">
        <v>709</v>
      </c>
      <c r="E36" s="10" t="s">
        <v>718</v>
      </c>
      <c r="F36" s="10" t="s">
        <v>739</v>
      </c>
      <c r="G36" s="10" t="s">
        <v>1199</v>
      </c>
      <c r="H36" s="10" t="s">
        <v>757</v>
      </c>
      <c r="I36" s="6" t="str" cm="1">
        <f t="array" ref="I36">_xlfn.IFS(
    OR(H36="A1", H36="A2", H36="G1"), "사원",
    OR(H36="G2", H36="G3"), "선임",
    OR(H36="G4", H36="G5"), "책임"
)</f>
        <v>선임</v>
      </c>
      <c r="J36" s="11">
        <v>42137</v>
      </c>
      <c r="K36" s="11">
        <v>47119</v>
      </c>
      <c r="L36" s="10" t="s">
        <v>765</v>
      </c>
    </row>
    <row r="37" spans="1:12" x14ac:dyDescent="0.45">
      <c r="A37" s="6">
        <v>36</v>
      </c>
      <c r="B37" s="10" t="s">
        <v>1159</v>
      </c>
      <c r="C37" s="10" t="s">
        <v>708</v>
      </c>
      <c r="D37" s="10" t="s">
        <v>709</v>
      </c>
      <c r="E37" s="10" t="s">
        <v>718</v>
      </c>
      <c r="F37" s="10" t="s">
        <v>737</v>
      </c>
      <c r="G37" s="10" t="s">
        <v>1200</v>
      </c>
      <c r="H37" s="10" t="s">
        <v>757</v>
      </c>
      <c r="I37" s="6" t="str" cm="1">
        <f t="array" ref="I37">_xlfn.IFS(
    OR(H37="A1", H37="A2", H37="G1"), "사원",
    OR(H37="G2", H37="G3"), "선임",
    OR(H37="G4", H37="G5"), "책임"
)</f>
        <v>선임</v>
      </c>
      <c r="J37" s="11">
        <v>42137</v>
      </c>
      <c r="K37" s="11">
        <v>47119</v>
      </c>
      <c r="L37" s="10" t="s">
        <v>766</v>
      </c>
    </row>
    <row r="38" spans="1:12" x14ac:dyDescent="0.45">
      <c r="A38" s="6">
        <v>37</v>
      </c>
      <c r="B38" s="10" t="s">
        <v>1159</v>
      </c>
      <c r="C38" s="10" t="s">
        <v>708</v>
      </c>
      <c r="D38" s="10" t="s">
        <v>709</v>
      </c>
      <c r="E38" s="10" t="s">
        <v>718</v>
      </c>
      <c r="F38" s="10" t="s">
        <v>731</v>
      </c>
      <c r="G38" s="10" t="s">
        <v>1201</v>
      </c>
      <c r="H38" s="10" t="s">
        <v>757</v>
      </c>
      <c r="I38" s="6" t="str" cm="1">
        <f t="array" ref="I38">_xlfn.IFS(
    OR(H38="A1", H38="A2", H38="G1"), "사원",
    OR(H38="G2", H38="G3"), "선임",
    OR(H38="G4", H38="G5"), "책임"
)</f>
        <v>선임</v>
      </c>
      <c r="J38" s="11">
        <v>41961</v>
      </c>
      <c r="K38" s="11">
        <v>46753</v>
      </c>
      <c r="L38" s="10" t="s">
        <v>767</v>
      </c>
    </row>
    <row r="39" spans="1:12" x14ac:dyDescent="0.45">
      <c r="A39" s="6">
        <v>38</v>
      </c>
      <c r="B39" s="10" t="s">
        <v>1159</v>
      </c>
      <c r="C39" s="10" t="s">
        <v>708</v>
      </c>
      <c r="D39" s="10" t="s">
        <v>709</v>
      </c>
      <c r="E39" s="10" t="s">
        <v>718</v>
      </c>
      <c r="F39" s="10" t="s">
        <v>737</v>
      </c>
      <c r="G39" s="10" t="s">
        <v>1202</v>
      </c>
      <c r="H39" s="10" t="s">
        <v>757</v>
      </c>
      <c r="I39" s="6" t="str" cm="1">
        <f t="array" ref="I39">_xlfn.IFS(
    OR(H39="A1", H39="A2", H39="G1"), "사원",
    OR(H39="G2", H39="G3"), "선임",
    OR(H39="G4", H39="G5"), "책임"
)</f>
        <v>선임</v>
      </c>
      <c r="J39" s="11">
        <v>42005</v>
      </c>
      <c r="K39" s="11">
        <v>46753</v>
      </c>
      <c r="L39" s="10" t="s">
        <v>768</v>
      </c>
    </row>
    <row r="40" spans="1:12" x14ac:dyDescent="0.45">
      <c r="A40" s="6">
        <v>39</v>
      </c>
      <c r="B40" s="10" t="s">
        <v>1159</v>
      </c>
      <c r="C40" s="10" t="s">
        <v>708</v>
      </c>
      <c r="D40" s="10" t="s">
        <v>709</v>
      </c>
      <c r="E40" s="10" t="s">
        <v>718</v>
      </c>
      <c r="F40" s="10" t="s">
        <v>729</v>
      </c>
      <c r="G40" s="10" t="s">
        <v>1203</v>
      </c>
      <c r="H40" s="10" t="s">
        <v>757</v>
      </c>
      <c r="I40" s="6" t="str" cm="1">
        <f t="array" ref="I40">_xlfn.IFS(
    OR(H40="A1", H40="A2", H40="G1"), "사원",
    OR(H40="G2", H40="G3"), "선임",
    OR(H40="G4", H40="G5"), "책임"
)</f>
        <v>선임</v>
      </c>
      <c r="J40" s="11">
        <v>45076</v>
      </c>
      <c r="K40" s="11">
        <v>46753</v>
      </c>
      <c r="L40" s="10" t="s">
        <v>769</v>
      </c>
    </row>
    <row r="41" spans="1:12" x14ac:dyDescent="0.45">
      <c r="A41" s="6">
        <v>40</v>
      </c>
      <c r="B41" s="10" t="s">
        <v>1159</v>
      </c>
      <c r="C41" s="10" t="s">
        <v>708</v>
      </c>
      <c r="D41" s="10" t="s">
        <v>709</v>
      </c>
      <c r="E41" s="10" t="s">
        <v>718</v>
      </c>
      <c r="F41" s="10" t="s">
        <v>746</v>
      </c>
      <c r="G41" s="10" t="s">
        <v>1204</v>
      </c>
      <c r="H41" s="10" t="s">
        <v>757</v>
      </c>
      <c r="I41" s="6" t="str" cm="1">
        <f t="array" ref="I41">_xlfn.IFS(
    OR(H41="A1", H41="A2", H41="G1"), "사원",
    OR(H41="G2", H41="G3"), "선임",
    OR(H41="G4", H41="G5"), "책임"
)</f>
        <v>선임</v>
      </c>
      <c r="J41" s="11">
        <v>45530</v>
      </c>
      <c r="K41" s="11">
        <v>47484</v>
      </c>
      <c r="L41" s="10" t="s">
        <v>770</v>
      </c>
    </row>
    <row r="42" spans="1:12" x14ac:dyDescent="0.45">
      <c r="A42" s="6">
        <v>41</v>
      </c>
      <c r="B42" s="10" t="s">
        <v>1159</v>
      </c>
      <c r="C42" s="10" t="s">
        <v>708</v>
      </c>
      <c r="D42" s="10" t="s">
        <v>709</v>
      </c>
      <c r="E42" s="10" t="s">
        <v>718</v>
      </c>
      <c r="F42" s="10" t="s">
        <v>739</v>
      </c>
      <c r="G42" s="10" t="s">
        <v>1205</v>
      </c>
      <c r="H42" s="10" t="s">
        <v>757</v>
      </c>
      <c r="I42" s="6" t="str" cm="1">
        <f t="array" ref="I42">_xlfn.IFS(
    OR(H42="A1", H42="A2", H42="G1"), "사원",
    OR(H42="G2", H42="G3"), "선임",
    OR(H42="G4", H42="G5"), "책임"
)</f>
        <v>선임</v>
      </c>
      <c r="J42" s="11">
        <v>40455</v>
      </c>
      <c r="K42" s="11">
        <v>46753</v>
      </c>
      <c r="L42" s="10" t="s">
        <v>771</v>
      </c>
    </row>
    <row r="43" spans="1:12" x14ac:dyDescent="0.45">
      <c r="A43" s="6">
        <v>42</v>
      </c>
      <c r="B43" s="10" t="s">
        <v>1159</v>
      </c>
      <c r="C43" s="10" t="s">
        <v>708</v>
      </c>
      <c r="D43" s="10" t="s">
        <v>709</v>
      </c>
      <c r="E43" s="10" t="s">
        <v>718</v>
      </c>
      <c r="F43" s="10" t="s">
        <v>739</v>
      </c>
      <c r="G43" s="10" t="s">
        <v>1206</v>
      </c>
      <c r="H43" s="10" t="s">
        <v>757</v>
      </c>
      <c r="I43" s="6" t="str" cm="1">
        <f t="array" ref="I43">_xlfn.IFS(
    OR(H43="A1", H43="A2", H43="G1"), "사원",
    OR(H43="G2", H43="G3"), "선임",
    OR(H43="G4", H43="G5"), "책임"
)</f>
        <v>선임</v>
      </c>
      <c r="J43" s="11">
        <v>41498</v>
      </c>
      <c r="K43" s="11">
        <v>46388</v>
      </c>
      <c r="L43" s="10" t="s">
        <v>772</v>
      </c>
    </row>
    <row r="44" spans="1:12" x14ac:dyDescent="0.45">
      <c r="A44" s="6">
        <v>43</v>
      </c>
      <c r="B44" s="10" t="s">
        <v>1159</v>
      </c>
      <c r="C44" s="10" t="s">
        <v>708</v>
      </c>
      <c r="D44" s="10" t="s">
        <v>709</v>
      </c>
      <c r="E44" s="10" t="s">
        <v>718</v>
      </c>
      <c r="F44" s="10" t="s">
        <v>739</v>
      </c>
      <c r="G44" s="10" t="s">
        <v>1207</v>
      </c>
      <c r="H44" s="10" t="s">
        <v>757</v>
      </c>
      <c r="I44" s="6" t="str" cm="1">
        <f t="array" ref="I44">_xlfn.IFS(
    OR(H44="A1", H44="A2", H44="G1"), "사원",
    OR(H44="G2", H44="G3"), "선임",
    OR(H44="G4", H44="G5"), "책임"
)</f>
        <v>선임</v>
      </c>
      <c r="J44" s="11">
        <v>41556</v>
      </c>
      <c r="K44" s="11">
        <v>46388</v>
      </c>
      <c r="L44" s="10" t="s">
        <v>773</v>
      </c>
    </row>
    <row r="45" spans="1:12" x14ac:dyDescent="0.45">
      <c r="A45" s="6">
        <v>44</v>
      </c>
      <c r="B45" s="10" t="s">
        <v>1159</v>
      </c>
      <c r="C45" s="10" t="s">
        <v>708</v>
      </c>
      <c r="D45" s="10" t="s">
        <v>709</v>
      </c>
      <c r="E45" s="10" t="s">
        <v>718</v>
      </c>
      <c r="F45" s="10" t="s">
        <v>741</v>
      </c>
      <c r="G45" s="10" t="s">
        <v>1208</v>
      </c>
      <c r="H45" s="10" t="s">
        <v>757</v>
      </c>
      <c r="I45" s="6" t="str" cm="1">
        <f t="array" ref="I45">_xlfn.IFS(
    OR(H45="A1", H45="A2", H45="G1"), "사원",
    OR(H45="G2", H45="G3"), "선임",
    OR(H45="G4", H45="G5"), "책임"
)</f>
        <v>선임</v>
      </c>
      <c r="J45" s="11">
        <v>41589</v>
      </c>
      <c r="K45" s="11">
        <v>47484</v>
      </c>
      <c r="L45" s="10" t="s">
        <v>774</v>
      </c>
    </row>
    <row r="46" spans="1:12" x14ac:dyDescent="0.45">
      <c r="A46" s="6">
        <v>45</v>
      </c>
      <c r="B46" s="10" t="s">
        <v>1159</v>
      </c>
      <c r="C46" s="10" t="s">
        <v>708</v>
      </c>
      <c r="D46" s="10" t="s">
        <v>709</v>
      </c>
      <c r="E46" s="10" t="s">
        <v>718</v>
      </c>
      <c r="F46" s="10" t="s">
        <v>739</v>
      </c>
      <c r="G46" s="10" t="s">
        <v>1209</v>
      </c>
      <c r="H46" s="10" t="s">
        <v>757</v>
      </c>
      <c r="I46" s="6" t="str" cm="1">
        <f t="array" ref="I46">_xlfn.IFS(
    OR(H46="A1", H46="A2", H46="G1"), "사원",
    OR(H46="G2", H46="G3"), "선임",
    OR(H46="G4", H46="G5"), "책임"
)</f>
        <v>선임</v>
      </c>
      <c r="J46" s="11">
        <v>43101</v>
      </c>
      <c r="K46" s="11">
        <v>47484</v>
      </c>
      <c r="L46" s="10" t="s">
        <v>775</v>
      </c>
    </row>
    <row r="47" spans="1:12" x14ac:dyDescent="0.45">
      <c r="A47" s="6">
        <v>46</v>
      </c>
      <c r="B47" s="10" t="s">
        <v>1159</v>
      </c>
      <c r="C47" s="10" t="s">
        <v>708</v>
      </c>
      <c r="D47" s="10" t="s">
        <v>709</v>
      </c>
      <c r="E47" s="10" t="s">
        <v>718</v>
      </c>
      <c r="F47" s="10" t="s">
        <v>743</v>
      </c>
      <c r="G47" s="10" t="s">
        <v>1210</v>
      </c>
      <c r="H47" s="10" t="s">
        <v>757</v>
      </c>
      <c r="I47" s="6" t="str" cm="1">
        <f t="array" ref="I47">_xlfn.IFS(
    OR(H47="A1", H47="A2", H47="G1"), "사원",
    OR(H47="G2", H47="G3"), "선임",
    OR(H47="G4", H47="G5"), "책임"
)</f>
        <v>선임</v>
      </c>
      <c r="J47" s="11">
        <v>41841</v>
      </c>
      <c r="K47" s="11">
        <v>46753</v>
      </c>
      <c r="L47" s="10" t="s">
        <v>776</v>
      </c>
    </row>
    <row r="48" spans="1:12" x14ac:dyDescent="0.45">
      <c r="A48" s="6">
        <v>47</v>
      </c>
      <c r="B48" s="10" t="s">
        <v>1159</v>
      </c>
      <c r="C48" s="10" t="s">
        <v>708</v>
      </c>
      <c r="D48" s="10" t="s">
        <v>709</v>
      </c>
      <c r="E48" s="10" t="s">
        <v>718</v>
      </c>
      <c r="F48" s="10" t="s">
        <v>737</v>
      </c>
      <c r="G48" s="10" t="s">
        <v>1211</v>
      </c>
      <c r="H48" s="10" t="s">
        <v>757</v>
      </c>
      <c r="I48" s="6" t="str" cm="1">
        <f t="array" ref="I48">_xlfn.IFS(
    OR(H48="A1", H48="A2", H48="G1"), "사원",
    OR(H48="G2", H48="G3"), "선임",
    OR(H48="G4", H48="G5"), "책임"
)</f>
        <v>선임</v>
      </c>
      <c r="J48" s="11">
        <v>41862</v>
      </c>
      <c r="K48" s="11">
        <v>45658</v>
      </c>
      <c r="L48" s="10" t="s">
        <v>777</v>
      </c>
    </row>
    <row r="49" spans="1:12" x14ac:dyDescent="0.45">
      <c r="A49" s="6">
        <v>48</v>
      </c>
      <c r="B49" s="10" t="s">
        <v>1159</v>
      </c>
      <c r="C49" s="10" t="s">
        <v>708</v>
      </c>
      <c r="D49" s="10" t="s">
        <v>709</v>
      </c>
      <c r="E49" s="10" t="s">
        <v>718</v>
      </c>
      <c r="F49" s="10" t="s">
        <v>739</v>
      </c>
      <c r="G49" s="10" t="s">
        <v>1212</v>
      </c>
      <c r="H49" s="10" t="s">
        <v>757</v>
      </c>
      <c r="I49" s="6" t="str" cm="1">
        <f t="array" ref="I49">_xlfn.IFS(
    OR(H49="A1", H49="A2", H49="G1"), "사원",
    OR(H49="G2", H49="G3"), "선임",
    OR(H49="G4", H49="G5"), "책임"
)</f>
        <v>선임</v>
      </c>
      <c r="J49" s="11">
        <v>42005</v>
      </c>
      <c r="K49" s="11">
        <v>46753</v>
      </c>
      <c r="L49" s="10" t="s">
        <v>778</v>
      </c>
    </row>
    <row r="50" spans="1:12" x14ac:dyDescent="0.45">
      <c r="A50" s="6">
        <v>49</v>
      </c>
      <c r="B50" s="10" t="s">
        <v>1159</v>
      </c>
      <c r="C50" s="10" t="s">
        <v>708</v>
      </c>
      <c r="D50" s="10" t="s">
        <v>709</v>
      </c>
      <c r="E50" s="10" t="s">
        <v>718</v>
      </c>
      <c r="F50" s="10" t="s">
        <v>739</v>
      </c>
      <c r="G50" s="10" t="s">
        <v>1213</v>
      </c>
      <c r="H50" s="10" t="s">
        <v>779</v>
      </c>
      <c r="I50" s="6" t="str" cm="1">
        <f t="array" ref="I50">_xlfn.IFS(
    OR(H50="A1", H50="A2", H50="G1"), "사원",
    OR(H50="G2", H50="G3"), "선임",
    OR(H50="G4", H50="G5"), "책임"
)</f>
        <v>선임</v>
      </c>
      <c r="J50" s="11">
        <v>41806</v>
      </c>
      <c r="K50" s="11">
        <v>46023</v>
      </c>
      <c r="L50" s="10" t="s">
        <v>780</v>
      </c>
    </row>
    <row r="51" spans="1:12" x14ac:dyDescent="0.45">
      <c r="A51" s="6">
        <v>50</v>
      </c>
      <c r="B51" s="10" t="s">
        <v>1159</v>
      </c>
      <c r="C51" s="10" t="s">
        <v>708</v>
      </c>
      <c r="D51" s="10" t="s">
        <v>709</v>
      </c>
      <c r="E51" s="10" t="s">
        <v>718</v>
      </c>
      <c r="F51" s="10" t="s">
        <v>746</v>
      </c>
      <c r="G51" s="10" t="s">
        <v>1214</v>
      </c>
      <c r="H51" s="10" t="s">
        <v>779</v>
      </c>
      <c r="I51" s="6" t="str" cm="1">
        <f t="array" ref="I51">_xlfn.IFS(
    OR(H51="A1", H51="A2", H51="G1"), "사원",
    OR(H51="G2", H51="G3"), "선임",
    OR(H51="G4", H51="G5"), "책임"
)</f>
        <v>선임</v>
      </c>
      <c r="J51" s="11">
        <v>45076</v>
      </c>
      <c r="K51" s="11">
        <v>46753</v>
      </c>
      <c r="L51" s="10" t="s">
        <v>781</v>
      </c>
    </row>
    <row r="52" spans="1:12" x14ac:dyDescent="0.45">
      <c r="A52" s="6">
        <v>51</v>
      </c>
      <c r="B52" s="10" t="s">
        <v>1159</v>
      </c>
      <c r="C52" s="10" t="s">
        <v>708</v>
      </c>
      <c r="D52" s="10" t="s">
        <v>709</v>
      </c>
      <c r="E52" s="10" t="s">
        <v>718</v>
      </c>
      <c r="F52" s="10" t="s">
        <v>739</v>
      </c>
      <c r="G52" s="10" t="s">
        <v>1215</v>
      </c>
      <c r="H52" s="10" t="s">
        <v>779</v>
      </c>
      <c r="I52" s="6" t="str" cm="1">
        <f t="array" ref="I52">_xlfn.IFS(
    OR(H52="A1", H52="A2", H52="G1"), "사원",
    OR(H52="G2", H52="G3"), "선임",
    OR(H52="G4", H52="G5"), "책임"
)</f>
        <v>선임</v>
      </c>
      <c r="J52" s="11">
        <v>42137</v>
      </c>
      <c r="K52" s="11">
        <v>45658</v>
      </c>
      <c r="L52" s="10" t="s">
        <v>782</v>
      </c>
    </row>
    <row r="53" spans="1:12" x14ac:dyDescent="0.45">
      <c r="A53" s="6">
        <v>52</v>
      </c>
      <c r="B53" s="10" t="s">
        <v>1159</v>
      </c>
      <c r="C53" s="10" t="s">
        <v>708</v>
      </c>
      <c r="D53" s="10" t="s">
        <v>709</v>
      </c>
      <c r="E53" s="10" t="s">
        <v>718</v>
      </c>
      <c r="F53" s="10" t="s">
        <v>746</v>
      </c>
      <c r="G53" s="10" t="s">
        <v>1216</v>
      </c>
      <c r="H53" s="10" t="s">
        <v>779</v>
      </c>
      <c r="I53" s="6" t="str" cm="1">
        <f t="array" ref="I53">_xlfn.IFS(
    OR(H53="A1", H53="A2", H53="G1"), "사원",
    OR(H53="G2", H53="G3"), "선임",
    OR(H53="G4", H53="G5"), "책임"
)</f>
        <v>선임</v>
      </c>
      <c r="J53" s="11">
        <v>44921</v>
      </c>
      <c r="K53" s="11">
        <v>46753</v>
      </c>
      <c r="L53" s="10" t="s">
        <v>783</v>
      </c>
    </row>
    <row r="54" spans="1:12" x14ac:dyDescent="0.45">
      <c r="A54" s="6">
        <v>53</v>
      </c>
      <c r="B54" s="10" t="s">
        <v>1159</v>
      </c>
      <c r="C54" s="10" t="s">
        <v>708</v>
      </c>
      <c r="D54" s="10" t="s">
        <v>709</v>
      </c>
      <c r="E54" s="10" t="s">
        <v>718</v>
      </c>
      <c r="F54" s="10" t="s">
        <v>741</v>
      </c>
      <c r="G54" s="10" t="s">
        <v>1217</v>
      </c>
      <c r="H54" s="10" t="s">
        <v>779</v>
      </c>
      <c r="I54" s="6" t="str" cm="1">
        <f t="array" ref="I54">_xlfn.IFS(
    OR(H54="A1", H54="A2", H54="G1"), "사원",
    OR(H54="G2", H54="G3"), "선임",
    OR(H54="G4", H54="G5"), "책임"
)</f>
        <v>선임</v>
      </c>
      <c r="J54" s="11">
        <v>44802</v>
      </c>
      <c r="K54" s="11">
        <v>46388</v>
      </c>
      <c r="L54" s="10" t="s">
        <v>784</v>
      </c>
    </row>
    <row r="55" spans="1:12" x14ac:dyDescent="0.45">
      <c r="A55" s="6">
        <v>54</v>
      </c>
      <c r="B55" s="10" t="s">
        <v>1159</v>
      </c>
      <c r="C55" s="10" t="s">
        <v>708</v>
      </c>
      <c r="D55" s="10" t="s">
        <v>709</v>
      </c>
      <c r="E55" s="10" t="s">
        <v>718</v>
      </c>
      <c r="F55" s="10" t="s">
        <v>746</v>
      </c>
      <c r="G55" s="10" t="s">
        <v>1218</v>
      </c>
      <c r="H55" s="10" t="s">
        <v>779</v>
      </c>
      <c r="I55" s="6" t="str" cm="1">
        <f t="array" ref="I55">_xlfn.IFS(
    OR(H55="A1", H55="A2", H55="G1"), "사원",
    OR(H55="G2", H55="G3"), "선임",
    OR(H55="G4", H55="G5"), "책임"
)</f>
        <v>선임</v>
      </c>
      <c r="J55" s="11">
        <v>45740</v>
      </c>
      <c r="K55" s="11">
        <v>46753</v>
      </c>
      <c r="L55" s="10" t="s">
        <v>785</v>
      </c>
    </row>
    <row r="56" spans="1:12" x14ac:dyDescent="0.45">
      <c r="A56" s="6">
        <v>55</v>
      </c>
      <c r="B56" s="10" t="s">
        <v>1159</v>
      </c>
      <c r="C56" s="10" t="s">
        <v>708</v>
      </c>
      <c r="D56" s="10" t="s">
        <v>709</v>
      </c>
      <c r="E56" s="10" t="s">
        <v>718</v>
      </c>
      <c r="F56" s="10" t="s">
        <v>741</v>
      </c>
      <c r="G56" s="10" t="s">
        <v>1219</v>
      </c>
      <c r="H56" s="10" t="s">
        <v>779</v>
      </c>
      <c r="I56" s="6" t="str" cm="1">
        <f t="array" ref="I56">_xlfn.IFS(
    OR(H56="A1", H56="A2", H56="G1"), "사원",
    OR(H56="G2", H56="G3"), "선임",
    OR(H56="G4", H56="G5"), "책임"
)</f>
        <v>선임</v>
      </c>
      <c r="J56" s="11">
        <v>44501</v>
      </c>
      <c r="K56" s="11">
        <v>46023</v>
      </c>
      <c r="L56" s="10" t="s">
        <v>786</v>
      </c>
    </row>
    <row r="57" spans="1:12" x14ac:dyDescent="0.45">
      <c r="A57" s="6">
        <v>56</v>
      </c>
      <c r="B57" s="10" t="s">
        <v>1159</v>
      </c>
      <c r="C57" s="10" t="s">
        <v>708</v>
      </c>
      <c r="D57" s="10" t="s">
        <v>709</v>
      </c>
      <c r="E57" s="10" t="s">
        <v>718</v>
      </c>
      <c r="F57" s="10" t="s">
        <v>733</v>
      </c>
      <c r="G57" s="10" t="s">
        <v>1220</v>
      </c>
      <c r="H57" s="10" t="s">
        <v>779</v>
      </c>
      <c r="I57" s="6" t="str" cm="1">
        <f t="array" ref="I57">_xlfn.IFS(
    OR(H57="A1", H57="A2", H57="G1"), "사원",
    OR(H57="G2", H57="G3"), "선임",
    OR(H57="G4", H57="G5"), "책임"
)</f>
        <v>선임</v>
      </c>
      <c r="J57" s="11">
        <v>45880</v>
      </c>
      <c r="K57" s="11">
        <v>47484</v>
      </c>
      <c r="L57" s="10" t="s">
        <v>787</v>
      </c>
    </row>
    <row r="58" spans="1:12" x14ac:dyDescent="0.45">
      <c r="A58" s="6">
        <v>57</v>
      </c>
      <c r="B58" s="10" t="s">
        <v>1159</v>
      </c>
      <c r="C58" s="10" t="s">
        <v>708</v>
      </c>
      <c r="D58" s="10" t="s">
        <v>709</v>
      </c>
      <c r="E58" s="10" t="s">
        <v>718</v>
      </c>
      <c r="F58" s="10" t="s">
        <v>746</v>
      </c>
      <c r="G58" s="10" t="s">
        <v>1221</v>
      </c>
      <c r="H58" s="10" t="s">
        <v>779</v>
      </c>
      <c r="I58" s="6" t="str" cm="1">
        <f t="array" ref="I58">_xlfn.IFS(
    OR(H58="A1", H58="A2", H58="G1"), "사원",
    OR(H58="G2", H58="G3"), "선임",
    OR(H58="G4", H58="G5"), "책임"
)</f>
        <v>선임</v>
      </c>
      <c r="J58" s="11">
        <v>45880</v>
      </c>
      <c r="K58" s="11">
        <v>47119</v>
      </c>
      <c r="L58" s="10" t="s">
        <v>788</v>
      </c>
    </row>
    <row r="59" spans="1:12" x14ac:dyDescent="0.45">
      <c r="A59" s="6">
        <v>58</v>
      </c>
      <c r="B59" s="10" t="s">
        <v>1159</v>
      </c>
      <c r="C59" s="10" t="s">
        <v>708</v>
      </c>
      <c r="D59" s="10" t="s">
        <v>709</v>
      </c>
      <c r="E59" s="10" t="s">
        <v>718</v>
      </c>
      <c r="F59" s="10" t="s">
        <v>731</v>
      </c>
      <c r="G59" s="10" t="s">
        <v>1222</v>
      </c>
      <c r="H59" s="10" t="s">
        <v>779</v>
      </c>
      <c r="I59" s="6" t="str" cm="1">
        <f t="array" ref="I59">_xlfn.IFS(
    OR(H59="A1", H59="A2", H59="G1"), "사원",
    OR(H59="G2", H59="G3"), "선임",
    OR(H59="G4", H59="G5"), "책임"
)</f>
        <v>선임</v>
      </c>
      <c r="J59" s="11">
        <v>45784</v>
      </c>
      <c r="K59" s="11">
        <v>46753</v>
      </c>
      <c r="L59" s="10" t="s">
        <v>789</v>
      </c>
    </row>
    <row r="60" spans="1:12" x14ac:dyDescent="0.45">
      <c r="A60" s="6">
        <v>59</v>
      </c>
      <c r="B60" s="10" t="s">
        <v>1159</v>
      </c>
      <c r="C60" s="10" t="s">
        <v>708</v>
      </c>
      <c r="D60" s="10" t="s">
        <v>709</v>
      </c>
      <c r="E60" s="10" t="s">
        <v>718</v>
      </c>
      <c r="F60" s="10" t="s">
        <v>746</v>
      </c>
      <c r="G60" s="10" t="s">
        <v>1223</v>
      </c>
      <c r="H60" s="10" t="s">
        <v>779</v>
      </c>
      <c r="I60" s="6" t="str" cm="1">
        <f t="array" ref="I60">_xlfn.IFS(
    OR(H60="A1", H60="A2", H60="G1"), "사원",
    OR(H60="G2", H60="G3"), "선임",
    OR(H60="G4", H60="G5"), "책임"
)</f>
        <v>선임</v>
      </c>
      <c r="J60" s="11">
        <v>44795</v>
      </c>
      <c r="K60" s="11">
        <v>47119</v>
      </c>
      <c r="L60" s="10" t="s">
        <v>790</v>
      </c>
    </row>
    <row r="61" spans="1:12" x14ac:dyDescent="0.45">
      <c r="A61" s="6">
        <v>60</v>
      </c>
      <c r="B61" s="10" t="s">
        <v>1159</v>
      </c>
      <c r="C61" s="10" t="s">
        <v>708</v>
      </c>
      <c r="D61" s="10" t="s">
        <v>709</v>
      </c>
      <c r="E61" s="10" t="s">
        <v>718</v>
      </c>
      <c r="F61" s="10" t="s">
        <v>746</v>
      </c>
      <c r="G61" s="10" t="s">
        <v>1224</v>
      </c>
      <c r="H61" s="10" t="s">
        <v>711</v>
      </c>
      <c r="I61" s="6" t="str" cm="1">
        <f t="array" ref="I61">_xlfn.IFS(
    OR(H61="A1", H61="A2", H61="G1"), "사원",
    OR(H61="G2", H61="G3"), "선임",
    OR(H61="G4", H61="G5"), "책임"
)</f>
        <v>사원</v>
      </c>
      <c r="J61" s="11">
        <v>45748</v>
      </c>
      <c r="K61" s="11">
        <v>46023</v>
      </c>
      <c r="L61" s="10" t="s">
        <v>791</v>
      </c>
    </row>
    <row r="62" spans="1:12" x14ac:dyDescent="0.45">
      <c r="A62" s="6">
        <v>61</v>
      </c>
      <c r="B62" s="10" t="s">
        <v>1159</v>
      </c>
      <c r="C62" s="10" t="s">
        <v>708</v>
      </c>
      <c r="D62" s="10" t="s">
        <v>709</v>
      </c>
      <c r="E62" s="10" t="s">
        <v>718</v>
      </c>
      <c r="F62" s="10" t="s">
        <v>741</v>
      </c>
      <c r="G62" s="10" t="s">
        <v>1225</v>
      </c>
      <c r="H62" s="10" t="s">
        <v>711</v>
      </c>
      <c r="I62" s="6" t="str" cm="1">
        <f t="array" ref="I62">_xlfn.IFS(
    OR(H62="A1", H62="A2", H62="G1"), "사원",
    OR(H62="G2", H62="G3"), "선임",
    OR(H62="G4", H62="G5"), "책임"
)</f>
        <v>사원</v>
      </c>
      <c r="J62" s="11">
        <v>45658</v>
      </c>
      <c r="K62" s="11">
        <v>46753</v>
      </c>
      <c r="L62" s="10" t="s">
        <v>792</v>
      </c>
    </row>
    <row r="63" spans="1:12" x14ac:dyDescent="0.45">
      <c r="A63" s="6">
        <v>62</v>
      </c>
      <c r="B63" s="10" t="s">
        <v>1159</v>
      </c>
      <c r="C63" s="10" t="s">
        <v>708</v>
      </c>
      <c r="D63" s="10" t="s">
        <v>709</v>
      </c>
      <c r="E63" s="10" t="s">
        <v>718</v>
      </c>
      <c r="F63" s="10" t="s">
        <v>731</v>
      </c>
      <c r="G63" s="10" t="s">
        <v>1226</v>
      </c>
      <c r="H63" s="10" t="s">
        <v>711</v>
      </c>
      <c r="I63" s="6" t="str" cm="1">
        <f t="array" ref="I63">_xlfn.IFS(
    OR(H63="A1", H63="A2", H63="G1"), "사원",
    OR(H63="G2", H63="G3"), "선임",
    OR(H63="G4", H63="G5"), "책임"
)</f>
        <v>사원</v>
      </c>
      <c r="J63" s="11">
        <v>45748</v>
      </c>
      <c r="K63" s="11">
        <v>47119</v>
      </c>
      <c r="L63" s="10" t="s">
        <v>793</v>
      </c>
    </row>
    <row r="64" spans="1:12" x14ac:dyDescent="0.45">
      <c r="A64" s="6">
        <v>63</v>
      </c>
      <c r="B64" s="10" t="s">
        <v>1159</v>
      </c>
      <c r="C64" s="10" t="s">
        <v>708</v>
      </c>
      <c r="D64" s="10" t="s">
        <v>709</v>
      </c>
      <c r="E64" s="10" t="s">
        <v>718</v>
      </c>
      <c r="F64" s="10" t="s">
        <v>737</v>
      </c>
      <c r="G64" s="10" t="s">
        <v>1227</v>
      </c>
      <c r="H64" s="10" t="s">
        <v>711</v>
      </c>
      <c r="I64" s="6" t="str" cm="1">
        <f t="array" ref="I64">_xlfn.IFS(
    OR(H64="A1", H64="A2", H64="G1"), "사원",
    OR(H64="G2", H64="G3"), "선임",
    OR(H64="G4", H64="G5"), "책임"
)</f>
        <v>사원</v>
      </c>
      <c r="J64" s="11">
        <v>45880</v>
      </c>
      <c r="K64" s="11">
        <v>46388</v>
      </c>
      <c r="L64" s="10" t="s">
        <v>794</v>
      </c>
    </row>
    <row r="65" spans="1:12" x14ac:dyDescent="0.45">
      <c r="A65" s="6">
        <v>64</v>
      </c>
      <c r="B65" s="10" t="s">
        <v>1159</v>
      </c>
      <c r="C65" s="10" t="s">
        <v>708</v>
      </c>
      <c r="D65" s="10" t="s">
        <v>709</v>
      </c>
      <c r="E65" s="10" t="s">
        <v>718</v>
      </c>
      <c r="F65" s="10" t="s">
        <v>741</v>
      </c>
      <c r="G65" s="10" t="s">
        <v>1228</v>
      </c>
      <c r="H65" s="10" t="s">
        <v>711</v>
      </c>
      <c r="I65" s="6" t="str" cm="1">
        <f t="array" ref="I65">_xlfn.IFS(
    OR(H65="A1", H65="A2", H65="G1"), "사원",
    OR(H65="G2", H65="G3"), "선임",
    OR(H65="G4", H65="G5"), "책임"
)</f>
        <v>사원</v>
      </c>
      <c r="J65" s="11">
        <v>44795</v>
      </c>
      <c r="K65" s="11">
        <v>46023</v>
      </c>
      <c r="L65" s="10" t="s">
        <v>795</v>
      </c>
    </row>
    <row r="66" spans="1:12" x14ac:dyDescent="0.45">
      <c r="A66" s="6">
        <v>65</v>
      </c>
      <c r="B66" s="10" t="s">
        <v>1159</v>
      </c>
      <c r="C66" s="10" t="s">
        <v>708</v>
      </c>
      <c r="D66" s="10" t="s">
        <v>709</v>
      </c>
      <c r="E66" s="10" t="s">
        <v>718</v>
      </c>
      <c r="F66" s="10" t="s">
        <v>729</v>
      </c>
      <c r="G66" s="10" t="s">
        <v>1229</v>
      </c>
      <c r="H66" s="10" t="s">
        <v>711</v>
      </c>
      <c r="I66" s="6" t="str" cm="1">
        <f t="array" ref="I66">_xlfn.IFS(
    OR(H66="A1", H66="A2", H66="G1"), "사원",
    OR(H66="G2", H66="G3"), "선임",
    OR(H66="G4", H66="G5"), "책임"
)</f>
        <v>사원</v>
      </c>
      <c r="J66" s="11">
        <v>44795</v>
      </c>
      <c r="K66" s="11">
        <v>46023</v>
      </c>
      <c r="L66" s="10" t="s">
        <v>796</v>
      </c>
    </row>
    <row r="67" spans="1:12" x14ac:dyDescent="0.45">
      <c r="A67" s="6">
        <v>66</v>
      </c>
      <c r="B67" s="10" t="s">
        <v>1159</v>
      </c>
      <c r="C67" s="10" t="s">
        <v>708</v>
      </c>
      <c r="D67" s="10" t="s">
        <v>709</v>
      </c>
      <c r="E67" s="10" t="s">
        <v>718</v>
      </c>
      <c r="F67" s="10" t="s">
        <v>733</v>
      </c>
      <c r="G67" s="10" t="s">
        <v>1230</v>
      </c>
      <c r="H67" s="10" t="s">
        <v>711</v>
      </c>
      <c r="I67" s="6" t="str" cm="1">
        <f t="array" ref="I67">_xlfn.IFS(
    OR(H67="A1", H67="A2", H67="G1"), "사원",
    OR(H67="G2", H67="G3"), "선임",
    OR(H67="G4", H67="G5"), "책임"
)</f>
        <v>사원</v>
      </c>
      <c r="J67" s="11">
        <v>44795</v>
      </c>
      <c r="K67" s="11">
        <v>46023</v>
      </c>
      <c r="L67" s="10" t="s">
        <v>797</v>
      </c>
    </row>
    <row r="68" spans="1:12" x14ac:dyDescent="0.45">
      <c r="A68" s="6">
        <v>67</v>
      </c>
      <c r="B68" s="10" t="s">
        <v>1159</v>
      </c>
      <c r="C68" s="10" t="s">
        <v>708</v>
      </c>
      <c r="D68" s="10" t="s">
        <v>709</v>
      </c>
      <c r="E68" s="10" t="s">
        <v>718</v>
      </c>
      <c r="F68" s="10" t="s">
        <v>741</v>
      </c>
      <c r="G68" s="10" t="s">
        <v>1231</v>
      </c>
      <c r="H68" s="10" t="s">
        <v>711</v>
      </c>
      <c r="I68" s="6" t="str" cm="1">
        <f t="array" ref="I68">_xlfn.IFS(
    OR(H68="A1", H68="A2", H68="G1"), "사원",
    OR(H68="G2", H68="G3"), "선임",
    OR(H68="G4", H68="G5"), "책임"
)</f>
        <v>사원</v>
      </c>
      <c r="J68" s="11">
        <v>44921</v>
      </c>
      <c r="K68" s="11">
        <v>46023</v>
      </c>
      <c r="L68" s="10" t="s">
        <v>798</v>
      </c>
    </row>
    <row r="69" spans="1:12" x14ac:dyDescent="0.45">
      <c r="A69" s="6">
        <v>68</v>
      </c>
      <c r="B69" s="10" t="s">
        <v>1159</v>
      </c>
      <c r="C69" s="10" t="s">
        <v>708</v>
      </c>
      <c r="D69" s="10" t="s">
        <v>709</v>
      </c>
      <c r="E69" s="10" t="s">
        <v>718</v>
      </c>
      <c r="F69" s="10" t="s">
        <v>731</v>
      </c>
      <c r="G69" s="10" t="s">
        <v>1232</v>
      </c>
      <c r="H69" s="10" t="s">
        <v>711</v>
      </c>
      <c r="I69" s="6" t="str" cm="1">
        <f t="array" ref="I69">_xlfn.IFS(
    OR(H69="A1", H69="A2", H69="G1"), "사원",
    OR(H69="G2", H69="G3"), "선임",
    OR(H69="G4", H69="G5"), "책임"
)</f>
        <v>사원</v>
      </c>
      <c r="J69" s="11">
        <v>45054</v>
      </c>
      <c r="K69" s="11">
        <v>46388</v>
      </c>
      <c r="L69" s="10" t="s">
        <v>799</v>
      </c>
    </row>
    <row r="70" spans="1:12" x14ac:dyDescent="0.45">
      <c r="A70" s="6">
        <v>69</v>
      </c>
      <c r="B70" s="10" t="s">
        <v>1159</v>
      </c>
      <c r="C70" s="10" t="s">
        <v>708</v>
      </c>
      <c r="D70" s="10" t="s">
        <v>709</v>
      </c>
      <c r="E70" s="10" t="s">
        <v>718</v>
      </c>
      <c r="F70" s="10" t="s">
        <v>731</v>
      </c>
      <c r="G70" s="10" t="s">
        <v>1233</v>
      </c>
      <c r="H70" s="10" t="s">
        <v>711</v>
      </c>
      <c r="I70" s="6" t="str" cm="1">
        <f t="array" ref="I70">_xlfn.IFS(
    OR(H70="A1", H70="A2", H70="G1"), "사원",
    OR(H70="G2", H70="G3"), "선임",
    OR(H70="G4", H70="G5"), "책임"
)</f>
        <v>사원</v>
      </c>
      <c r="J70" s="11">
        <v>45054</v>
      </c>
      <c r="K70" s="11">
        <v>46388</v>
      </c>
      <c r="L70" s="10" t="s">
        <v>800</v>
      </c>
    </row>
    <row r="71" spans="1:12" x14ac:dyDescent="0.45">
      <c r="A71" s="6">
        <v>70</v>
      </c>
      <c r="B71" s="10" t="s">
        <v>1159</v>
      </c>
      <c r="C71" s="10" t="s">
        <v>708</v>
      </c>
      <c r="D71" s="10" t="s">
        <v>709</v>
      </c>
      <c r="E71" s="10" t="s">
        <v>718</v>
      </c>
      <c r="F71" s="10" t="s">
        <v>743</v>
      </c>
      <c r="G71" s="10" t="s">
        <v>1234</v>
      </c>
      <c r="H71" s="10" t="s">
        <v>711</v>
      </c>
      <c r="I71" s="6" t="str" cm="1">
        <f t="array" ref="I71">_xlfn.IFS(
    OR(H71="A1", H71="A2", H71="G1"), "사원",
    OR(H71="G2", H71="G3"), "선임",
    OR(H71="G4", H71="G5"), "책임"
)</f>
        <v>사원</v>
      </c>
      <c r="J71" s="11">
        <v>45054</v>
      </c>
      <c r="K71" s="11">
        <v>46388</v>
      </c>
      <c r="L71" s="10" t="s">
        <v>801</v>
      </c>
    </row>
    <row r="72" spans="1:12" x14ac:dyDescent="0.45">
      <c r="A72" s="6">
        <v>71</v>
      </c>
      <c r="B72" s="10" t="s">
        <v>1159</v>
      </c>
      <c r="C72" s="10" t="s">
        <v>708</v>
      </c>
      <c r="D72" s="10" t="s">
        <v>709</v>
      </c>
      <c r="E72" s="10" t="s">
        <v>718</v>
      </c>
      <c r="F72" s="10" t="s">
        <v>741</v>
      </c>
      <c r="G72" s="10" t="s">
        <v>1235</v>
      </c>
      <c r="H72" s="10" t="s">
        <v>711</v>
      </c>
      <c r="I72" s="6" t="str" cm="1">
        <f t="array" ref="I72">_xlfn.IFS(
    OR(H72="A1", H72="A2", H72="G1"), "사원",
    OR(H72="G2", H72="G3"), "선임",
    OR(H72="G4", H72="G5"), "책임"
)</f>
        <v>사원</v>
      </c>
      <c r="J72" s="11">
        <v>45292</v>
      </c>
      <c r="K72" s="11">
        <v>46023</v>
      </c>
      <c r="L72" s="10" t="s">
        <v>802</v>
      </c>
    </row>
    <row r="73" spans="1:12" x14ac:dyDescent="0.45">
      <c r="A73" s="6">
        <v>72</v>
      </c>
      <c r="B73" s="10" t="s">
        <v>1159</v>
      </c>
      <c r="C73" s="10" t="s">
        <v>708</v>
      </c>
      <c r="D73" s="10" t="s">
        <v>709</v>
      </c>
      <c r="E73" s="10" t="s">
        <v>718</v>
      </c>
      <c r="F73" s="10" t="s">
        <v>733</v>
      </c>
      <c r="G73" s="10" t="s">
        <v>1236</v>
      </c>
      <c r="H73" s="10" t="s">
        <v>711</v>
      </c>
      <c r="I73" s="6" t="str" cm="1">
        <f t="array" ref="I73">_xlfn.IFS(
    OR(H73="A1", H73="A2", H73="G1"), "사원",
    OR(H73="G2", H73="G3"), "선임",
    OR(H73="G4", H73="G5"), "책임"
)</f>
        <v>사원</v>
      </c>
      <c r="J73" s="11">
        <v>45292</v>
      </c>
      <c r="K73" s="11">
        <v>46388</v>
      </c>
      <c r="L73" s="10" t="s">
        <v>803</v>
      </c>
    </row>
    <row r="74" spans="1:12" x14ac:dyDescent="0.45">
      <c r="A74" s="6">
        <v>73</v>
      </c>
      <c r="B74" s="10" t="s">
        <v>1159</v>
      </c>
      <c r="C74" s="10" t="s">
        <v>708</v>
      </c>
      <c r="D74" s="10" t="s">
        <v>709</v>
      </c>
      <c r="E74" s="10" t="s">
        <v>718</v>
      </c>
      <c r="F74" s="10" t="s">
        <v>729</v>
      </c>
      <c r="G74" s="10" t="s">
        <v>1237</v>
      </c>
      <c r="H74" s="10" t="s">
        <v>711</v>
      </c>
      <c r="I74" s="6" t="str" cm="1">
        <f t="array" ref="I74">_xlfn.IFS(
    OR(H74="A1", H74="A2", H74="G1"), "사원",
    OR(H74="G2", H74="G3"), "선임",
    OR(H74="G4", H74="G5"), "책임"
)</f>
        <v>사원</v>
      </c>
      <c r="J74" s="11">
        <v>45292</v>
      </c>
      <c r="K74" s="11">
        <v>46388</v>
      </c>
      <c r="L74" s="10" t="s">
        <v>804</v>
      </c>
    </row>
    <row r="75" spans="1:12" x14ac:dyDescent="0.45">
      <c r="A75" s="6">
        <v>74</v>
      </c>
      <c r="B75" s="10" t="s">
        <v>1159</v>
      </c>
      <c r="C75" s="10" t="s">
        <v>708</v>
      </c>
      <c r="D75" s="10" t="s">
        <v>709</v>
      </c>
      <c r="E75" s="10" t="s">
        <v>718</v>
      </c>
      <c r="F75" s="10" t="s">
        <v>737</v>
      </c>
      <c r="G75" s="10" t="s">
        <v>1238</v>
      </c>
      <c r="H75" s="10" t="s">
        <v>711</v>
      </c>
      <c r="I75" s="6" t="str" cm="1">
        <f t="array" ref="I75">_xlfn.IFS(
    OR(H75="A1", H75="A2", H75="G1"), "사원",
    OR(H75="G2", H75="G3"), "선임",
    OR(H75="G4", H75="G5"), "책임"
)</f>
        <v>사원</v>
      </c>
      <c r="J75" s="11">
        <v>45292</v>
      </c>
      <c r="K75" s="11">
        <v>46388</v>
      </c>
      <c r="L75" s="10" t="s">
        <v>805</v>
      </c>
    </row>
    <row r="76" spans="1:12" x14ac:dyDescent="0.45">
      <c r="A76" s="6">
        <v>75</v>
      </c>
      <c r="B76" s="10" t="s">
        <v>1159</v>
      </c>
      <c r="C76" s="10" t="s">
        <v>708</v>
      </c>
      <c r="D76" s="10" t="s">
        <v>709</v>
      </c>
      <c r="E76" s="10" t="s">
        <v>718</v>
      </c>
      <c r="F76" s="10" t="s">
        <v>739</v>
      </c>
      <c r="G76" s="10" t="s">
        <v>1239</v>
      </c>
      <c r="H76" s="10" t="s">
        <v>711</v>
      </c>
      <c r="I76" s="6" t="str" cm="1">
        <f t="array" ref="I76">_xlfn.IFS(
    OR(H76="A1", H76="A2", H76="G1"), "사원",
    OR(H76="G2", H76="G3"), "선임",
    OR(H76="G4", H76="G5"), "책임"
)</f>
        <v>사원</v>
      </c>
      <c r="J76" s="11">
        <v>45658</v>
      </c>
      <c r="K76" s="11">
        <v>46753</v>
      </c>
      <c r="L76" s="10" t="s">
        <v>806</v>
      </c>
    </row>
    <row r="77" spans="1:12" x14ac:dyDescent="0.45">
      <c r="A77" s="6">
        <v>76</v>
      </c>
      <c r="B77" s="10" t="s">
        <v>1159</v>
      </c>
      <c r="C77" s="10" t="s">
        <v>708</v>
      </c>
      <c r="D77" s="10" t="s">
        <v>709</v>
      </c>
      <c r="E77" s="10" t="s">
        <v>718</v>
      </c>
      <c r="F77" s="10" t="s">
        <v>741</v>
      </c>
      <c r="G77" s="10" t="s">
        <v>1240</v>
      </c>
      <c r="H77" s="10" t="s">
        <v>711</v>
      </c>
      <c r="I77" s="6" t="str" cm="1">
        <f t="array" ref="I77">_xlfn.IFS(
    OR(H77="A1", H77="A2", H77="G1"), "사원",
    OR(H77="G2", H77="G3"), "선임",
    OR(H77="G4", H77="G5"), "책임"
)</f>
        <v>사원</v>
      </c>
      <c r="J77" s="11">
        <v>45658</v>
      </c>
      <c r="K77" s="11">
        <v>46753</v>
      </c>
      <c r="L77" s="10" t="s">
        <v>807</v>
      </c>
    </row>
    <row r="78" spans="1:12" x14ac:dyDescent="0.45">
      <c r="A78" s="6">
        <v>77</v>
      </c>
      <c r="B78" s="10" t="s">
        <v>1159</v>
      </c>
      <c r="C78" s="10" t="s">
        <v>708</v>
      </c>
      <c r="D78" s="10" t="s">
        <v>709</v>
      </c>
      <c r="E78" s="10" t="s">
        <v>718</v>
      </c>
      <c r="F78" s="10" t="s">
        <v>739</v>
      </c>
      <c r="G78" s="10" t="s">
        <v>1241</v>
      </c>
      <c r="H78" s="10" t="s">
        <v>711</v>
      </c>
      <c r="I78" s="6" t="str" cm="1">
        <f t="array" ref="I78">_xlfn.IFS(
    OR(H78="A1", H78="A2", H78="G1"), "사원",
    OR(H78="G2", H78="G3"), "선임",
    OR(H78="G4", H78="G5"), "책임"
)</f>
        <v>사원</v>
      </c>
      <c r="J78" s="11">
        <v>45748</v>
      </c>
      <c r="K78" s="11">
        <v>47119</v>
      </c>
      <c r="L78" s="10" t="s">
        <v>808</v>
      </c>
    </row>
    <row r="79" spans="1:12" x14ac:dyDescent="0.45">
      <c r="A79" s="6">
        <v>78</v>
      </c>
      <c r="B79" s="10" t="s">
        <v>1159</v>
      </c>
      <c r="C79" s="10" t="s">
        <v>708</v>
      </c>
      <c r="D79" s="10" t="s">
        <v>709</v>
      </c>
      <c r="E79" s="10" t="s">
        <v>718</v>
      </c>
      <c r="F79" s="10" t="s">
        <v>741</v>
      </c>
      <c r="G79" s="10" t="s">
        <v>1242</v>
      </c>
      <c r="H79" s="10" t="s">
        <v>809</v>
      </c>
      <c r="I79" s="6" t="str" cm="1">
        <f t="array" ref="I79">_xlfn.IFS(
    OR(H79="A1", H79="A2", H79="G1"), "사원",
    OR(H79="G2", H79="G3"), "선임",
    OR(H79="G4", H79="G5"), "책임"
)</f>
        <v>사원</v>
      </c>
      <c r="J79" s="11">
        <v>45068</v>
      </c>
      <c r="K79" s="11">
        <v>46753</v>
      </c>
      <c r="L79" s="10" t="s">
        <v>810</v>
      </c>
    </row>
    <row r="80" spans="1:12" x14ac:dyDescent="0.45">
      <c r="A80" s="6">
        <v>79</v>
      </c>
      <c r="B80" s="10" t="s">
        <v>1159</v>
      </c>
      <c r="C80" s="10" t="s">
        <v>708</v>
      </c>
      <c r="D80" s="10" t="s">
        <v>709</v>
      </c>
      <c r="E80" s="10" t="s">
        <v>718</v>
      </c>
      <c r="F80" s="10" t="s">
        <v>746</v>
      </c>
      <c r="G80" s="10" t="s">
        <v>1243</v>
      </c>
      <c r="H80" s="10" t="s">
        <v>809</v>
      </c>
      <c r="I80" s="6" t="str" cm="1">
        <f t="array" ref="I80">_xlfn.IFS(
    OR(H80="A1", H80="A2", H80="G1"), "사원",
    OR(H80="G2", H80="G3"), "선임",
    OR(H80="G4", H80="G5"), "책임"
)</f>
        <v>사원</v>
      </c>
      <c r="J80" s="11">
        <v>44287</v>
      </c>
      <c r="K80" s="11">
        <v>46023</v>
      </c>
      <c r="L80" s="10" t="s">
        <v>811</v>
      </c>
    </row>
    <row r="81" spans="1:12" x14ac:dyDescent="0.45">
      <c r="A81" s="6">
        <v>80</v>
      </c>
      <c r="B81" s="10" t="s">
        <v>1159</v>
      </c>
      <c r="C81" s="10" t="s">
        <v>708</v>
      </c>
      <c r="D81" s="10" t="s">
        <v>709</v>
      </c>
      <c r="E81" s="10" t="s">
        <v>718</v>
      </c>
      <c r="F81" s="10" t="s">
        <v>741</v>
      </c>
      <c r="G81" s="10" t="s">
        <v>1244</v>
      </c>
      <c r="H81" s="10" t="s">
        <v>812</v>
      </c>
      <c r="I81" s="6" t="e" cm="1">
        <f t="array" ref="I81">_xlfn.IFS(
    OR(H81="A1", H81="A2", H81="G1"), "사원",
    OR(H81="G2", H81="G3"), "선임",
    OR(H81="G4", H81="G5"), "책임"
)</f>
        <v>#N/A</v>
      </c>
      <c r="J81" s="11">
        <v>45880</v>
      </c>
      <c r="K81" s="11">
        <v>47119</v>
      </c>
      <c r="L81" s="10" t="s">
        <v>813</v>
      </c>
    </row>
    <row r="82" spans="1:12" x14ac:dyDescent="0.45">
      <c r="A82" s="6">
        <v>81</v>
      </c>
      <c r="B82" s="10" t="s">
        <v>1159</v>
      </c>
      <c r="C82" s="10" t="s">
        <v>708</v>
      </c>
      <c r="D82" s="10" t="s">
        <v>709</v>
      </c>
      <c r="E82" s="10" t="s">
        <v>718</v>
      </c>
      <c r="F82" s="10" t="s">
        <v>741</v>
      </c>
      <c r="G82" s="10" t="s">
        <v>1245</v>
      </c>
      <c r="H82" s="10" t="s">
        <v>812</v>
      </c>
      <c r="I82" s="6" t="e" cm="1">
        <f t="array" ref="I82">_xlfn.IFS(
    OR(H82="A1", H82="A2", H82="G1"), "사원",
    OR(H82="G2", H82="G3"), "선임",
    OR(H82="G4", H82="G5"), "책임"
)</f>
        <v>#N/A</v>
      </c>
      <c r="J82" s="11">
        <v>45880</v>
      </c>
      <c r="K82" s="11">
        <v>47119</v>
      </c>
      <c r="L82" s="10" t="s">
        <v>814</v>
      </c>
    </row>
    <row r="83" spans="1:12" x14ac:dyDescent="0.45">
      <c r="A83" s="6">
        <v>82</v>
      </c>
      <c r="B83" s="10" t="s">
        <v>1159</v>
      </c>
      <c r="C83" s="10" t="s">
        <v>708</v>
      </c>
      <c r="D83" s="10" t="s">
        <v>709</v>
      </c>
      <c r="E83" s="10" t="s">
        <v>815</v>
      </c>
      <c r="F83" s="10" t="s">
        <v>815</v>
      </c>
      <c r="G83" s="10" t="s">
        <v>1246</v>
      </c>
      <c r="H83" s="10" t="s">
        <v>719</v>
      </c>
      <c r="I83" s="6" t="e" cm="1">
        <f t="array" ref="I83">_xlfn.IFS(
    OR(H83="A1", H83="A2", H83="G1"), "사원",
    OR(H83="G2", H83="G3"), "선임",
    OR(H83="G4", H83="G5"), "책임"
)</f>
        <v>#N/A</v>
      </c>
      <c r="J83" s="11">
        <v>34213</v>
      </c>
      <c r="K83" s="11"/>
      <c r="L83" s="10" t="s">
        <v>816</v>
      </c>
    </row>
    <row r="84" spans="1:12" x14ac:dyDescent="0.45">
      <c r="A84" s="6">
        <v>83</v>
      </c>
      <c r="B84" s="10" t="s">
        <v>1159</v>
      </c>
      <c r="C84" s="10" t="s">
        <v>708</v>
      </c>
      <c r="D84" s="10" t="s">
        <v>709</v>
      </c>
      <c r="E84" s="10" t="s">
        <v>815</v>
      </c>
      <c r="F84" s="10" t="s">
        <v>817</v>
      </c>
      <c r="G84" s="10" t="s">
        <v>1247</v>
      </c>
      <c r="H84" s="10" t="s">
        <v>722</v>
      </c>
      <c r="I84" s="6" t="e" cm="1">
        <f t="array" ref="I84">_xlfn.IFS(
    OR(H84="A1", H84="A2", H84="G1"), "사원",
    OR(H84="G2", H84="G3"), "선임",
    OR(H84="G4", H84="G5"), "책임"
)</f>
        <v>#N/A</v>
      </c>
      <c r="J84" s="11">
        <v>34639</v>
      </c>
      <c r="K84" s="11"/>
      <c r="L84" s="10" t="s">
        <v>818</v>
      </c>
    </row>
    <row r="85" spans="1:12" x14ac:dyDescent="0.45">
      <c r="A85" s="6">
        <v>84</v>
      </c>
      <c r="B85" s="10" t="s">
        <v>1159</v>
      </c>
      <c r="C85" s="10" t="s">
        <v>708</v>
      </c>
      <c r="D85" s="10" t="s">
        <v>709</v>
      </c>
      <c r="E85" s="10" t="s">
        <v>815</v>
      </c>
      <c r="F85" s="10" t="s">
        <v>819</v>
      </c>
      <c r="G85" s="10" t="s">
        <v>1248</v>
      </c>
      <c r="H85" s="10" t="s">
        <v>727</v>
      </c>
      <c r="I85" s="6" t="str" cm="1">
        <f t="array" ref="I85">_xlfn.IFS(
    OR(H85="A1", H85="A2", H85="G1"), "사원",
    OR(H85="G2", H85="G3"), "선임",
    OR(H85="G4", H85="G5"), "책임"
)</f>
        <v>책임</v>
      </c>
      <c r="J85" s="11">
        <v>38103</v>
      </c>
      <c r="K85" s="11"/>
      <c r="L85" s="10" t="s">
        <v>820</v>
      </c>
    </row>
    <row r="86" spans="1:12" x14ac:dyDescent="0.45">
      <c r="A86" s="6">
        <v>85</v>
      </c>
      <c r="B86" s="10" t="s">
        <v>1159</v>
      </c>
      <c r="C86" s="10" t="s">
        <v>708</v>
      </c>
      <c r="D86" s="10" t="s">
        <v>709</v>
      </c>
      <c r="E86" s="10" t="s">
        <v>815</v>
      </c>
      <c r="F86" s="10" t="s">
        <v>821</v>
      </c>
      <c r="G86" s="10" t="s">
        <v>1249</v>
      </c>
      <c r="H86" s="10" t="s">
        <v>727</v>
      </c>
      <c r="I86" s="6" t="str" cm="1">
        <f t="array" ref="I86">_xlfn.IFS(
    OR(H86="A1", H86="A2", H86="G1"), "사원",
    OR(H86="G2", H86="G3"), "선임",
    OR(H86="G4", H86="G5"), "책임"
)</f>
        <v>책임</v>
      </c>
      <c r="J86" s="11">
        <v>38818</v>
      </c>
      <c r="K86" s="11"/>
      <c r="L86" s="10" t="s">
        <v>822</v>
      </c>
    </row>
    <row r="87" spans="1:12" x14ac:dyDescent="0.45">
      <c r="A87" s="6">
        <v>86</v>
      </c>
      <c r="B87" s="10" t="s">
        <v>1159</v>
      </c>
      <c r="C87" s="10" t="s">
        <v>708</v>
      </c>
      <c r="D87" s="10" t="s">
        <v>709</v>
      </c>
      <c r="E87" s="10" t="s">
        <v>815</v>
      </c>
      <c r="F87" s="10" t="s">
        <v>823</v>
      </c>
      <c r="G87" s="10" t="s">
        <v>1250</v>
      </c>
      <c r="H87" s="10" t="s">
        <v>727</v>
      </c>
      <c r="I87" s="6" t="str" cm="1">
        <f t="array" ref="I87">_xlfn.IFS(
    OR(H87="A1", H87="A2", H87="G1"), "사원",
    OR(H87="G2", H87="G3"), "선임",
    OR(H87="G4", H87="G5"), "책임"
)</f>
        <v>책임</v>
      </c>
      <c r="J87" s="11">
        <v>39363</v>
      </c>
      <c r="K87" s="11"/>
      <c r="L87" s="10" t="s">
        <v>824</v>
      </c>
    </row>
    <row r="88" spans="1:12" x14ac:dyDescent="0.45">
      <c r="A88" s="6">
        <v>87</v>
      </c>
      <c r="B88" s="10" t="s">
        <v>1159</v>
      </c>
      <c r="C88" s="10" t="s">
        <v>708</v>
      </c>
      <c r="D88" s="10" t="s">
        <v>709</v>
      </c>
      <c r="E88" s="10" t="s">
        <v>815</v>
      </c>
      <c r="F88" s="10" t="s">
        <v>825</v>
      </c>
      <c r="G88" s="10" t="s">
        <v>1251</v>
      </c>
      <c r="H88" s="10" t="s">
        <v>727</v>
      </c>
      <c r="I88" s="6" t="str" cm="1">
        <f t="array" ref="I88">_xlfn.IFS(
    OR(H88="A1", H88="A2", H88="G1"), "사원",
    OR(H88="G2", H88="G3"), "선임",
    OR(H88="G4", H88="G5"), "책임"
)</f>
        <v>책임</v>
      </c>
      <c r="J88" s="11">
        <v>37820</v>
      </c>
      <c r="K88" s="11"/>
      <c r="L88" s="10" t="s">
        <v>826</v>
      </c>
    </row>
    <row r="89" spans="1:12" x14ac:dyDescent="0.45">
      <c r="A89" s="6">
        <v>88</v>
      </c>
      <c r="B89" s="10" t="s">
        <v>1159</v>
      </c>
      <c r="C89" s="10" t="s">
        <v>708</v>
      </c>
      <c r="D89" s="10" t="s">
        <v>709</v>
      </c>
      <c r="E89" s="10" t="s">
        <v>815</v>
      </c>
      <c r="F89" s="10" t="s">
        <v>827</v>
      </c>
      <c r="G89" s="10" t="s">
        <v>1252</v>
      </c>
      <c r="H89" s="10" t="s">
        <v>727</v>
      </c>
      <c r="I89" s="6" t="str" cm="1">
        <f t="array" ref="I89">_xlfn.IFS(
    OR(H89="A1", H89="A2", H89="G1"), "사원",
    OR(H89="G2", H89="G3"), "선임",
    OR(H89="G4", H89="G5"), "책임"
)</f>
        <v>책임</v>
      </c>
      <c r="J89" s="11">
        <v>37500</v>
      </c>
      <c r="K89" s="11"/>
      <c r="L89" s="10" t="s">
        <v>828</v>
      </c>
    </row>
    <row r="90" spans="1:12" x14ac:dyDescent="0.45">
      <c r="A90" s="6">
        <v>89</v>
      </c>
      <c r="B90" s="10" t="s">
        <v>1159</v>
      </c>
      <c r="C90" s="10" t="s">
        <v>708</v>
      </c>
      <c r="D90" s="10" t="s">
        <v>709</v>
      </c>
      <c r="E90" s="10" t="s">
        <v>815</v>
      </c>
      <c r="F90" s="10" t="s">
        <v>827</v>
      </c>
      <c r="G90" s="10" t="s">
        <v>1253</v>
      </c>
      <c r="H90" s="10" t="s">
        <v>734</v>
      </c>
      <c r="I90" s="6" t="str" cm="1">
        <f t="array" ref="I90">_xlfn.IFS(
    OR(H90="A1", H90="A2", H90="G1"), "사원",
    OR(H90="G2", H90="G3"), "선임",
    OR(H90="G4", H90="G5"), "책임"
)</f>
        <v>책임</v>
      </c>
      <c r="J90" s="11">
        <v>40179</v>
      </c>
      <c r="K90" s="11">
        <v>46388</v>
      </c>
      <c r="L90" s="10" t="s">
        <v>829</v>
      </c>
    </row>
    <row r="91" spans="1:12" x14ac:dyDescent="0.45">
      <c r="A91" s="6">
        <v>90</v>
      </c>
      <c r="B91" s="10" t="s">
        <v>1159</v>
      </c>
      <c r="C91" s="10" t="s">
        <v>708</v>
      </c>
      <c r="D91" s="10" t="s">
        <v>709</v>
      </c>
      <c r="E91" s="10" t="s">
        <v>815</v>
      </c>
      <c r="F91" s="10" t="s">
        <v>830</v>
      </c>
      <c r="G91" s="10" t="s">
        <v>1254</v>
      </c>
      <c r="H91" s="10" t="s">
        <v>734</v>
      </c>
      <c r="I91" s="6" t="str" cm="1">
        <f t="array" ref="I91">_xlfn.IFS(
    OR(H91="A1", H91="A2", H91="G1"), "사원",
    OR(H91="G2", H91="G3"), "선임",
    OR(H91="G4", H91="G5"), "책임"
)</f>
        <v>책임</v>
      </c>
      <c r="J91" s="11">
        <v>40179</v>
      </c>
      <c r="K91" s="11">
        <v>46388</v>
      </c>
      <c r="L91" s="10" t="s">
        <v>831</v>
      </c>
    </row>
    <row r="92" spans="1:12" x14ac:dyDescent="0.45">
      <c r="A92" s="6">
        <v>91</v>
      </c>
      <c r="B92" s="10" t="s">
        <v>1159</v>
      </c>
      <c r="C92" s="10" t="s">
        <v>708</v>
      </c>
      <c r="D92" s="10" t="s">
        <v>709</v>
      </c>
      <c r="E92" s="10" t="s">
        <v>815</v>
      </c>
      <c r="F92" s="10" t="s">
        <v>819</v>
      </c>
      <c r="G92" s="10" t="s">
        <v>1255</v>
      </c>
      <c r="H92" s="10" t="s">
        <v>734</v>
      </c>
      <c r="I92" s="6" t="str" cm="1">
        <f t="array" ref="I92">_xlfn.IFS(
    OR(H92="A1", H92="A2", H92="G1"), "사원",
    OR(H92="G2", H92="G3"), "선임",
    OR(H92="G4", H92="G5"), "책임"
)</f>
        <v>책임</v>
      </c>
      <c r="J92" s="11">
        <v>40308</v>
      </c>
      <c r="K92" s="11">
        <v>46753</v>
      </c>
      <c r="L92" s="10" t="s">
        <v>832</v>
      </c>
    </row>
    <row r="93" spans="1:12" x14ac:dyDescent="0.45">
      <c r="A93" s="6">
        <v>92</v>
      </c>
      <c r="B93" s="10" t="s">
        <v>1159</v>
      </c>
      <c r="C93" s="10" t="s">
        <v>708</v>
      </c>
      <c r="D93" s="10" t="s">
        <v>709</v>
      </c>
      <c r="E93" s="10" t="s">
        <v>815</v>
      </c>
      <c r="F93" s="10" t="s">
        <v>827</v>
      </c>
      <c r="G93" s="10" t="s">
        <v>1256</v>
      </c>
      <c r="H93" s="10" t="s">
        <v>734</v>
      </c>
      <c r="I93" s="6" t="str" cm="1">
        <f t="array" ref="I93">_xlfn.IFS(
    OR(H93="A1", H93="A2", H93="G1"), "사원",
    OR(H93="G2", H93="G3"), "선임",
    OR(H93="G4", H93="G5"), "책임"
)</f>
        <v>책임</v>
      </c>
      <c r="J93" s="11">
        <v>40544</v>
      </c>
      <c r="K93" s="11">
        <v>47119</v>
      </c>
      <c r="L93" s="10" t="s">
        <v>833</v>
      </c>
    </row>
    <row r="94" spans="1:12" x14ac:dyDescent="0.45">
      <c r="A94" s="6">
        <v>93</v>
      </c>
      <c r="B94" s="10" t="s">
        <v>1159</v>
      </c>
      <c r="C94" s="10" t="s">
        <v>708</v>
      </c>
      <c r="D94" s="10" t="s">
        <v>709</v>
      </c>
      <c r="E94" s="10" t="s">
        <v>815</v>
      </c>
      <c r="F94" s="10" t="s">
        <v>827</v>
      </c>
      <c r="G94" s="10" t="s">
        <v>1257</v>
      </c>
      <c r="H94" s="10" t="s">
        <v>734</v>
      </c>
      <c r="I94" s="6" t="str" cm="1">
        <f t="array" ref="I94">_xlfn.IFS(
    OR(H94="A1", H94="A2", H94="G1"), "사원",
    OR(H94="G2", H94="G3"), "선임",
    OR(H94="G4", H94="G5"), "책임"
)</f>
        <v>책임</v>
      </c>
      <c r="J94" s="11">
        <v>40544</v>
      </c>
      <c r="K94" s="11">
        <v>47119</v>
      </c>
      <c r="L94" s="10" t="s">
        <v>834</v>
      </c>
    </row>
    <row r="95" spans="1:12" x14ac:dyDescent="0.45">
      <c r="A95" s="6">
        <v>94</v>
      </c>
      <c r="B95" s="10" t="s">
        <v>1159</v>
      </c>
      <c r="C95" s="10" t="s">
        <v>708</v>
      </c>
      <c r="D95" s="10" t="s">
        <v>709</v>
      </c>
      <c r="E95" s="10" t="s">
        <v>815</v>
      </c>
      <c r="F95" s="10" t="s">
        <v>835</v>
      </c>
      <c r="G95" s="10" t="s">
        <v>1258</v>
      </c>
      <c r="H95" s="10" t="s">
        <v>734</v>
      </c>
      <c r="I95" s="6" t="str" cm="1">
        <f t="array" ref="I95">_xlfn.IFS(
    OR(H95="A1", H95="A2", H95="G1"), "사원",
    OR(H95="G2", H95="G3"), "선임",
    OR(H95="G4", H95="G5"), "책임"
)</f>
        <v>책임</v>
      </c>
      <c r="J95" s="11">
        <v>40763</v>
      </c>
      <c r="K95" s="11">
        <v>46023</v>
      </c>
      <c r="L95" s="10" t="s">
        <v>836</v>
      </c>
    </row>
    <row r="96" spans="1:12" x14ac:dyDescent="0.45">
      <c r="A96" s="6">
        <v>95</v>
      </c>
      <c r="B96" s="10" t="s">
        <v>1159</v>
      </c>
      <c r="C96" s="10" t="s">
        <v>708</v>
      </c>
      <c r="D96" s="10" t="s">
        <v>709</v>
      </c>
      <c r="E96" s="10" t="s">
        <v>815</v>
      </c>
      <c r="F96" s="10" t="s">
        <v>819</v>
      </c>
      <c r="G96" s="10" t="s">
        <v>1259</v>
      </c>
      <c r="H96" s="10" t="s">
        <v>734</v>
      </c>
      <c r="I96" s="6" t="str" cm="1">
        <f t="array" ref="I96">_xlfn.IFS(
    OR(H96="A1", H96="A2", H96="G1"), "사원",
    OR(H96="G2", H96="G3"), "선임",
    OR(H96="G4", H96="G5"), "책임"
)</f>
        <v>책임</v>
      </c>
      <c r="J96" s="11">
        <v>40909</v>
      </c>
      <c r="K96" s="11">
        <v>46753</v>
      </c>
      <c r="L96" s="10" t="s">
        <v>837</v>
      </c>
    </row>
    <row r="97" spans="1:12" x14ac:dyDescent="0.45">
      <c r="A97" s="6">
        <v>96</v>
      </c>
      <c r="B97" s="10" t="s">
        <v>1159</v>
      </c>
      <c r="C97" s="10" t="s">
        <v>708</v>
      </c>
      <c r="D97" s="10" t="s">
        <v>709</v>
      </c>
      <c r="E97" s="10" t="s">
        <v>815</v>
      </c>
      <c r="F97" s="10" t="s">
        <v>830</v>
      </c>
      <c r="G97" s="10" t="s">
        <v>1260</v>
      </c>
      <c r="H97" s="10" t="s">
        <v>734</v>
      </c>
      <c r="I97" s="6" t="str" cm="1">
        <f t="array" ref="I97">_xlfn.IFS(
    OR(H97="A1", H97="A2", H97="G1"), "사원",
    OR(H97="G2", H97="G3"), "선임",
    OR(H97="G4", H97="G5"), "책임"
)</f>
        <v>책임</v>
      </c>
      <c r="J97" s="11">
        <v>42163</v>
      </c>
      <c r="K97" s="11">
        <v>46753</v>
      </c>
      <c r="L97" s="10" t="s">
        <v>838</v>
      </c>
    </row>
    <row r="98" spans="1:12" x14ac:dyDescent="0.45">
      <c r="A98" s="6">
        <v>97</v>
      </c>
      <c r="B98" s="10" t="s">
        <v>1159</v>
      </c>
      <c r="C98" s="10" t="s">
        <v>708</v>
      </c>
      <c r="D98" s="10" t="s">
        <v>709</v>
      </c>
      <c r="E98" s="10" t="s">
        <v>815</v>
      </c>
      <c r="F98" s="10" t="s">
        <v>823</v>
      </c>
      <c r="G98" s="10" t="s">
        <v>1261</v>
      </c>
      <c r="H98" s="10" t="s">
        <v>734</v>
      </c>
      <c r="I98" s="6" t="str" cm="1">
        <f t="array" ref="I98">_xlfn.IFS(
    OR(H98="A1", H98="A2", H98="G1"), "사원",
    OR(H98="G2", H98="G3"), "선임",
    OR(H98="G4", H98="G5"), "책임"
)</f>
        <v>책임</v>
      </c>
      <c r="J98" s="11">
        <v>42705</v>
      </c>
      <c r="K98" s="11">
        <v>46388</v>
      </c>
      <c r="L98" s="10" t="s">
        <v>839</v>
      </c>
    </row>
    <row r="99" spans="1:12" x14ac:dyDescent="0.45">
      <c r="A99" s="6">
        <v>98</v>
      </c>
      <c r="B99" s="10" t="s">
        <v>1159</v>
      </c>
      <c r="C99" s="10" t="s">
        <v>708</v>
      </c>
      <c r="D99" s="10" t="s">
        <v>709</v>
      </c>
      <c r="E99" s="10" t="s">
        <v>815</v>
      </c>
      <c r="F99" s="10" t="s">
        <v>827</v>
      </c>
      <c r="G99" s="10" t="s">
        <v>1262</v>
      </c>
      <c r="H99" s="10" t="s">
        <v>734</v>
      </c>
      <c r="I99" s="6" t="str" cm="1">
        <f t="array" ref="I99">_xlfn.IFS(
    OR(H99="A1", H99="A2", H99="G1"), "사원",
    OR(H99="G2", H99="G3"), "선임",
    OR(H99="G4", H99="G5"), "책임"
)</f>
        <v>책임</v>
      </c>
      <c r="J99" s="11">
        <v>39142</v>
      </c>
      <c r="K99" s="11">
        <v>46388</v>
      </c>
      <c r="L99" s="10" t="s">
        <v>840</v>
      </c>
    </row>
    <row r="100" spans="1:12" x14ac:dyDescent="0.45">
      <c r="A100" s="6">
        <v>99</v>
      </c>
      <c r="B100" s="10" t="s">
        <v>1159</v>
      </c>
      <c r="C100" s="10" t="s">
        <v>708</v>
      </c>
      <c r="D100" s="10" t="s">
        <v>709</v>
      </c>
      <c r="E100" s="10" t="s">
        <v>815</v>
      </c>
      <c r="F100" s="10" t="s">
        <v>823</v>
      </c>
      <c r="G100" s="10" t="s">
        <v>1263</v>
      </c>
      <c r="H100" s="10" t="s">
        <v>734</v>
      </c>
      <c r="I100" s="6" t="str" cm="1">
        <f t="array" ref="I100">_xlfn.IFS(
    OR(H100="A1", H100="A2", H100="G1"), "사원",
    OR(H100="G2", H100="G3"), "선임",
    OR(H100="G4", H100="G5"), "책임"
)</f>
        <v>책임</v>
      </c>
      <c r="J100" s="11">
        <v>38169</v>
      </c>
      <c r="K100" s="11">
        <v>47119</v>
      </c>
      <c r="L100" s="10" t="s">
        <v>841</v>
      </c>
    </row>
    <row r="101" spans="1:12" x14ac:dyDescent="0.45">
      <c r="A101" s="6">
        <v>100</v>
      </c>
      <c r="B101" s="10" t="s">
        <v>1159</v>
      </c>
      <c r="C101" s="10" t="s">
        <v>708</v>
      </c>
      <c r="D101" s="10" t="s">
        <v>709</v>
      </c>
      <c r="E101" s="10" t="s">
        <v>815</v>
      </c>
      <c r="F101" s="10" t="s">
        <v>823</v>
      </c>
      <c r="G101" s="10" t="s">
        <v>1264</v>
      </c>
      <c r="H101" s="10" t="s">
        <v>757</v>
      </c>
      <c r="I101" s="6" t="str" cm="1">
        <f t="array" ref="I101">_xlfn.IFS(
    OR(H101="A1", H101="A2", H101="G1"), "사원",
    OR(H101="G2", H101="G3"), "선임",
    OR(H101="G4", H101="G5"), "책임"
)</f>
        <v>선임</v>
      </c>
      <c r="J101" s="11">
        <v>42370</v>
      </c>
      <c r="K101" s="11">
        <v>47119</v>
      </c>
      <c r="L101" s="10" t="s">
        <v>842</v>
      </c>
    </row>
    <row r="102" spans="1:12" x14ac:dyDescent="0.45">
      <c r="A102" s="6">
        <v>101</v>
      </c>
      <c r="B102" s="10" t="s">
        <v>1159</v>
      </c>
      <c r="C102" s="10" t="s">
        <v>708</v>
      </c>
      <c r="D102" s="10" t="s">
        <v>709</v>
      </c>
      <c r="E102" s="10" t="s">
        <v>815</v>
      </c>
      <c r="F102" s="10" t="s">
        <v>819</v>
      </c>
      <c r="G102" s="10" t="s">
        <v>1265</v>
      </c>
      <c r="H102" s="10" t="s">
        <v>757</v>
      </c>
      <c r="I102" s="6" t="str" cm="1">
        <f t="array" ref="I102">_xlfn.IFS(
    OR(H102="A1", H102="A2", H102="G1"), "사원",
    OR(H102="G2", H102="G3"), "선임",
    OR(H102="G4", H102="G5"), "책임"
)</f>
        <v>선임</v>
      </c>
      <c r="J102" s="11">
        <v>40544</v>
      </c>
      <c r="K102" s="11">
        <v>45658</v>
      </c>
      <c r="L102" s="10" t="s">
        <v>843</v>
      </c>
    </row>
    <row r="103" spans="1:12" x14ac:dyDescent="0.45">
      <c r="A103" s="6">
        <v>102</v>
      </c>
      <c r="B103" s="10" t="s">
        <v>1159</v>
      </c>
      <c r="C103" s="10" t="s">
        <v>708</v>
      </c>
      <c r="D103" s="10" t="s">
        <v>709</v>
      </c>
      <c r="E103" s="10" t="s">
        <v>815</v>
      </c>
      <c r="F103" s="10" t="s">
        <v>835</v>
      </c>
      <c r="G103" s="10" t="s">
        <v>1266</v>
      </c>
      <c r="H103" s="10" t="s">
        <v>757</v>
      </c>
      <c r="I103" s="6" t="str" cm="1">
        <f t="array" ref="I103">_xlfn.IFS(
    OR(H103="A1", H103="A2", H103="G1"), "사원",
    OR(H103="G2", H103="G3"), "선임",
    OR(H103="G4", H103="G5"), "책임"
)</f>
        <v>선임</v>
      </c>
      <c r="J103" s="11">
        <v>45355</v>
      </c>
      <c r="K103" s="11">
        <v>45658</v>
      </c>
      <c r="L103" s="10" t="s">
        <v>844</v>
      </c>
    </row>
    <row r="104" spans="1:12" x14ac:dyDescent="0.45">
      <c r="A104" s="6">
        <v>103</v>
      </c>
      <c r="B104" s="10" t="s">
        <v>1159</v>
      </c>
      <c r="C104" s="10" t="s">
        <v>708</v>
      </c>
      <c r="D104" s="10" t="s">
        <v>709</v>
      </c>
      <c r="E104" s="10" t="s">
        <v>815</v>
      </c>
      <c r="F104" s="10" t="s">
        <v>823</v>
      </c>
      <c r="G104" s="10" t="s">
        <v>1267</v>
      </c>
      <c r="H104" s="10" t="s">
        <v>757</v>
      </c>
      <c r="I104" s="6" t="str" cm="1">
        <f t="array" ref="I104">_xlfn.IFS(
    OR(H104="A1", H104="A2", H104="G1"), "사원",
    OR(H104="G2", H104="G3"), "선임",
    OR(H104="G4", H104="G5"), "책임"
)</f>
        <v>선임</v>
      </c>
      <c r="J104" s="11">
        <v>41556</v>
      </c>
      <c r="K104" s="11">
        <v>46388</v>
      </c>
      <c r="L104" s="10" t="s">
        <v>845</v>
      </c>
    </row>
    <row r="105" spans="1:12" x14ac:dyDescent="0.45">
      <c r="A105" s="6">
        <v>104</v>
      </c>
      <c r="B105" s="10" t="s">
        <v>1159</v>
      </c>
      <c r="C105" s="10" t="s">
        <v>708</v>
      </c>
      <c r="D105" s="10" t="s">
        <v>709</v>
      </c>
      <c r="E105" s="10" t="s">
        <v>815</v>
      </c>
      <c r="F105" s="10" t="s">
        <v>819</v>
      </c>
      <c r="G105" s="10" t="s">
        <v>1268</v>
      </c>
      <c r="H105" s="10" t="s">
        <v>757</v>
      </c>
      <c r="I105" s="6" t="str" cm="1">
        <f t="array" ref="I105">_xlfn.IFS(
    OR(H105="A1", H105="A2", H105="G1"), "사원",
    OR(H105="G2", H105="G3"), "선임",
    OR(H105="G4", H105="G5"), "책임"
)</f>
        <v>선임</v>
      </c>
      <c r="J105" s="11">
        <v>38110</v>
      </c>
      <c r="K105" s="11">
        <v>46388</v>
      </c>
      <c r="L105" s="10" t="s">
        <v>846</v>
      </c>
    </row>
    <row r="106" spans="1:12" x14ac:dyDescent="0.45">
      <c r="A106" s="6">
        <v>105</v>
      </c>
      <c r="B106" s="10" t="s">
        <v>1159</v>
      </c>
      <c r="C106" s="10" t="s">
        <v>708</v>
      </c>
      <c r="D106" s="10" t="s">
        <v>709</v>
      </c>
      <c r="E106" s="10" t="s">
        <v>815</v>
      </c>
      <c r="F106" s="10" t="s">
        <v>821</v>
      </c>
      <c r="G106" s="10" t="s">
        <v>1269</v>
      </c>
      <c r="H106" s="10" t="s">
        <v>757</v>
      </c>
      <c r="I106" s="6" t="str" cm="1">
        <f t="array" ref="I106">_xlfn.IFS(
    OR(H106="A1", H106="A2", H106="G1"), "사원",
    OR(H106="G2", H106="G3"), "선임",
    OR(H106="G4", H106="G5"), "책임"
)</f>
        <v>선임</v>
      </c>
      <c r="J106" s="11">
        <v>41841</v>
      </c>
      <c r="K106" s="11">
        <v>46753</v>
      </c>
      <c r="L106" s="10" t="s">
        <v>847</v>
      </c>
    </row>
    <row r="107" spans="1:12" x14ac:dyDescent="0.45">
      <c r="A107" s="6">
        <v>106</v>
      </c>
      <c r="B107" s="10" t="s">
        <v>1159</v>
      </c>
      <c r="C107" s="10" t="s">
        <v>708</v>
      </c>
      <c r="D107" s="10" t="s">
        <v>709</v>
      </c>
      <c r="E107" s="10" t="s">
        <v>815</v>
      </c>
      <c r="F107" s="10" t="s">
        <v>827</v>
      </c>
      <c r="G107" s="10" t="s">
        <v>1270</v>
      </c>
      <c r="H107" s="10" t="s">
        <v>757</v>
      </c>
      <c r="I107" s="6" t="str" cm="1">
        <f t="array" ref="I107">_xlfn.IFS(
    OR(H107="A1", H107="A2", H107="G1"), "사원",
    OR(H107="G2", H107="G3"), "선임",
    OR(H107="G4", H107="G5"), "책임"
)</f>
        <v>선임</v>
      </c>
      <c r="J107" s="11">
        <v>40581</v>
      </c>
      <c r="K107" s="11">
        <v>46388</v>
      </c>
      <c r="L107" s="10" t="s">
        <v>848</v>
      </c>
    </row>
    <row r="108" spans="1:12" x14ac:dyDescent="0.45">
      <c r="A108" s="6">
        <v>107</v>
      </c>
      <c r="B108" s="10" t="s">
        <v>1159</v>
      </c>
      <c r="C108" s="10" t="s">
        <v>708</v>
      </c>
      <c r="D108" s="10" t="s">
        <v>709</v>
      </c>
      <c r="E108" s="10" t="s">
        <v>815</v>
      </c>
      <c r="F108" s="10" t="s">
        <v>821</v>
      </c>
      <c r="G108" s="10" t="s">
        <v>1271</v>
      </c>
      <c r="H108" s="10" t="s">
        <v>757</v>
      </c>
      <c r="I108" s="6" t="str" cm="1">
        <f t="array" ref="I108">_xlfn.IFS(
    OR(H108="A1", H108="A2", H108="G1"), "사원",
    OR(H108="G2", H108="G3"), "선임",
    OR(H108="G4", H108="G5"), "책임"
)</f>
        <v>선임</v>
      </c>
      <c r="J108" s="11">
        <v>45203</v>
      </c>
      <c r="K108" s="11">
        <v>47119</v>
      </c>
      <c r="L108" s="10" t="s">
        <v>849</v>
      </c>
    </row>
    <row r="109" spans="1:12" x14ac:dyDescent="0.45">
      <c r="A109" s="6">
        <v>108</v>
      </c>
      <c r="B109" s="10" t="s">
        <v>1159</v>
      </c>
      <c r="C109" s="10" t="s">
        <v>708</v>
      </c>
      <c r="D109" s="10" t="s">
        <v>709</v>
      </c>
      <c r="E109" s="10" t="s">
        <v>815</v>
      </c>
      <c r="F109" s="10" t="s">
        <v>827</v>
      </c>
      <c r="G109" s="10" t="s">
        <v>1272</v>
      </c>
      <c r="H109" s="10" t="s">
        <v>757</v>
      </c>
      <c r="I109" s="6" t="str" cm="1">
        <f t="array" ref="I109">_xlfn.IFS(
    OR(H109="A1", H109="A2", H109="G1"), "사원",
    OR(H109="G2", H109="G3"), "선임",
    OR(H109="G4", H109="G5"), "책임"
)</f>
        <v>선임</v>
      </c>
      <c r="J109" s="11">
        <v>41766</v>
      </c>
      <c r="K109" s="11">
        <v>46753</v>
      </c>
      <c r="L109" s="10" t="s">
        <v>850</v>
      </c>
    </row>
    <row r="110" spans="1:12" x14ac:dyDescent="0.45">
      <c r="A110" s="6">
        <v>109</v>
      </c>
      <c r="B110" s="10" t="s">
        <v>1159</v>
      </c>
      <c r="C110" s="10" t="s">
        <v>708</v>
      </c>
      <c r="D110" s="10" t="s">
        <v>709</v>
      </c>
      <c r="E110" s="10" t="s">
        <v>815</v>
      </c>
      <c r="F110" s="10" t="s">
        <v>823</v>
      </c>
      <c r="G110" s="10" t="s">
        <v>1273</v>
      </c>
      <c r="H110" s="10" t="s">
        <v>757</v>
      </c>
      <c r="I110" s="6" t="str" cm="1">
        <f t="array" ref="I110">_xlfn.IFS(
    OR(H110="A1", H110="A2", H110="G1"), "사원",
    OR(H110="G2", H110="G3"), "선임",
    OR(H110="G4", H110="G5"), "책임"
)</f>
        <v>선임</v>
      </c>
      <c r="J110" s="11">
        <v>42005</v>
      </c>
      <c r="K110" s="11">
        <v>47119</v>
      </c>
      <c r="L110" s="10" t="s">
        <v>851</v>
      </c>
    </row>
    <row r="111" spans="1:12" x14ac:dyDescent="0.45">
      <c r="A111" s="6">
        <v>110</v>
      </c>
      <c r="B111" s="10" t="s">
        <v>1159</v>
      </c>
      <c r="C111" s="10" t="s">
        <v>708</v>
      </c>
      <c r="D111" s="10" t="s">
        <v>709</v>
      </c>
      <c r="E111" s="10" t="s">
        <v>815</v>
      </c>
      <c r="F111" s="10" t="s">
        <v>819</v>
      </c>
      <c r="G111" s="10" t="s">
        <v>1274</v>
      </c>
      <c r="H111" s="10" t="s">
        <v>757</v>
      </c>
      <c r="I111" s="6" t="str" cm="1">
        <f t="array" ref="I111">_xlfn.IFS(
    OR(H111="A1", H111="A2", H111="G1"), "사원",
    OR(H111="G2", H111="G3"), "선임",
    OR(H111="G4", H111="G5"), "책임"
)</f>
        <v>선임</v>
      </c>
      <c r="J111" s="11">
        <v>42191</v>
      </c>
      <c r="K111" s="11">
        <v>47484</v>
      </c>
      <c r="L111" s="10" t="s">
        <v>852</v>
      </c>
    </row>
    <row r="112" spans="1:12" x14ac:dyDescent="0.45">
      <c r="A112" s="6">
        <v>111</v>
      </c>
      <c r="B112" s="10" t="s">
        <v>1159</v>
      </c>
      <c r="C112" s="10" t="s">
        <v>708</v>
      </c>
      <c r="D112" s="10" t="s">
        <v>709</v>
      </c>
      <c r="E112" s="10" t="s">
        <v>815</v>
      </c>
      <c r="F112" s="10" t="s">
        <v>821</v>
      </c>
      <c r="G112" s="10" t="s">
        <v>1275</v>
      </c>
      <c r="H112" s="10" t="s">
        <v>757</v>
      </c>
      <c r="I112" s="6" t="str" cm="1">
        <f t="array" ref="I112">_xlfn.IFS(
    OR(H112="A1", H112="A2", H112="G1"), "사원",
    OR(H112="G2", H112="G3"), "선임",
    OR(H112="G4", H112="G5"), "책임"
)</f>
        <v>선임</v>
      </c>
      <c r="J112" s="11">
        <v>42303</v>
      </c>
      <c r="K112" s="11">
        <v>47119</v>
      </c>
      <c r="L112" s="10" t="s">
        <v>853</v>
      </c>
    </row>
    <row r="113" spans="1:12" x14ac:dyDescent="0.45">
      <c r="A113" s="6">
        <v>112</v>
      </c>
      <c r="B113" s="10" t="s">
        <v>1159</v>
      </c>
      <c r="C113" s="10" t="s">
        <v>708</v>
      </c>
      <c r="D113" s="10" t="s">
        <v>709</v>
      </c>
      <c r="E113" s="10" t="s">
        <v>815</v>
      </c>
      <c r="F113" s="10" t="s">
        <v>819</v>
      </c>
      <c r="G113" s="10" t="s">
        <v>1276</v>
      </c>
      <c r="H113" s="10" t="s">
        <v>757</v>
      </c>
      <c r="I113" s="6" t="str" cm="1">
        <f t="array" ref="I113">_xlfn.IFS(
    OR(H113="A1", H113="A2", H113="G1"), "사원",
    OR(H113="G2", H113="G3"), "선임",
    OR(H113="G4", H113="G5"), "책임"
)</f>
        <v>선임</v>
      </c>
      <c r="J113" s="11">
        <v>40308</v>
      </c>
      <c r="K113" s="11">
        <v>46023</v>
      </c>
      <c r="L113" s="10" t="s">
        <v>854</v>
      </c>
    </row>
    <row r="114" spans="1:12" x14ac:dyDescent="0.45">
      <c r="A114" s="6">
        <v>113</v>
      </c>
      <c r="B114" s="10" t="s">
        <v>1159</v>
      </c>
      <c r="C114" s="10" t="s">
        <v>708</v>
      </c>
      <c r="D114" s="10" t="s">
        <v>709</v>
      </c>
      <c r="E114" s="10" t="s">
        <v>815</v>
      </c>
      <c r="F114" s="10" t="s">
        <v>819</v>
      </c>
      <c r="G114" s="10" t="s">
        <v>1277</v>
      </c>
      <c r="H114" s="10" t="s">
        <v>779</v>
      </c>
      <c r="I114" s="6" t="str" cm="1">
        <f t="array" ref="I114">_xlfn.IFS(
    OR(H114="A1", H114="A2", H114="G1"), "사원",
    OR(H114="G2", H114="G3"), "선임",
    OR(H114="G4", H114="G5"), "책임"
)</f>
        <v>선임</v>
      </c>
      <c r="J114" s="11">
        <v>45278</v>
      </c>
      <c r="K114" s="11">
        <v>46023</v>
      </c>
      <c r="L114" s="10" t="s">
        <v>855</v>
      </c>
    </row>
    <row r="115" spans="1:12" x14ac:dyDescent="0.45">
      <c r="A115" s="6">
        <v>114</v>
      </c>
      <c r="B115" s="10" t="s">
        <v>1159</v>
      </c>
      <c r="C115" s="10" t="s">
        <v>708</v>
      </c>
      <c r="D115" s="10" t="s">
        <v>709</v>
      </c>
      <c r="E115" s="10" t="s">
        <v>815</v>
      </c>
      <c r="F115" s="10" t="s">
        <v>819</v>
      </c>
      <c r="G115" s="10" t="s">
        <v>1278</v>
      </c>
      <c r="H115" s="10" t="s">
        <v>779</v>
      </c>
      <c r="I115" s="6" t="str" cm="1">
        <f t="array" ref="I115">_xlfn.IFS(
    OR(H115="A1", H115="A2", H115="G1"), "사원",
    OR(H115="G2", H115="G3"), "선임",
    OR(H115="G4", H115="G5"), "책임"
)</f>
        <v>선임</v>
      </c>
      <c r="J115" s="11">
        <v>45278</v>
      </c>
      <c r="K115" s="11">
        <v>46388</v>
      </c>
      <c r="L115" s="10" t="s">
        <v>856</v>
      </c>
    </row>
    <row r="116" spans="1:12" x14ac:dyDescent="0.45">
      <c r="A116" s="6">
        <v>115</v>
      </c>
      <c r="B116" s="10" t="s">
        <v>1159</v>
      </c>
      <c r="C116" s="10" t="s">
        <v>708</v>
      </c>
      <c r="D116" s="10" t="s">
        <v>709</v>
      </c>
      <c r="E116" s="10" t="s">
        <v>815</v>
      </c>
      <c r="F116" s="10" t="s">
        <v>823</v>
      </c>
      <c r="G116" s="10" t="s">
        <v>1279</v>
      </c>
      <c r="H116" s="10" t="s">
        <v>779</v>
      </c>
      <c r="I116" s="6" t="str" cm="1">
        <f t="array" ref="I116">_xlfn.IFS(
    OR(H116="A1", H116="A2", H116="G1"), "사원",
    OR(H116="G2", H116="G3"), "선임",
    OR(H116="G4", H116="G5"), "책임"
)</f>
        <v>선임</v>
      </c>
      <c r="J116" s="11">
        <v>45243</v>
      </c>
      <c r="K116" s="11">
        <v>47484</v>
      </c>
      <c r="L116" s="10" t="s">
        <v>857</v>
      </c>
    </row>
    <row r="117" spans="1:12" x14ac:dyDescent="0.45">
      <c r="A117" s="6">
        <v>116</v>
      </c>
      <c r="B117" s="10" t="s">
        <v>1159</v>
      </c>
      <c r="C117" s="10" t="s">
        <v>708</v>
      </c>
      <c r="D117" s="10" t="s">
        <v>709</v>
      </c>
      <c r="E117" s="10" t="s">
        <v>815</v>
      </c>
      <c r="F117" s="10" t="s">
        <v>835</v>
      </c>
      <c r="G117" s="10" t="s">
        <v>1280</v>
      </c>
      <c r="H117" s="10" t="s">
        <v>779</v>
      </c>
      <c r="I117" s="6" t="str" cm="1">
        <f t="array" ref="I117">_xlfn.IFS(
    OR(H117="A1", H117="A2", H117="G1"), "사원",
    OR(H117="G2", H117="G3"), "선임",
    OR(H117="G4", H117="G5"), "책임"
)</f>
        <v>선임</v>
      </c>
      <c r="J117" s="11">
        <v>45203</v>
      </c>
      <c r="K117" s="11">
        <v>47119</v>
      </c>
      <c r="L117" s="10" t="s">
        <v>858</v>
      </c>
    </row>
    <row r="118" spans="1:12" x14ac:dyDescent="0.45">
      <c r="A118" s="6">
        <v>117</v>
      </c>
      <c r="B118" s="10" t="s">
        <v>1159</v>
      </c>
      <c r="C118" s="10" t="s">
        <v>708</v>
      </c>
      <c r="D118" s="10" t="s">
        <v>709</v>
      </c>
      <c r="E118" s="10" t="s">
        <v>815</v>
      </c>
      <c r="F118" s="10" t="s">
        <v>819</v>
      </c>
      <c r="G118" s="10" t="s">
        <v>1281</v>
      </c>
      <c r="H118" s="10" t="s">
        <v>779</v>
      </c>
      <c r="I118" s="6" t="str" cm="1">
        <f t="array" ref="I118">_xlfn.IFS(
    OR(H118="A1", H118="A2", H118="G1"), "사원",
    OR(H118="G2", H118="G3"), "선임",
    OR(H118="G4", H118="G5"), "책임"
)</f>
        <v>선임</v>
      </c>
      <c r="J118" s="11">
        <v>45076</v>
      </c>
      <c r="K118" s="11">
        <v>47484</v>
      </c>
      <c r="L118" s="10" t="s">
        <v>859</v>
      </c>
    </row>
    <row r="119" spans="1:12" x14ac:dyDescent="0.45">
      <c r="A119" s="6">
        <v>118</v>
      </c>
      <c r="B119" s="10" t="s">
        <v>1159</v>
      </c>
      <c r="C119" s="10" t="s">
        <v>708</v>
      </c>
      <c r="D119" s="10" t="s">
        <v>709</v>
      </c>
      <c r="E119" s="10" t="s">
        <v>815</v>
      </c>
      <c r="F119" s="10" t="s">
        <v>823</v>
      </c>
      <c r="G119" s="10" t="s">
        <v>1282</v>
      </c>
      <c r="H119" s="10" t="s">
        <v>779</v>
      </c>
      <c r="I119" s="6" t="str" cm="1">
        <f t="array" ref="I119">_xlfn.IFS(
    OR(H119="A1", H119="A2", H119="G1"), "사원",
    OR(H119="G2", H119="G3"), "선임",
    OR(H119="G4", H119="G5"), "책임"
)</f>
        <v>선임</v>
      </c>
      <c r="J119" s="11">
        <v>45076</v>
      </c>
      <c r="K119" s="11">
        <v>46023</v>
      </c>
      <c r="L119" s="10" t="s">
        <v>860</v>
      </c>
    </row>
    <row r="120" spans="1:12" x14ac:dyDescent="0.45">
      <c r="A120" s="6">
        <v>119</v>
      </c>
      <c r="B120" s="10" t="s">
        <v>1159</v>
      </c>
      <c r="C120" s="10" t="s">
        <v>708</v>
      </c>
      <c r="D120" s="10" t="s">
        <v>709</v>
      </c>
      <c r="E120" s="10" t="s">
        <v>815</v>
      </c>
      <c r="F120" s="10" t="s">
        <v>835</v>
      </c>
      <c r="G120" s="10" t="s">
        <v>1283</v>
      </c>
      <c r="H120" s="10" t="s">
        <v>779</v>
      </c>
      <c r="I120" s="6" t="str" cm="1">
        <f t="array" ref="I120">_xlfn.IFS(
    OR(H120="A1", H120="A2", H120="G1"), "사원",
    OR(H120="G2", H120="G3"), "선임",
    OR(H120="G4", H120="G5"), "책임"
)</f>
        <v>선임</v>
      </c>
      <c r="J120" s="11">
        <v>44942</v>
      </c>
      <c r="K120" s="11">
        <v>47484</v>
      </c>
      <c r="L120" s="10" t="s">
        <v>861</v>
      </c>
    </row>
    <row r="121" spans="1:12" x14ac:dyDescent="0.45">
      <c r="A121" s="6">
        <v>120</v>
      </c>
      <c r="B121" s="10" t="s">
        <v>1159</v>
      </c>
      <c r="C121" s="10" t="s">
        <v>708</v>
      </c>
      <c r="D121" s="10" t="s">
        <v>709</v>
      </c>
      <c r="E121" s="10" t="s">
        <v>815</v>
      </c>
      <c r="F121" s="10" t="s">
        <v>827</v>
      </c>
      <c r="G121" s="10" t="s">
        <v>1284</v>
      </c>
      <c r="H121" s="10" t="s">
        <v>779</v>
      </c>
      <c r="I121" s="6" t="str" cm="1">
        <f t="array" ref="I121">_xlfn.IFS(
    OR(H121="A1", H121="A2", H121="G1"), "사원",
    OR(H121="G2", H121="G3"), "선임",
    OR(H121="G4", H121="G5"), "책임"
)</f>
        <v>선임</v>
      </c>
      <c r="J121" s="11">
        <v>44942</v>
      </c>
      <c r="K121" s="11">
        <v>46753</v>
      </c>
      <c r="L121" s="10" t="s">
        <v>862</v>
      </c>
    </row>
    <row r="122" spans="1:12" x14ac:dyDescent="0.45">
      <c r="A122" s="6">
        <v>121</v>
      </c>
      <c r="B122" s="10" t="s">
        <v>1159</v>
      </c>
      <c r="C122" s="10" t="s">
        <v>708</v>
      </c>
      <c r="D122" s="10" t="s">
        <v>709</v>
      </c>
      <c r="E122" s="10" t="s">
        <v>815</v>
      </c>
      <c r="F122" s="10" t="s">
        <v>821</v>
      </c>
      <c r="G122" s="10" t="s">
        <v>1285</v>
      </c>
      <c r="H122" s="10" t="s">
        <v>779</v>
      </c>
      <c r="I122" s="6" t="str" cm="1">
        <f t="array" ref="I122">_xlfn.IFS(
    OR(H122="A1", H122="A2", H122="G1"), "사원",
    OR(H122="G2", H122="G3"), "선임",
    OR(H122="G4", H122="G5"), "책임"
)</f>
        <v>선임</v>
      </c>
      <c r="J122" s="11">
        <v>44921</v>
      </c>
      <c r="K122" s="11">
        <v>45292</v>
      </c>
      <c r="L122" s="10" t="s">
        <v>863</v>
      </c>
    </row>
    <row r="123" spans="1:12" x14ac:dyDescent="0.45">
      <c r="A123" s="6">
        <v>122</v>
      </c>
      <c r="B123" s="10" t="s">
        <v>1159</v>
      </c>
      <c r="C123" s="10" t="s">
        <v>708</v>
      </c>
      <c r="D123" s="10" t="s">
        <v>709</v>
      </c>
      <c r="E123" s="10" t="s">
        <v>815</v>
      </c>
      <c r="F123" s="10" t="s">
        <v>830</v>
      </c>
      <c r="G123" s="10" t="s">
        <v>1286</v>
      </c>
      <c r="H123" s="10" t="s">
        <v>779</v>
      </c>
      <c r="I123" s="6" t="str" cm="1">
        <f t="array" ref="I123">_xlfn.IFS(
    OR(H123="A1", H123="A2", H123="G1"), "사원",
    OR(H123="G2", H123="G3"), "선임",
    OR(H123="G4", H123="G5"), "책임"
)</f>
        <v>선임</v>
      </c>
      <c r="J123" s="11">
        <v>44795</v>
      </c>
      <c r="K123" s="11">
        <v>47119</v>
      </c>
      <c r="L123" s="10" t="s">
        <v>864</v>
      </c>
    </row>
    <row r="124" spans="1:12" x14ac:dyDescent="0.45">
      <c r="A124" s="6">
        <v>123</v>
      </c>
      <c r="B124" s="10" t="s">
        <v>1159</v>
      </c>
      <c r="C124" s="10" t="s">
        <v>708</v>
      </c>
      <c r="D124" s="10" t="s">
        <v>709</v>
      </c>
      <c r="E124" s="10" t="s">
        <v>815</v>
      </c>
      <c r="F124" s="10" t="s">
        <v>827</v>
      </c>
      <c r="G124" s="10" t="s">
        <v>1287</v>
      </c>
      <c r="H124" s="10" t="s">
        <v>779</v>
      </c>
      <c r="I124" s="6" t="str" cm="1">
        <f t="array" ref="I124">_xlfn.IFS(
    OR(H124="A1", H124="A2", H124="G1"), "사원",
    OR(H124="G2", H124="G3"), "선임",
    OR(H124="G4", H124="G5"), "책임"
)</f>
        <v>선임</v>
      </c>
      <c r="J124" s="11">
        <v>44795</v>
      </c>
      <c r="K124" s="11">
        <v>46753</v>
      </c>
      <c r="L124" s="10" t="s">
        <v>865</v>
      </c>
    </row>
    <row r="125" spans="1:12" x14ac:dyDescent="0.45">
      <c r="A125" s="6">
        <v>124</v>
      </c>
      <c r="B125" s="10" t="s">
        <v>1159</v>
      </c>
      <c r="C125" s="10" t="s">
        <v>708</v>
      </c>
      <c r="D125" s="10" t="s">
        <v>709</v>
      </c>
      <c r="E125" s="10" t="s">
        <v>815</v>
      </c>
      <c r="F125" s="10" t="s">
        <v>835</v>
      </c>
      <c r="G125" s="10" t="s">
        <v>1288</v>
      </c>
      <c r="H125" s="10" t="s">
        <v>779</v>
      </c>
      <c r="I125" s="6" t="str" cm="1">
        <f t="array" ref="I125">_xlfn.IFS(
    OR(H125="A1", H125="A2", H125="G1"), "사원",
    OR(H125="G2", H125="G3"), "선임",
    OR(H125="G4", H125="G5"), "책임"
)</f>
        <v>선임</v>
      </c>
      <c r="J125" s="11">
        <v>45803</v>
      </c>
      <c r="K125" s="11">
        <v>46753</v>
      </c>
      <c r="L125" s="10" t="s">
        <v>866</v>
      </c>
    </row>
    <row r="126" spans="1:12" x14ac:dyDescent="0.45">
      <c r="A126" s="6">
        <v>125</v>
      </c>
      <c r="B126" s="10" t="s">
        <v>1159</v>
      </c>
      <c r="C126" s="10" t="s">
        <v>708</v>
      </c>
      <c r="D126" s="10" t="s">
        <v>709</v>
      </c>
      <c r="E126" s="10" t="s">
        <v>815</v>
      </c>
      <c r="F126" s="10" t="s">
        <v>823</v>
      </c>
      <c r="G126" s="10" t="s">
        <v>1289</v>
      </c>
      <c r="H126" s="10" t="s">
        <v>779</v>
      </c>
      <c r="I126" s="6" t="str" cm="1">
        <f t="array" ref="I126">_xlfn.IFS(
    OR(H126="A1", H126="A2", H126="G1"), "사원",
    OR(H126="G2", H126="G3"), "선임",
    OR(H126="G4", H126="G5"), "책임"
)</f>
        <v>선임</v>
      </c>
      <c r="J126" s="11">
        <v>45789</v>
      </c>
      <c r="K126" s="11">
        <v>46753</v>
      </c>
      <c r="L126" s="10" t="s">
        <v>867</v>
      </c>
    </row>
    <row r="127" spans="1:12" x14ac:dyDescent="0.45">
      <c r="A127" s="6">
        <v>126</v>
      </c>
      <c r="B127" s="10" t="s">
        <v>1159</v>
      </c>
      <c r="C127" s="10" t="s">
        <v>708</v>
      </c>
      <c r="D127" s="10" t="s">
        <v>709</v>
      </c>
      <c r="E127" s="10" t="s">
        <v>815</v>
      </c>
      <c r="F127" s="10" t="s">
        <v>827</v>
      </c>
      <c r="G127" s="10" t="s">
        <v>1290</v>
      </c>
      <c r="H127" s="10" t="s">
        <v>779</v>
      </c>
      <c r="I127" s="6" t="str" cm="1">
        <f t="array" ref="I127">_xlfn.IFS(
    OR(H127="A1", H127="A2", H127="G1"), "사원",
    OR(H127="G2", H127="G3"), "선임",
    OR(H127="G4", H127="G5"), "책임"
)</f>
        <v>선임</v>
      </c>
      <c r="J127" s="11">
        <v>37606</v>
      </c>
      <c r="K127" s="11">
        <v>44197</v>
      </c>
      <c r="L127" s="10" t="s">
        <v>868</v>
      </c>
    </row>
    <row r="128" spans="1:12" x14ac:dyDescent="0.45">
      <c r="A128" s="6">
        <v>127</v>
      </c>
      <c r="B128" s="10" t="s">
        <v>1159</v>
      </c>
      <c r="C128" s="10" t="s">
        <v>708</v>
      </c>
      <c r="D128" s="10" t="s">
        <v>709</v>
      </c>
      <c r="E128" s="10" t="s">
        <v>815</v>
      </c>
      <c r="F128" s="10" t="s">
        <v>830</v>
      </c>
      <c r="G128" s="10" t="s">
        <v>1291</v>
      </c>
      <c r="H128" s="10" t="s">
        <v>779</v>
      </c>
      <c r="I128" s="6" t="str" cm="1">
        <f t="array" ref="I128">_xlfn.IFS(
    OR(H128="A1", H128="A2", H128="G1"), "사원",
    OR(H128="G2", H128="G3"), "선임",
    OR(H128="G4", H128="G5"), "책임"
)</f>
        <v>선임</v>
      </c>
      <c r="J128" s="11">
        <v>45243</v>
      </c>
      <c r="K128" s="11">
        <v>46023</v>
      </c>
      <c r="L128" s="10" t="s">
        <v>869</v>
      </c>
    </row>
    <row r="129" spans="1:12" x14ac:dyDescent="0.45">
      <c r="A129" s="6">
        <v>128</v>
      </c>
      <c r="B129" s="10" t="s">
        <v>1159</v>
      </c>
      <c r="C129" s="10" t="s">
        <v>708</v>
      </c>
      <c r="D129" s="10" t="s">
        <v>709</v>
      </c>
      <c r="E129" s="10" t="s">
        <v>815</v>
      </c>
      <c r="F129" s="10" t="s">
        <v>835</v>
      </c>
      <c r="G129" s="10" t="s">
        <v>1292</v>
      </c>
      <c r="H129" s="10" t="s">
        <v>779</v>
      </c>
      <c r="I129" s="6" t="str" cm="1">
        <f t="array" ref="I129">_xlfn.IFS(
    OR(H129="A1", H129="A2", H129="G1"), "사원",
    OR(H129="G2", H129="G3"), "선임",
    OR(H129="G4", H129="G5"), "책임"
)</f>
        <v>선임</v>
      </c>
      <c r="J129" s="11">
        <v>41802</v>
      </c>
      <c r="K129" s="11">
        <v>46753</v>
      </c>
      <c r="L129" s="10" t="s">
        <v>870</v>
      </c>
    </row>
    <row r="130" spans="1:12" x14ac:dyDescent="0.45">
      <c r="A130" s="6">
        <v>129</v>
      </c>
      <c r="B130" s="10" t="s">
        <v>1159</v>
      </c>
      <c r="C130" s="10" t="s">
        <v>708</v>
      </c>
      <c r="D130" s="10" t="s">
        <v>709</v>
      </c>
      <c r="E130" s="10" t="s">
        <v>815</v>
      </c>
      <c r="F130" s="10" t="s">
        <v>823</v>
      </c>
      <c r="G130" s="10" t="s">
        <v>1293</v>
      </c>
      <c r="H130" s="10" t="s">
        <v>779</v>
      </c>
      <c r="I130" s="6" t="str" cm="1">
        <f t="array" ref="I130">_xlfn.IFS(
    OR(H130="A1", H130="A2", H130="G1"), "사원",
    OR(H130="G2", H130="G3"), "선임",
    OR(H130="G4", H130="G5"), "책임"
)</f>
        <v>선임</v>
      </c>
      <c r="J130" s="11">
        <v>45691</v>
      </c>
      <c r="K130" s="11">
        <v>46753</v>
      </c>
      <c r="L130" s="10" t="s">
        <v>871</v>
      </c>
    </row>
    <row r="131" spans="1:12" x14ac:dyDescent="0.45">
      <c r="A131" s="6">
        <v>130</v>
      </c>
      <c r="B131" s="10" t="s">
        <v>1159</v>
      </c>
      <c r="C131" s="10" t="s">
        <v>708</v>
      </c>
      <c r="D131" s="10" t="s">
        <v>709</v>
      </c>
      <c r="E131" s="10" t="s">
        <v>815</v>
      </c>
      <c r="F131" s="10" t="s">
        <v>819</v>
      </c>
      <c r="G131" s="10" t="s">
        <v>1294</v>
      </c>
      <c r="H131" s="10" t="s">
        <v>779</v>
      </c>
      <c r="I131" s="6" t="str" cm="1">
        <f t="array" ref="I131">_xlfn.IFS(
    OR(H131="A1", H131="A2", H131="G1"), "사원",
    OR(H131="G2", H131="G3"), "선임",
    OR(H131="G4", H131="G5"), "책임"
)</f>
        <v>선임</v>
      </c>
      <c r="J131" s="11">
        <v>45677</v>
      </c>
      <c r="K131" s="11">
        <v>46388</v>
      </c>
      <c r="L131" s="10" t="s">
        <v>872</v>
      </c>
    </row>
    <row r="132" spans="1:12" x14ac:dyDescent="0.45">
      <c r="A132" s="6">
        <v>131</v>
      </c>
      <c r="B132" s="10" t="s">
        <v>1159</v>
      </c>
      <c r="C132" s="10" t="s">
        <v>708</v>
      </c>
      <c r="D132" s="10" t="s">
        <v>709</v>
      </c>
      <c r="E132" s="10" t="s">
        <v>815</v>
      </c>
      <c r="F132" s="10" t="s">
        <v>823</v>
      </c>
      <c r="G132" s="10" t="s">
        <v>1295</v>
      </c>
      <c r="H132" s="10" t="s">
        <v>779</v>
      </c>
      <c r="I132" s="6" t="str" cm="1">
        <f t="array" ref="I132">_xlfn.IFS(
    OR(H132="A1", H132="A2", H132="G1"), "사원",
    OR(H132="G2", H132="G3"), "선임",
    OR(H132="G4", H132="G5"), "책임"
)</f>
        <v>선임</v>
      </c>
      <c r="J132" s="11">
        <v>45432</v>
      </c>
      <c r="K132" s="11">
        <v>46388</v>
      </c>
      <c r="L132" s="10" t="s">
        <v>873</v>
      </c>
    </row>
    <row r="133" spans="1:12" x14ac:dyDescent="0.45">
      <c r="A133" s="6">
        <v>132</v>
      </c>
      <c r="B133" s="10" t="s">
        <v>1159</v>
      </c>
      <c r="C133" s="10" t="s">
        <v>708</v>
      </c>
      <c r="D133" s="10" t="s">
        <v>709</v>
      </c>
      <c r="E133" s="10" t="s">
        <v>815</v>
      </c>
      <c r="F133" s="10" t="s">
        <v>827</v>
      </c>
      <c r="G133" s="10" t="s">
        <v>1296</v>
      </c>
      <c r="H133" s="10" t="s">
        <v>711</v>
      </c>
      <c r="I133" s="6" t="str" cm="1">
        <f t="array" ref="I133">_xlfn.IFS(
    OR(H133="A1", H133="A2", H133="G1"), "사원",
    OR(H133="G2", H133="G3"), "선임",
    OR(H133="G4", H133="G5"), "책임"
)</f>
        <v>사원</v>
      </c>
      <c r="J133" s="11">
        <v>45658</v>
      </c>
      <c r="K133" s="11">
        <v>46753</v>
      </c>
      <c r="L133" s="10" t="s">
        <v>874</v>
      </c>
    </row>
    <row r="134" spans="1:12" x14ac:dyDescent="0.45">
      <c r="A134" s="6">
        <v>133</v>
      </c>
      <c r="B134" s="10" t="s">
        <v>1159</v>
      </c>
      <c r="C134" s="10" t="s">
        <v>708</v>
      </c>
      <c r="D134" s="10" t="s">
        <v>709</v>
      </c>
      <c r="E134" s="10" t="s">
        <v>815</v>
      </c>
      <c r="F134" s="10" t="s">
        <v>830</v>
      </c>
      <c r="G134" s="10" t="s">
        <v>1297</v>
      </c>
      <c r="H134" s="10" t="s">
        <v>711</v>
      </c>
      <c r="I134" s="6" t="str" cm="1">
        <f t="array" ref="I134">_xlfn.IFS(
    OR(H134="A1", H134="A2", H134="G1"), "사원",
    OR(H134="G2", H134="G3"), "선임",
    OR(H134="G4", H134="G5"), "책임"
)</f>
        <v>사원</v>
      </c>
      <c r="J134" s="11">
        <v>45658</v>
      </c>
      <c r="K134" s="11">
        <v>46753</v>
      </c>
      <c r="L134" s="10" t="s">
        <v>875</v>
      </c>
    </row>
    <row r="135" spans="1:12" x14ac:dyDescent="0.45">
      <c r="A135" s="6">
        <v>134</v>
      </c>
      <c r="B135" s="10" t="s">
        <v>1159</v>
      </c>
      <c r="C135" s="10" t="s">
        <v>708</v>
      </c>
      <c r="D135" s="10" t="s">
        <v>709</v>
      </c>
      <c r="E135" s="10" t="s">
        <v>815</v>
      </c>
      <c r="F135" s="10" t="s">
        <v>819</v>
      </c>
      <c r="G135" s="10" t="s">
        <v>1298</v>
      </c>
      <c r="H135" s="10" t="s">
        <v>711</v>
      </c>
      <c r="I135" s="6" t="str" cm="1">
        <f t="array" ref="I135">_xlfn.IFS(
    OR(H135="A1", H135="A2", H135="G1"), "사원",
    OR(H135="G2", H135="G3"), "선임",
    OR(H135="G4", H135="G5"), "책임"
)</f>
        <v>사원</v>
      </c>
      <c r="J135" s="11">
        <v>45677</v>
      </c>
      <c r="K135" s="11">
        <v>46753</v>
      </c>
      <c r="L135" s="10" t="s">
        <v>876</v>
      </c>
    </row>
    <row r="136" spans="1:12" x14ac:dyDescent="0.45">
      <c r="A136" s="6">
        <v>135</v>
      </c>
      <c r="B136" s="10" t="s">
        <v>1159</v>
      </c>
      <c r="C136" s="10" t="s">
        <v>708</v>
      </c>
      <c r="D136" s="10" t="s">
        <v>709</v>
      </c>
      <c r="E136" s="10" t="s">
        <v>815</v>
      </c>
      <c r="F136" s="10" t="s">
        <v>835</v>
      </c>
      <c r="G136" s="10" t="s">
        <v>1299</v>
      </c>
      <c r="H136" s="10" t="s">
        <v>711</v>
      </c>
      <c r="I136" s="6" t="str" cm="1">
        <f t="array" ref="I136">_xlfn.IFS(
    OR(H136="A1", H136="A2", H136="G1"), "사원",
    OR(H136="G2", H136="G3"), "선임",
    OR(H136="G4", H136="G5"), "책임"
)</f>
        <v>사원</v>
      </c>
      <c r="J136" s="11">
        <v>42688</v>
      </c>
      <c r="K136" s="11">
        <v>46023</v>
      </c>
      <c r="L136" s="10" t="s">
        <v>877</v>
      </c>
    </row>
    <row r="137" spans="1:12" x14ac:dyDescent="0.45">
      <c r="A137" s="6">
        <v>136</v>
      </c>
      <c r="B137" s="10" t="s">
        <v>1159</v>
      </c>
      <c r="C137" s="10" t="s">
        <v>708</v>
      </c>
      <c r="D137" s="10" t="s">
        <v>709</v>
      </c>
      <c r="E137" s="10" t="s">
        <v>815</v>
      </c>
      <c r="F137" s="10" t="s">
        <v>821</v>
      </c>
      <c r="G137" s="10" t="s">
        <v>1300</v>
      </c>
      <c r="H137" s="10" t="s">
        <v>711</v>
      </c>
      <c r="I137" s="6" t="str" cm="1">
        <f t="array" ref="I137">_xlfn.IFS(
    OR(H137="A1", H137="A2", H137="G1"), "사원",
    OR(H137="G2", H137="G3"), "선임",
    OR(H137="G4", H137="G5"), "책임"
)</f>
        <v>사원</v>
      </c>
      <c r="J137" s="11">
        <v>45419</v>
      </c>
      <c r="K137" s="11">
        <v>46753</v>
      </c>
      <c r="L137" s="10" t="s">
        <v>878</v>
      </c>
    </row>
    <row r="138" spans="1:12" x14ac:dyDescent="0.45">
      <c r="A138" s="6">
        <v>137</v>
      </c>
      <c r="B138" s="10" t="s">
        <v>1159</v>
      </c>
      <c r="C138" s="10" t="s">
        <v>708</v>
      </c>
      <c r="D138" s="10" t="s">
        <v>709</v>
      </c>
      <c r="E138" s="10" t="s">
        <v>815</v>
      </c>
      <c r="F138" s="10" t="s">
        <v>830</v>
      </c>
      <c r="G138" s="10" t="s">
        <v>1301</v>
      </c>
      <c r="H138" s="10" t="s">
        <v>711</v>
      </c>
      <c r="I138" s="6" t="str" cm="1">
        <f t="array" ref="I138">_xlfn.IFS(
    OR(H138="A1", H138="A2", H138="G1"), "사원",
    OR(H138="G2", H138="G3"), "선임",
    OR(H138="G4", H138="G5"), "책임"
)</f>
        <v>사원</v>
      </c>
      <c r="J138" s="11">
        <v>45257</v>
      </c>
      <c r="K138" s="11">
        <v>46388</v>
      </c>
      <c r="L138" s="10" t="s">
        <v>879</v>
      </c>
    </row>
    <row r="139" spans="1:12" x14ac:dyDescent="0.45">
      <c r="A139" s="6">
        <v>138</v>
      </c>
      <c r="B139" s="10" t="s">
        <v>1159</v>
      </c>
      <c r="C139" s="10" t="s">
        <v>708</v>
      </c>
      <c r="D139" s="10" t="s">
        <v>709</v>
      </c>
      <c r="E139" s="10" t="s">
        <v>815</v>
      </c>
      <c r="F139" s="10" t="s">
        <v>819</v>
      </c>
      <c r="G139" s="10" t="s">
        <v>1302</v>
      </c>
      <c r="H139" s="10" t="s">
        <v>711</v>
      </c>
      <c r="I139" s="6" t="str" cm="1">
        <f t="array" ref="I139">_xlfn.IFS(
    OR(H139="A1", H139="A2", H139="G1"), "사원",
    OR(H139="G2", H139="G3"), "선임",
    OR(H139="G4", H139="G5"), "책임"
)</f>
        <v>사원</v>
      </c>
      <c r="J139" s="11">
        <v>45257</v>
      </c>
      <c r="K139" s="11">
        <v>46388</v>
      </c>
      <c r="L139" s="10" t="s">
        <v>880</v>
      </c>
    </row>
    <row r="140" spans="1:12" x14ac:dyDescent="0.45">
      <c r="A140" s="6">
        <v>139</v>
      </c>
      <c r="B140" s="10" t="s">
        <v>1159</v>
      </c>
      <c r="C140" s="10" t="s">
        <v>708</v>
      </c>
      <c r="D140" s="10" t="s">
        <v>709</v>
      </c>
      <c r="E140" s="10" t="s">
        <v>815</v>
      </c>
      <c r="F140" s="10" t="s">
        <v>827</v>
      </c>
      <c r="G140" s="10" t="s">
        <v>1303</v>
      </c>
      <c r="H140" s="10" t="s">
        <v>711</v>
      </c>
      <c r="I140" s="6" t="str" cm="1">
        <f t="array" ref="I140">_xlfn.IFS(
    OR(H140="A1", H140="A2", H140="G1"), "사원",
    OR(H140="G2", H140="G3"), "선임",
    OR(H140="G4", H140="G5"), "책임"
)</f>
        <v>사원</v>
      </c>
      <c r="J140" s="11">
        <v>45544</v>
      </c>
      <c r="K140" s="11">
        <v>46753</v>
      </c>
      <c r="L140" s="10" t="s">
        <v>881</v>
      </c>
    </row>
    <row r="141" spans="1:12" x14ac:dyDescent="0.45">
      <c r="A141" s="6">
        <v>140</v>
      </c>
      <c r="B141" s="10" t="s">
        <v>1159</v>
      </c>
      <c r="C141" s="10" t="s">
        <v>708</v>
      </c>
      <c r="D141" s="10" t="s">
        <v>709</v>
      </c>
      <c r="E141" s="10" t="s">
        <v>815</v>
      </c>
      <c r="F141" s="10" t="s">
        <v>821</v>
      </c>
      <c r="G141" s="10" t="s">
        <v>1304</v>
      </c>
      <c r="H141" s="10" t="s">
        <v>711</v>
      </c>
      <c r="I141" s="6" t="str" cm="1">
        <f t="array" ref="I141">_xlfn.IFS(
    OR(H141="A1", H141="A2", H141="G1"), "사원",
    OR(H141="G2", H141="G3"), "선임",
    OR(H141="G4", H141="G5"), "책임"
)</f>
        <v>사원</v>
      </c>
      <c r="J141" s="11">
        <v>44921</v>
      </c>
      <c r="K141" s="11">
        <v>46023</v>
      </c>
      <c r="L141" s="10" t="s">
        <v>882</v>
      </c>
    </row>
    <row r="142" spans="1:12" x14ac:dyDescent="0.45">
      <c r="A142" s="6">
        <v>141</v>
      </c>
      <c r="B142" s="10" t="s">
        <v>1159</v>
      </c>
      <c r="C142" s="10" t="s">
        <v>708</v>
      </c>
      <c r="D142" s="10" t="s">
        <v>709</v>
      </c>
      <c r="E142" s="10" t="s">
        <v>815</v>
      </c>
      <c r="F142" s="10" t="s">
        <v>819</v>
      </c>
      <c r="G142" s="10" t="s">
        <v>1305</v>
      </c>
      <c r="H142" s="10" t="s">
        <v>812</v>
      </c>
      <c r="I142" s="6" t="e" cm="1">
        <f t="array" ref="I142">_xlfn.IFS(
    OR(H142="A1", H142="A2", H142="G1"), "사원",
    OR(H142="G2", H142="G3"), "선임",
    OR(H142="G4", H142="G5"), "책임"
)</f>
        <v>#N/A</v>
      </c>
      <c r="J142" s="11">
        <v>45789</v>
      </c>
      <c r="K142" s="11">
        <v>47119</v>
      </c>
      <c r="L142" s="10" t="s">
        <v>883</v>
      </c>
    </row>
    <row r="143" spans="1:12" x14ac:dyDescent="0.45">
      <c r="A143" s="6">
        <v>142</v>
      </c>
      <c r="B143" s="10" t="s">
        <v>1159</v>
      </c>
      <c r="C143" s="10" t="s">
        <v>708</v>
      </c>
      <c r="D143" s="10" t="s">
        <v>709</v>
      </c>
      <c r="E143" s="10" t="s">
        <v>884</v>
      </c>
      <c r="F143" s="10" t="s">
        <v>885</v>
      </c>
      <c r="G143" s="10" t="s">
        <v>1306</v>
      </c>
      <c r="H143" s="10" t="s">
        <v>727</v>
      </c>
      <c r="I143" s="6" t="str" cm="1">
        <f t="array" ref="I143">_xlfn.IFS(
    OR(H143="A1", H143="A2", H143="G1"), "사원",
    OR(H143="G2", H143="G3"), "선임",
    OR(H143="G4", H143="G5"), "책임"
)</f>
        <v>책임</v>
      </c>
      <c r="J143" s="11">
        <v>39625</v>
      </c>
      <c r="K143" s="11"/>
      <c r="L143" s="10" t="s">
        <v>886</v>
      </c>
    </row>
    <row r="144" spans="1:12" x14ac:dyDescent="0.45">
      <c r="A144" s="6">
        <v>143</v>
      </c>
      <c r="B144" s="10" t="s">
        <v>1159</v>
      </c>
      <c r="C144" s="10" t="s">
        <v>708</v>
      </c>
      <c r="D144" s="10" t="s">
        <v>709</v>
      </c>
      <c r="E144" s="10" t="s">
        <v>884</v>
      </c>
      <c r="F144" s="10" t="s">
        <v>887</v>
      </c>
      <c r="G144" s="10" t="s">
        <v>1307</v>
      </c>
      <c r="H144" s="10" t="s">
        <v>727</v>
      </c>
      <c r="I144" s="6" t="str" cm="1">
        <f t="array" ref="I144">_xlfn.IFS(
    OR(H144="A1", H144="A2", H144="G1"), "사원",
    OR(H144="G2", H144="G3"), "선임",
    OR(H144="G4", H144="G5"), "책임"
)</f>
        <v>책임</v>
      </c>
      <c r="J144" s="11">
        <v>37681</v>
      </c>
      <c r="K144" s="11"/>
      <c r="L144" s="10" t="s">
        <v>888</v>
      </c>
    </row>
    <row r="145" spans="1:12" x14ac:dyDescent="0.45">
      <c r="A145" s="6">
        <v>144</v>
      </c>
      <c r="B145" s="10" t="s">
        <v>1159</v>
      </c>
      <c r="C145" s="10" t="s">
        <v>708</v>
      </c>
      <c r="D145" s="10" t="s">
        <v>709</v>
      </c>
      <c r="E145" s="10" t="s">
        <v>884</v>
      </c>
      <c r="F145" s="10" t="s">
        <v>887</v>
      </c>
      <c r="G145" s="10" t="s">
        <v>1308</v>
      </c>
      <c r="H145" s="10" t="s">
        <v>734</v>
      </c>
      <c r="I145" s="6" t="str" cm="1">
        <f t="array" ref="I145">_xlfn.IFS(
    OR(H145="A1", H145="A2", H145="G1"), "사원",
    OR(H145="G2", H145="G3"), "선임",
    OR(H145="G4", H145="G5"), "책임"
)</f>
        <v>책임</v>
      </c>
      <c r="J145" s="11">
        <v>37500</v>
      </c>
      <c r="K145" s="11">
        <v>44562</v>
      </c>
      <c r="L145" s="10" t="s">
        <v>889</v>
      </c>
    </row>
    <row r="146" spans="1:12" x14ac:dyDescent="0.45">
      <c r="A146" s="6">
        <v>145</v>
      </c>
      <c r="B146" s="10" t="s">
        <v>1159</v>
      </c>
      <c r="C146" s="10" t="s">
        <v>708</v>
      </c>
      <c r="D146" s="10" t="s">
        <v>709</v>
      </c>
      <c r="E146" s="10" t="s">
        <v>884</v>
      </c>
      <c r="F146" s="10" t="s">
        <v>885</v>
      </c>
      <c r="G146" s="10" t="s">
        <v>1309</v>
      </c>
      <c r="H146" s="10" t="s">
        <v>734</v>
      </c>
      <c r="I146" s="6" t="str" cm="1">
        <f t="array" ref="I146">_xlfn.IFS(
    OR(H146="A1", H146="A2", H146="G1"), "사원",
    OR(H146="G2", H146="G3"), "선임",
    OR(H146="G4", H146="G5"), "책임"
)</f>
        <v>책임</v>
      </c>
      <c r="J146" s="11">
        <v>40634</v>
      </c>
      <c r="K146" s="11">
        <v>47119</v>
      </c>
      <c r="L146" s="10" t="s">
        <v>890</v>
      </c>
    </row>
    <row r="147" spans="1:12" x14ac:dyDescent="0.45">
      <c r="A147" s="6">
        <v>146</v>
      </c>
      <c r="B147" s="10" t="s">
        <v>1159</v>
      </c>
      <c r="C147" s="10" t="s">
        <v>708</v>
      </c>
      <c r="D147" s="10" t="s">
        <v>709</v>
      </c>
      <c r="E147" s="10" t="s">
        <v>884</v>
      </c>
      <c r="F147" s="10" t="s">
        <v>887</v>
      </c>
      <c r="G147" s="10" t="s">
        <v>1310</v>
      </c>
      <c r="H147" s="10" t="s">
        <v>734</v>
      </c>
      <c r="I147" s="6" t="str" cm="1">
        <f t="array" ref="I147">_xlfn.IFS(
    OR(H147="A1", H147="A2", H147="G1"), "사원",
    OR(H147="G2", H147="G3"), "선임",
    OR(H147="G4", H147="G5"), "책임"
)</f>
        <v>책임</v>
      </c>
      <c r="J147" s="11">
        <v>40179</v>
      </c>
      <c r="K147" s="11">
        <v>46388</v>
      </c>
      <c r="L147" s="10" t="s">
        <v>891</v>
      </c>
    </row>
    <row r="148" spans="1:12" x14ac:dyDescent="0.45">
      <c r="A148" s="6">
        <v>147</v>
      </c>
      <c r="B148" s="10" t="s">
        <v>1159</v>
      </c>
      <c r="C148" s="10" t="s">
        <v>708</v>
      </c>
      <c r="D148" s="10" t="s">
        <v>709</v>
      </c>
      <c r="E148" s="10" t="s">
        <v>884</v>
      </c>
      <c r="F148" s="10" t="s">
        <v>887</v>
      </c>
      <c r="G148" s="10" t="s">
        <v>1311</v>
      </c>
      <c r="H148" s="10" t="s">
        <v>734</v>
      </c>
      <c r="I148" s="6" t="str" cm="1">
        <f t="array" ref="I148">_xlfn.IFS(
    OR(H148="A1", H148="A2", H148="G1"), "사원",
    OR(H148="G2", H148="G3"), "선임",
    OR(H148="G4", H148="G5"), "책임"
)</f>
        <v>책임</v>
      </c>
      <c r="J148" s="11">
        <v>39405</v>
      </c>
      <c r="K148" s="11">
        <v>46388</v>
      </c>
      <c r="L148" s="10" t="s">
        <v>892</v>
      </c>
    </row>
    <row r="149" spans="1:12" x14ac:dyDescent="0.45">
      <c r="A149" s="6">
        <v>148</v>
      </c>
      <c r="B149" s="10" t="s">
        <v>1159</v>
      </c>
      <c r="C149" s="10" t="s">
        <v>708</v>
      </c>
      <c r="D149" s="10" t="s">
        <v>709</v>
      </c>
      <c r="E149" s="10" t="s">
        <v>884</v>
      </c>
      <c r="F149" s="10" t="s">
        <v>885</v>
      </c>
      <c r="G149" s="10" t="s">
        <v>1312</v>
      </c>
      <c r="H149" s="10" t="s">
        <v>757</v>
      </c>
      <c r="I149" s="6" t="str" cm="1">
        <f t="array" ref="I149">_xlfn.IFS(
    OR(H149="A1", H149="A2", H149="G1"), "사원",
    OR(H149="G2", H149="G3"), "선임",
    OR(H149="G4", H149="G5"), "책임"
)</f>
        <v>선임</v>
      </c>
      <c r="J149" s="11">
        <v>37658</v>
      </c>
      <c r="K149" s="11">
        <v>46753</v>
      </c>
      <c r="L149" s="10" t="s">
        <v>893</v>
      </c>
    </row>
    <row r="150" spans="1:12" x14ac:dyDescent="0.45">
      <c r="A150" s="6">
        <v>149</v>
      </c>
      <c r="B150" s="10" t="s">
        <v>1159</v>
      </c>
      <c r="C150" s="10" t="s">
        <v>708</v>
      </c>
      <c r="D150" s="10" t="s">
        <v>709</v>
      </c>
      <c r="E150" s="10" t="s">
        <v>884</v>
      </c>
      <c r="F150" s="10" t="s">
        <v>887</v>
      </c>
      <c r="G150" s="10" t="s">
        <v>1313</v>
      </c>
      <c r="H150" s="10" t="s">
        <v>757</v>
      </c>
      <c r="I150" s="6" t="str" cm="1">
        <f t="array" ref="I150">_xlfn.IFS(
    OR(H150="A1", H150="A2", H150="G1"), "사원",
    OR(H150="G2", H150="G3"), "선임",
    OR(H150="G4", H150="G5"), "책임"
)</f>
        <v>선임</v>
      </c>
      <c r="J150" s="11">
        <v>40634</v>
      </c>
      <c r="K150" s="11">
        <v>46753</v>
      </c>
      <c r="L150" s="10" t="s">
        <v>894</v>
      </c>
    </row>
    <row r="151" spans="1:12" x14ac:dyDescent="0.45">
      <c r="A151" s="6">
        <v>150</v>
      </c>
      <c r="B151" s="10" t="s">
        <v>1159</v>
      </c>
      <c r="C151" s="10" t="s">
        <v>708</v>
      </c>
      <c r="D151" s="10" t="s">
        <v>709</v>
      </c>
      <c r="E151" s="10" t="s">
        <v>884</v>
      </c>
      <c r="F151" s="10" t="s">
        <v>885</v>
      </c>
      <c r="G151" s="10" t="s">
        <v>1314</v>
      </c>
      <c r="H151" s="10" t="s">
        <v>757</v>
      </c>
      <c r="I151" s="6" t="str" cm="1">
        <f t="array" ref="I151">_xlfn.IFS(
    OR(H151="A1", H151="A2", H151="G1"), "사원",
    OR(H151="G2", H151="G3"), "선임",
    OR(H151="G4", H151="G5"), "책임"
)</f>
        <v>선임</v>
      </c>
      <c r="J151" s="11">
        <v>45677</v>
      </c>
      <c r="K151" s="11">
        <v>47484</v>
      </c>
      <c r="L151" s="10" t="s">
        <v>895</v>
      </c>
    </row>
    <row r="152" spans="1:12" x14ac:dyDescent="0.45">
      <c r="A152" s="6">
        <v>151</v>
      </c>
      <c r="B152" s="10" t="s">
        <v>1159</v>
      </c>
      <c r="C152" s="10" t="s">
        <v>708</v>
      </c>
      <c r="D152" s="10" t="s">
        <v>709</v>
      </c>
      <c r="E152" s="10" t="s">
        <v>884</v>
      </c>
      <c r="F152" s="10" t="s">
        <v>885</v>
      </c>
      <c r="G152" s="10" t="s">
        <v>1315</v>
      </c>
      <c r="H152" s="10" t="s">
        <v>757</v>
      </c>
      <c r="I152" s="6" t="str" cm="1">
        <f t="array" ref="I152">_xlfn.IFS(
    OR(H152="A1", H152="A2", H152="G1"), "사원",
    OR(H152="G2", H152="G3"), "선임",
    OR(H152="G4", H152="G5"), "책임"
)</f>
        <v>선임</v>
      </c>
      <c r="J152" s="11">
        <v>42191</v>
      </c>
      <c r="K152" s="11">
        <v>47119</v>
      </c>
      <c r="L152" s="10" t="s">
        <v>896</v>
      </c>
    </row>
    <row r="153" spans="1:12" x14ac:dyDescent="0.45">
      <c r="A153" s="6">
        <v>152</v>
      </c>
      <c r="B153" s="10" t="s">
        <v>1159</v>
      </c>
      <c r="C153" s="10" t="s">
        <v>708</v>
      </c>
      <c r="D153" s="10" t="s">
        <v>709</v>
      </c>
      <c r="E153" s="10" t="s">
        <v>884</v>
      </c>
      <c r="F153" s="10" t="s">
        <v>887</v>
      </c>
      <c r="G153" s="10" t="s">
        <v>1316</v>
      </c>
      <c r="H153" s="10" t="s">
        <v>779</v>
      </c>
      <c r="I153" s="6" t="str" cm="1">
        <f t="array" ref="I153">_xlfn.IFS(
    OR(H153="A1", H153="A2", H153="G1"), "사원",
    OR(H153="G2", H153="G3"), "선임",
    OR(H153="G4", H153="G5"), "책임"
)</f>
        <v>선임</v>
      </c>
      <c r="J153" s="11">
        <v>45677</v>
      </c>
      <c r="K153" s="11">
        <v>46753</v>
      </c>
      <c r="L153" s="10" t="s">
        <v>897</v>
      </c>
    </row>
    <row r="154" spans="1:12" x14ac:dyDescent="0.45">
      <c r="A154" s="6">
        <v>153</v>
      </c>
      <c r="B154" s="10" t="s">
        <v>1159</v>
      </c>
      <c r="C154" s="10" t="s">
        <v>708</v>
      </c>
      <c r="D154" s="10" t="s">
        <v>709</v>
      </c>
      <c r="E154" s="10" t="s">
        <v>884</v>
      </c>
      <c r="F154" s="10" t="s">
        <v>885</v>
      </c>
      <c r="G154" s="10" t="s">
        <v>1317</v>
      </c>
      <c r="H154" s="10" t="s">
        <v>779</v>
      </c>
      <c r="I154" s="6" t="str" cm="1">
        <f t="array" ref="I154">_xlfn.IFS(
    OR(H154="A1", H154="A2", H154="G1"), "사원",
    OR(H154="G2", H154="G3"), "선임",
    OR(H154="G4", H154="G5"), "책임"
)</f>
        <v>선임</v>
      </c>
      <c r="J154" s="11">
        <v>45203</v>
      </c>
      <c r="K154" s="11">
        <v>46753</v>
      </c>
      <c r="L154" s="10" t="s">
        <v>898</v>
      </c>
    </row>
    <row r="155" spans="1:12" x14ac:dyDescent="0.45">
      <c r="A155" s="6">
        <v>154</v>
      </c>
      <c r="B155" s="10" t="s">
        <v>1159</v>
      </c>
      <c r="C155" s="10" t="s">
        <v>708</v>
      </c>
      <c r="D155" s="10" t="s">
        <v>709</v>
      </c>
      <c r="E155" s="10" t="s">
        <v>884</v>
      </c>
      <c r="F155" s="10" t="s">
        <v>887</v>
      </c>
      <c r="G155" s="10" t="s">
        <v>1318</v>
      </c>
      <c r="H155" s="10" t="s">
        <v>779</v>
      </c>
      <c r="I155" s="6" t="str" cm="1">
        <f t="array" ref="I155">_xlfn.IFS(
    OR(H155="A1", H155="A2", H155="G1"), "사원",
    OR(H155="G2", H155="G3"), "선임",
    OR(H155="G4", H155="G5"), "책임"
)</f>
        <v>선임</v>
      </c>
      <c r="J155" s="11">
        <v>45076</v>
      </c>
      <c r="K155" s="11">
        <v>46388</v>
      </c>
      <c r="L155" s="10" t="s">
        <v>899</v>
      </c>
    </row>
    <row r="156" spans="1:12" x14ac:dyDescent="0.45">
      <c r="A156" s="6">
        <v>155</v>
      </c>
      <c r="B156" s="10" t="s">
        <v>1159</v>
      </c>
      <c r="C156" s="10" t="s">
        <v>708</v>
      </c>
      <c r="D156" s="10" t="s">
        <v>709</v>
      </c>
      <c r="E156" s="10" t="s">
        <v>884</v>
      </c>
      <c r="F156" s="10" t="s">
        <v>887</v>
      </c>
      <c r="G156" s="10" t="s">
        <v>1319</v>
      </c>
      <c r="H156" s="10" t="s">
        <v>779</v>
      </c>
      <c r="I156" s="6" t="str" cm="1">
        <f t="array" ref="I156">_xlfn.IFS(
    OR(H156="A1", H156="A2", H156="G1"), "사원",
    OR(H156="G2", H156="G3"), "선임",
    OR(H156="G4", H156="G5"), "책임"
)</f>
        <v>선임</v>
      </c>
      <c r="J156" s="11">
        <v>44942</v>
      </c>
      <c r="K156" s="11">
        <v>47484</v>
      </c>
      <c r="L156" s="10" t="s">
        <v>900</v>
      </c>
    </row>
    <row r="157" spans="1:12" x14ac:dyDescent="0.45">
      <c r="A157" s="6">
        <v>156</v>
      </c>
      <c r="B157" s="10" t="s">
        <v>1159</v>
      </c>
      <c r="C157" s="10" t="s">
        <v>708</v>
      </c>
      <c r="D157" s="10" t="s">
        <v>709</v>
      </c>
      <c r="E157" s="10" t="s">
        <v>884</v>
      </c>
      <c r="F157" s="10" t="s">
        <v>887</v>
      </c>
      <c r="G157" s="10" t="s">
        <v>1320</v>
      </c>
      <c r="H157" s="10" t="s">
        <v>711</v>
      </c>
      <c r="I157" s="6" t="str" cm="1">
        <f t="array" ref="I157">_xlfn.IFS(
    OR(H157="A1", H157="A2", H157="G1"), "사원",
    OR(H157="G2", H157="G3"), "선임",
    OR(H157="G4", H157="G5"), "책임"
)</f>
        <v>사원</v>
      </c>
      <c r="J157" s="11">
        <v>45566</v>
      </c>
      <c r="K157" s="11">
        <v>46753</v>
      </c>
      <c r="L157" s="10" t="s">
        <v>901</v>
      </c>
    </row>
    <row r="158" spans="1:12" x14ac:dyDescent="0.45">
      <c r="A158" s="6">
        <v>157</v>
      </c>
      <c r="B158" s="10" t="s">
        <v>1159</v>
      </c>
      <c r="C158" s="10" t="s">
        <v>708</v>
      </c>
      <c r="D158" s="10" t="s">
        <v>709</v>
      </c>
      <c r="E158" s="10" t="s">
        <v>884</v>
      </c>
      <c r="F158" s="10" t="s">
        <v>887</v>
      </c>
      <c r="G158" s="10" t="s">
        <v>1321</v>
      </c>
      <c r="H158" s="10" t="s">
        <v>711</v>
      </c>
      <c r="I158" s="6" t="str" cm="1">
        <f t="array" ref="I158">_xlfn.IFS(
    OR(H158="A1", H158="A2", H158="G1"), "사원",
    OR(H158="G2", H158="G3"), "선임",
    OR(H158="G4", H158="G5"), "책임"
)</f>
        <v>사원</v>
      </c>
      <c r="J158" s="11">
        <v>41275</v>
      </c>
      <c r="K158" s="11">
        <v>44562</v>
      </c>
      <c r="L158" s="10" t="s">
        <v>902</v>
      </c>
    </row>
    <row r="159" spans="1:12" x14ac:dyDescent="0.45">
      <c r="A159" s="6">
        <v>158</v>
      </c>
      <c r="B159" s="10" t="s">
        <v>1159</v>
      </c>
      <c r="C159" s="10" t="s">
        <v>708</v>
      </c>
      <c r="D159" s="10" t="s">
        <v>709</v>
      </c>
      <c r="E159" s="10" t="s">
        <v>884</v>
      </c>
      <c r="F159" s="10" t="s">
        <v>887</v>
      </c>
      <c r="G159" s="10" t="s">
        <v>1322</v>
      </c>
      <c r="H159" s="10" t="s">
        <v>711</v>
      </c>
      <c r="I159" s="6" t="str" cm="1">
        <f t="array" ref="I159">_xlfn.IFS(
    OR(H159="A1", H159="A2", H159="G1"), "사원",
    OR(H159="G2", H159="G3"), "선임",
    OR(H159="G4", H159="G5"), "책임"
)</f>
        <v>사원</v>
      </c>
      <c r="J159" s="11">
        <v>44795</v>
      </c>
      <c r="K159" s="11">
        <v>46023</v>
      </c>
      <c r="L159" s="10" t="s">
        <v>903</v>
      </c>
    </row>
    <row r="160" spans="1:12" x14ac:dyDescent="0.45">
      <c r="A160" s="6">
        <v>159</v>
      </c>
      <c r="B160" s="10" t="s">
        <v>1159</v>
      </c>
      <c r="C160" s="10" t="s">
        <v>708</v>
      </c>
      <c r="D160" s="10" t="s">
        <v>709</v>
      </c>
      <c r="E160" s="10" t="s">
        <v>884</v>
      </c>
      <c r="F160" s="10" t="s">
        <v>885</v>
      </c>
      <c r="G160" s="10" t="s">
        <v>1323</v>
      </c>
      <c r="H160" s="10" t="s">
        <v>711</v>
      </c>
      <c r="I160" s="6" t="str" cm="1">
        <f t="array" ref="I160">_xlfn.IFS(
    OR(H160="A1", H160="A2", H160="G1"), "사원",
    OR(H160="G2", H160="G3"), "선임",
    OR(H160="G4", H160="G5"), "책임"
)</f>
        <v>사원</v>
      </c>
      <c r="J160" s="11">
        <v>42639</v>
      </c>
      <c r="K160" s="11">
        <v>46023</v>
      </c>
      <c r="L160" s="10" t="s">
        <v>904</v>
      </c>
    </row>
    <row r="161" spans="1:12" x14ac:dyDescent="0.45">
      <c r="A161" s="6">
        <v>160</v>
      </c>
      <c r="B161" s="10" t="s">
        <v>1159</v>
      </c>
      <c r="C161" s="10" t="s">
        <v>708</v>
      </c>
      <c r="D161" s="10" t="s">
        <v>709</v>
      </c>
      <c r="E161" s="10" t="s">
        <v>884</v>
      </c>
      <c r="F161" s="10" t="s">
        <v>887</v>
      </c>
      <c r="G161" s="10" t="s">
        <v>1324</v>
      </c>
      <c r="H161" s="10" t="s">
        <v>711</v>
      </c>
      <c r="I161" s="6" t="str" cm="1">
        <f t="array" ref="I161">_xlfn.IFS(
    OR(H161="A1", H161="A2", H161="G1"), "사원",
    OR(H161="G2", H161="G3"), "선임",
    OR(H161="G4", H161="G5"), "책임"
)</f>
        <v>사원</v>
      </c>
      <c r="J161" s="11">
        <v>45658</v>
      </c>
      <c r="K161" s="11">
        <v>46753</v>
      </c>
      <c r="L161" s="10" t="s">
        <v>905</v>
      </c>
    </row>
    <row r="162" spans="1:12" x14ac:dyDescent="0.45">
      <c r="A162" s="6">
        <v>161</v>
      </c>
      <c r="B162" s="10" t="s">
        <v>1159</v>
      </c>
      <c r="C162" s="10" t="s">
        <v>708</v>
      </c>
      <c r="D162" s="10" t="s">
        <v>709</v>
      </c>
      <c r="E162" s="10" t="s">
        <v>906</v>
      </c>
      <c r="F162" s="10" t="s">
        <v>906</v>
      </c>
      <c r="G162" s="10" t="s">
        <v>1325</v>
      </c>
      <c r="H162" s="10" t="s">
        <v>907</v>
      </c>
      <c r="I162" s="6" t="e" cm="1">
        <f t="array" ref="I162">_xlfn.IFS(
    OR(H162="A1", H162="A2", H162="G1"), "사원",
    OR(H162="G2", H162="G3"), "선임",
    OR(H162="G4", H162="G5"), "책임"
)</f>
        <v>#N/A</v>
      </c>
      <c r="J162" s="11">
        <v>36094</v>
      </c>
      <c r="K162" s="11"/>
      <c r="L162" s="10" t="s">
        <v>908</v>
      </c>
    </row>
    <row r="163" spans="1:12" x14ac:dyDescent="0.45">
      <c r="A163" s="6">
        <v>162</v>
      </c>
      <c r="B163" s="10" t="s">
        <v>1159</v>
      </c>
      <c r="C163" s="10" t="s">
        <v>708</v>
      </c>
      <c r="D163" s="10" t="s">
        <v>709</v>
      </c>
      <c r="E163" s="10" t="s">
        <v>906</v>
      </c>
      <c r="F163" s="10" t="s">
        <v>909</v>
      </c>
      <c r="G163" s="10" t="s">
        <v>1326</v>
      </c>
      <c r="H163" s="10" t="s">
        <v>727</v>
      </c>
      <c r="I163" s="6" t="str" cm="1">
        <f t="array" ref="I163">_xlfn.IFS(
    OR(H163="A1", H163="A2", H163="G1"), "사원",
    OR(H163="G2", H163="G3"), "선임",
    OR(H163="G4", H163="G5"), "책임"
)</f>
        <v>책임</v>
      </c>
      <c r="J163" s="11">
        <v>38218</v>
      </c>
      <c r="K163" s="11"/>
      <c r="L163" s="10" t="s">
        <v>910</v>
      </c>
    </row>
    <row r="164" spans="1:12" x14ac:dyDescent="0.45">
      <c r="A164" s="6">
        <v>163</v>
      </c>
      <c r="B164" s="10" t="s">
        <v>1159</v>
      </c>
      <c r="C164" s="10" t="s">
        <v>708</v>
      </c>
      <c r="D164" s="10" t="s">
        <v>709</v>
      </c>
      <c r="E164" s="10" t="s">
        <v>906</v>
      </c>
      <c r="F164" s="10" t="s">
        <v>909</v>
      </c>
      <c r="G164" s="10" t="s">
        <v>1327</v>
      </c>
      <c r="H164" s="10" t="s">
        <v>734</v>
      </c>
      <c r="I164" s="6" t="str" cm="1">
        <f t="array" ref="I164">_xlfn.IFS(
    OR(H164="A1", H164="A2", H164="G1"), "사원",
    OR(H164="G2", H164="G3"), "선임",
    OR(H164="G4", H164="G5"), "책임"
)</f>
        <v>책임</v>
      </c>
      <c r="J164" s="11">
        <v>40179</v>
      </c>
      <c r="K164" s="11">
        <v>46388</v>
      </c>
      <c r="L164" s="10" t="s">
        <v>911</v>
      </c>
    </row>
    <row r="165" spans="1:12" x14ac:dyDescent="0.45">
      <c r="A165" s="6">
        <v>164</v>
      </c>
      <c r="B165" s="10" t="s">
        <v>1159</v>
      </c>
      <c r="C165" s="10" t="s">
        <v>708</v>
      </c>
      <c r="D165" s="10" t="s">
        <v>709</v>
      </c>
      <c r="E165" s="10" t="s">
        <v>906</v>
      </c>
      <c r="F165" s="10" t="s">
        <v>909</v>
      </c>
      <c r="G165" s="10" t="s">
        <v>1328</v>
      </c>
      <c r="H165" s="10" t="s">
        <v>734</v>
      </c>
      <c r="I165" s="6" t="str" cm="1">
        <f t="array" ref="I165">_xlfn.IFS(
    OR(H165="A1", H165="A2", H165="G1"), "사원",
    OR(H165="G2", H165="G3"), "선임",
    OR(H165="G4", H165="G5"), "책임"
)</f>
        <v>책임</v>
      </c>
      <c r="J165" s="11">
        <v>45383</v>
      </c>
      <c r="K165" s="11">
        <v>46753</v>
      </c>
      <c r="L165" s="10" t="s">
        <v>912</v>
      </c>
    </row>
    <row r="166" spans="1:12" x14ac:dyDescent="0.45">
      <c r="A166" s="6">
        <v>165</v>
      </c>
      <c r="B166" s="10" t="s">
        <v>1159</v>
      </c>
      <c r="C166" s="10" t="s">
        <v>708</v>
      </c>
      <c r="D166" s="10" t="s">
        <v>709</v>
      </c>
      <c r="E166" s="10" t="s">
        <v>906</v>
      </c>
      <c r="F166" s="10" t="s">
        <v>909</v>
      </c>
      <c r="G166" s="10" t="s">
        <v>1329</v>
      </c>
      <c r="H166" s="10" t="s">
        <v>734</v>
      </c>
      <c r="I166" s="6" t="str" cm="1">
        <f t="array" ref="I166">_xlfn.IFS(
    OR(H166="A1", H166="A2", H166="G1"), "사원",
    OR(H166="G2", H166="G3"), "선임",
    OR(H166="G4", H166="G5"), "책임"
)</f>
        <v>책임</v>
      </c>
      <c r="J166" s="11">
        <v>39753</v>
      </c>
      <c r="K166" s="11">
        <v>46388</v>
      </c>
      <c r="L166" s="10" t="s">
        <v>913</v>
      </c>
    </row>
    <row r="167" spans="1:12" x14ac:dyDescent="0.45">
      <c r="A167" s="6">
        <v>166</v>
      </c>
      <c r="B167" s="10" t="s">
        <v>1159</v>
      </c>
      <c r="C167" s="10" t="s">
        <v>708</v>
      </c>
      <c r="D167" s="10" t="s">
        <v>709</v>
      </c>
      <c r="E167" s="10" t="s">
        <v>906</v>
      </c>
      <c r="F167" s="10" t="s">
        <v>909</v>
      </c>
      <c r="G167" s="10" t="s">
        <v>1330</v>
      </c>
      <c r="H167" s="10" t="s">
        <v>757</v>
      </c>
      <c r="I167" s="6" t="str" cm="1">
        <f t="array" ref="I167">_xlfn.IFS(
    OR(H167="A1", H167="A2", H167="G1"), "사원",
    OR(H167="G2", H167="G3"), "선임",
    OR(H167="G4", H167="G5"), "책임"
)</f>
        <v>선임</v>
      </c>
      <c r="J167" s="11">
        <v>41841</v>
      </c>
      <c r="K167" s="11">
        <v>46753</v>
      </c>
      <c r="L167" s="10" t="s">
        <v>914</v>
      </c>
    </row>
    <row r="168" spans="1:12" x14ac:dyDescent="0.45">
      <c r="A168" s="6">
        <v>167</v>
      </c>
      <c r="B168" s="10" t="s">
        <v>1159</v>
      </c>
      <c r="C168" s="10" t="s">
        <v>708</v>
      </c>
      <c r="D168" s="10" t="s">
        <v>709</v>
      </c>
      <c r="E168" s="10" t="s">
        <v>906</v>
      </c>
      <c r="F168" s="10" t="s">
        <v>909</v>
      </c>
      <c r="G168" s="10" t="s">
        <v>1331</v>
      </c>
      <c r="H168" s="10" t="s">
        <v>757</v>
      </c>
      <c r="I168" s="6" t="str" cm="1">
        <f t="array" ref="I168">_xlfn.IFS(
    OR(H168="A1", H168="A2", H168="G1"), "사원",
    OR(H168="G2", H168="G3"), "선임",
    OR(H168="G4", H168="G5"), "책임"
)</f>
        <v>선임</v>
      </c>
      <c r="J168" s="11">
        <v>41275</v>
      </c>
      <c r="K168" s="11">
        <v>46023</v>
      </c>
      <c r="L168" s="10" t="s">
        <v>915</v>
      </c>
    </row>
    <row r="169" spans="1:12" x14ac:dyDescent="0.45">
      <c r="A169" s="6">
        <v>168</v>
      </c>
      <c r="B169" s="10" t="s">
        <v>1159</v>
      </c>
      <c r="C169" s="10" t="s">
        <v>708</v>
      </c>
      <c r="D169" s="10" t="s">
        <v>709</v>
      </c>
      <c r="E169" s="10" t="s">
        <v>906</v>
      </c>
      <c r="F169" s="10" t="s">
        <v>909</v>
      </c>
      <c r="G169" s="10" t="s">
        <v>1332</v>
      </c>
      <c r="H169" s="10" t="s">
        <v>757</v>
      </c>
      <c r="I169" s="6" t="str" cm="1">
        <f t="array" ref="I169">_xlfn.IFS(
    OR(H169="A1", H169="A2", H169="G1"), "사원",
    OR(H169="G2", H169="G3"), "선임",
    OR(H169="G4", H169="G5"), "책임"
)</f>
        <v>선임</v>
      </c>
      <c r="J169" s="11">
        <v>41841</v>
      </c>
      <c r="K169" s="11">
        <v>46753</v>
      </c>
      <c r="L169" s="10" t="s">
        <v>916</v>
      </c>
    </row>
    <row r="170" spans="1:12" x14ac:dyDescent="0.45">
      <c r="A170" s="6">
        <v>169</v>
      </c>
      <c r="B170" s="10" t="s">
        <v>1159</v>
      </c>
      <c r="C170" s="10" t="s">
        <v>708</v>
      </c>
      <c r="D170" s="10" t="s">
        <v>709</v>
      </c>
      <c r="E170" s="10" t="s">
        <v>906</v>
      </c>
      <c r="F170" s="10" t="s">
        <v>909</v>
      </c>
      <c r="G170" s="10" t="s">
        <v>1333</v>
      </c>
      <c r="H170" s="10" t="s">
        <v>757</v>
      </c>
      <c r="I170" s="6" t="str" cm="1">
        <f t="array" ref="I170">_xlfn.IFS(
    OR(H170="A1", H170="A2", H170="G1"), "사원",
    OR(H170="G2", H170="G3"), "선임",
    OR(H170="G4", H170="G5"), "책임"
)</f>
        <v>선임</v>
      </c>
      <c r="J170" s="11">
        <v>40980</v>
      </c>
      <c r="K170" s="11">
        <v>47119</v>
      </c>
      <c r="L170" s="10" t="s">
        <v>917</v>
      </c>
    </row>
    <row r="171" spans="1:12" x14ac:dyDescent="0.45">
      <c r="A171" s="6">
        <v>170</v>
      </c>
      <c r="B171" s="10" t="s">
        <v>1159</v>
      </c>
      <c r="C171" s="10" t="s">
        <v>708</v>
      </c>
      <c r="D171" s="10" t="s">
        <v>709</v>
      </c>
      <c r="E171" s="10" t="s">
        <v>906</v>
      </c>
      <c r="F171" s="10" t="s">
        <v>909</v>
      </c>
      <c r="G171" s="10" t="s">
        <v>1334</v>
      </c>
      <c r="H171" s="10" t="s">
        <v>779</v>
      </c>
      <c r="I171" s="6" t="str" cm="1">
        <f t="array" ref="I171">_xlfn.IFS(
    OR(H171="A1", H171="A2", H171="G1"), "사원",
    OR(H171="G2", H171="G3"), "선임",
    OR(H171="G4", H171="G5"), "책임"
)</f>
        <v>선임</v>
      </c>
      <c r="J171" s="11">
        <v>45278</v>
      </c>
      <c r="K171" s="11">
        <v>46388</v>
      </c>
      <c r="L171" s="10" t="s">
        <v>918</v>
      </c>
    </row>
    <row r="172" spans="1:12" x14ac:dyDescent="0.45">
      <c r="A172" s="6">
        <v>171</v>
      </c>
      <c r="B172" s="10" t="s">
        <v>1159</v>
      </c>
      <c r="C172" s="10" t="s">
        <v>708</v>
      </c>
      <c r="D172" s="10" t="s">
        <v>709</v>
      </c>
      <c r="E172" s="10" t="s">
        <v>906</v>
      </c>
      <c r="F172" s="10" t="s">
        <v>909</v>
      </c>
      <c r="G172" s="10" t="s">
        <v>1335</v>
      </c>
      <c r="H172" s="10" t="s">
        <v>779</v>
      </c>
      <c r="I172" s="6" t="str" cm="1">
        <f t="array" ref="I172">_xlfn.IFS(
    OR(H172="A1", H172="A2", H172="G1"), "사원",
    OR(H172="G2", H172="G3"), "선임",
    OR(H172="G4", H172="G5"), "책임"
)</f>
        <v>선임</v>
      </c>
      <c r="J172" s="11">
        <v>44942</v>
      </c>
      <c r="K172" s="11">
        <v>47119</v>
      </c>
      <c r="L172" s="10" t="s">
        <v>919</v>
      </c>
    </row>
    <row r="173" spans="1:12" x14ac:dyDescent="0.45">
      <c r="A173" s="6">
        <v>172</v>
      </c>
      <c r="B173" s="10" t="s">
        <v>1159</v>
      </c>
      <c r="C173" s="10" t="s">
        <v>708</v>
      </c>
      <c r="D173" s="10" t="s">
        <v>709</v>
      </c>
      <c r="E173" s="10" t="s">
        <v>906</v>
      </c>
      <c r="F173" s="10" t="s">
        <v>909</v>
      </c>
      <c r="G173" s="10" t="s">
        <v>1336</v>
      </c>
      <c r="H173" s="10" t="s">
        <v>711</v>
      </c>
      <c r="I173" s="6" t="str" cm="1">
        <f t="array" ref="I173">_xlfn.IFS(
    OR(H173="A1", H173="A2", H173="G1"), "사원",
    OR(H173="G2", H173="G3"), "선임",
    OR(H173="G4", H173="G5"), "책임"
)</f>
        <v>사원</v>
      </c>
      <c r="J173" s="11">
        <v>42381</v>
      </c>
      <c r="K173" s="11">
        <v>46023</v>
      </c>
      <c r="L173" s="10" t="s">
        <v>920</v>
      </c>
    </row>
    <row r="174" spans="1:12" x14ac:dyDescent="0.45">
      <c r="A174" s="6">
        <v>173</v>
      </c>
      <c r="B174" s="10" t="s">
        <v>1159</v>
      </c>
      <c r="C174" s="10" t="s">
        <v>708</v>
      </c>
      <c r="D174" s="10" t="s">
        <v>709</v>
      </c>
      <c r="E174" s="10" t="s">
        <v>921</v>
      </c>
      <c r="F174" s="10" t="s">
        <v>922</v>
      </c>
      <c r="G174" s="10" t="s">
        <v>1337</v>
      </c>
      <c r="H174" s="10" t="s">
        <v>727</v>
      </c>
      <c r="I174" s="6" t="str" cm="1">
        <f t="array" ref="I174">_xlfn.IFS(
    OR(H174="A1", H174="A2", H174="G1"), "사원",
    OR(H174="G2", H174="G3"), "선임",
    OR(H174="G4", H174="G5"), "책임"
)</f>
        <v>책임</v>
      </c>
      <c r="J174" s="11">
        <v>41760</v>
      </c>
      <c r="K174" s="11"/>
      <c r="L174" s="10" t="s">
        <v>923</v>
      </c>
    </row>
    <row r="175" spans="1:12" x14ac:dyDescent="0.45">
      <c r="A175" s="6">
        <v>174</v>
      </c>
      <c r="B175" s="10" t="s">
        <v>1159</v>
      </c>
      <c r="C175" s="10" t="s">
        <v>708</v>
      </c>
      <c r="D175" s="10" t="s">
        <v>709</v>
      </c>
      <c r="E175" s="10" t="s">
        <v>921</v>
      </c>
      <c r="F175" s="10" t="s">
        <v>922</v>
      </c>
      <c r="G175" s="10" t="s">
        <v>1338</v>
      </c>
      <c r="H175" s="10" t="s">
        <v>727</v>
      </c>
      <c r="I175" s="6" t="str" cm="1">
        <f t="array" ref="I175">_xlfn.IFS(
    OR(H175="A1", H175="A2", H175="G1"), "사원",
    OR(H175="G2", H175="G3"), "선임",
    OR(H175="G4", H175="G5"), "책임"
)</f>
        <v>책임</v>
      </c>
      <c r="J175" s="11">
        <v>38103</v>
      </c>
      <c r="K175" s="11"/>
      <c r="L175" s="10" t="s">
        <v>924</v>
      </c>
    </row>
    <row r="176" spans="1:12" x14ac:dyDescent="0.45">
      <c r="A176" s="6">
        <v>175</v>
      </c>
      <c r="B176" s="10" t="s">
        <v>1159</v>
      </c>
      <c r="C176" s="10" t="s">
        <v>708</v>
      </c>
      <c r="D176" s="10" t="s">
        <v>709</v>
      </c>
      <c r="E176" s="10" t="s">
        <v>921</v>
      </c>
      <c r="F176" s="10" t="s">
        <v>922</v>
      </c>
      <c r="G176" s="10" t="s">
        <v>1339</v>
      </c>
      <c r="H176" s="10" t="s">
        <v>757</v>
      </c>
      <c r="I176" s="6" t="str" cm="1">
        <f t="array" ref="I176">_xlfn.IFS(
    OR(H176="A1", H176="A2", H176="G1"), "사원",
    OR(H176="G2", H176="G3"), "선임",
    OR(H176="G4", H176="G5"), "책임"
)</f>
        <v>선임</v>
      </c>
      <c r="J176" s="11">
        <v>41148</v>
      </c>
      <c r="K176" s="11">
        <v>46023</v>
      </c>
      <c r="L176" s="10" t="s">
        <v>925</v>
      </c>
    </row>
    <row r="177" spans="1:12" x14ac:dyDescent="0.45">
      <c r="A177" s="6">
        <v>176</v>
      </c>
      <c r="B177" s="10" t="s">
        <v>1159</v>
      </c>
      <c r="C177" s="10" t="s">
        <v>708</v>
      </c>
      <c r="D177" s="10" t="s">
        <v>709</v>
      </c>
      <c r="E177" s="10" t="s">
        <v>921</v>
      </c>
      <c r="F177" s="10" t="s">
        <v>922</v>
      </c>
      <c r="G177" s="10" t="s">
        <v>1340</v>
      </c>
      <c r="H177" s="10" t="s">
        <v>757</v>
      </c>
      <c r="I177" s="6" t="str" cm="1">
        <f t="array" ref="I177">_xlfn.IFS(
    OR(H177="A1", H177="A2", H177="G1"), "사원",
    OR(H177="G2", H177="G3"), "선임",
    OR(H177="G4", H177="G5"), "책임"
)</f>
        <v>선임</v>
      </c>
      <c r="J177" s="11">
        <v>45677</v>
      </c>
      <c r="K177" s="11">
        <v>47119</v>
      </c>
      <c r="L177" s="10" t="s">
        <v>926</v>
      </c>
    </row>
    <row r="178" spans="1:12" x14ac:dyDescent="0.45">
      <c r="A178" s="6">
        <v>177</v>
      </c>
      <c r="B178" s="10" t="s">
        <v>1159</v>
      </c>
      <c r="C178" s="10" t="s">
        <v>708</v>
      </c>
      <c r="D178" s="10" t="s">
        <v>709</v>
      </c>
      <c r="E178" s="10" t="s">
        <v>921</v>
      </c>
      <c r="F178" s="10" t="s">
        <v>922</v>
      </c>
      <c r="G178" s="10" t="s">
        <v>1341</v>
      </c>
      <c r="H178" s="10" t="s">
        <v>757</v>
      </c>
      <c r="I178" s="6" t="str" cm="1">
        <f t="array" ref="I178">_xlfn.IFS(
    OR(H178="A1", H178="A2", H178="G1"), "사원",
    OR(H178="G2", H178="G3"), "선임",
    OR(H178="G4", H178="G5"), "책임"
)</f>
        <v>선임</v>
      </c>
      <c r="J178" s="11">
        <v>41841</v>
      </c>
      <c r="K178" s="11">
        <v>46753</v>
      </c>
      <c r="L178" s="10" t="s">
        <v>927</v>
      </c>
    </row>
    <row r="179" spans="1:12" x14ac:dyDescent="0.45">
      <c r="A179" s="6">
        <v>178</v>
      </c>
      <c r="B179" s="10" t="s">
        <v>1159</v>
      </c>
      <c r="C179" s="10" t="s">
        <v>708</v>
      </c>
      <c r="D179" s="10" t="s">
        <v>709</v>
      </c>
      <c r="E179" s="10" t="s">
        <v>921</v>
      </c>
      <c r="F179" s="10" t="s">
        <v>922</v>
      </c>
      <c r="G179" s="10" t="s">
        <v>1342</v>
      </c>
      <c r="H179" s="10" t="s">
        <v>779</v>
      </c>
      <c r="I179" s="6" t="str" cm="1">
        <f t="array" ref="I179">_xlfn.IFS(
    OR(H179="A1", H179="A2", H179="G1"), "사원",
    OR(H179="G2", H179="G3"), "선임",
    OR(H179="G4", H179="G5"), "책임"
)</f>
        <v>선임</v>
      </c>
      <c r="J179" s="11">
        <v>44921</v>
      </c>
      <c r="K179" s="11">
        <v>47484</v>
      </c>
      <c r="L179" s="10" t="s">
        <v>928</v>
      </c>
    </row>
    <row r="180" spans="1:12" x14ac:dyDescent="0.45">
      <c r="A180" s="6">
        <v>179</v>
      </c>
      <c r="B180" s="10" t="s">
        <v>1159</v>
      </c>
      <c r="C180" s="10" t="s">
        <v>708</v>
      </c>
      <c r="D180" s="10" t="s">
        <v>709</v>
      </c>
      <c r="E180" s="10" t="s">
        <v>929</v>
      </c>
      <c r="F180" s="10" t="s">
        <v>929</v>
      </c>
      <c r="G180" s="10" t="s">
        <v>1343</v>
      </c>
      <c r="H180" s="10" t="s">
        <v>907</v>
      </c>
      <c r="I180" s="6" t="e" cm="1">
        <f t="array" ref="I180">_xlfn.IFS(
    OR(H180="A1", H180="A2", H180="G1"), "사원",
    OR(H180="G2", H180="G3"), "선임",
    OR(H180="G4", H180="G5"), "책임"
)</f>
        <v>#N/A</v>
      </c>
      <c r="J180" s="11">
        <v>35023</v>
      </c>
      <c r="K180" s="11"/>
      <c r="L180" s="10" t="s">
        <v>930</v>
      </c>
    </row>
    <row r="181" spans="1:12" x14ac:dyDescent="0.45">
      <c r="A181" s="6">
        <v>180</v>
      </c>
      <c r="B181" s="10" t="s">
        <v>1159</v>
      </c>
      <c r="C181" s="10" t="s">
        <v>708</v>
      </c>
      <c r="D181" s="10" t="s">
        <v>709</v>
      </c>
      <c r="E181" s="10" t="s">
        <v>929</v>
      </c>
      <c r="F181" s="10" t="s">
        <v>931</v>
      </c>
      <c r="G181" s="10" t="s">
        <v>1344</v>
      </c>
      <c r="H181" s="10" t="s">
        <v>727</v>
      </c>
      <c r="I181" s="6" t="str" cm="1">
        <f t="array" ref="I181">_xlfn.IFS(
    OR(H181="A1", H181="A2", H181="G1"), "사원",
    OR(H181="G2", H181="G3"), "선임",
    OR(H181="G4", H181="G5"), "책임"
)</f>
        <v>책임</v>
      </c>
      <c r="J181" s="11">
        <v>39765</v>
      </c>
      <c r="K181" s="11"/>
      <c r="L181" s="10" t="s">
        <v>932</v>
      </c>
    </row>
    <row r="182" spans="1:12" x14ac:dyDescent="0.45">
      <c r="A182" s="6">
        <v>181</v>
      </c>
      <c r="B182" s="10" t="s">
        <v>1159</v>
      </c>
      <c r="C182" s="10" t="s">
        <v>708</v>
      </c>
      <c r="D182" s="10" t="s">
        <v>709</v>
      </c>
      <c r="E182" s="10" t="s">
        <v>929</v>
      </c>
      <c r="F182" s="10" t="s">
        <v>931</v>
      </c>
      <c r="G182" s="10" t="s">
        <v>1345</v>
      </c>
      <c r="H182" s="10" t="s">
        <v>734</v>
      </c>
      <c r="I182" s="6" t="str" cm="1">
        <f t="array" ref="I182">_xlfn.IFS(
    OR(H182="A1", H182="A2", H182="G1"), "사원",
    OR(H182="G2", H182="G3"), "선임",
    OR(H182="G4", H182="G5"), "책임"
)</f>
        <v>책임</v>
      </c>
      <c r="J182" s="11">
        <v>40616</v>
      </c>
      <c r="K182" s="11">
        <v>46023</v>
      </c>
      <c r="L182" s="10" t="s">
        <v>933</v>
      </c>
    </row>
    <row r="183" spans="1:12" x14ac:dyDescent="0.45">
      <c r="A183" s="6">
        <v>182</v>
      </c>
      <c r="B183" s="10" t="s">
        <v>1159</v>
      </c>
      <c r="C183" s="10" t="s">
        <v>708</v>
      </c>
      <c r="D183" s="10" t="s">
        <v>709</v>
      </c>
      <c r="E183" s="10" t="s">
        <v>929</v>
      </c>
      <c r="F183" s="10" t="s">
        <v>931</v>
      </c>
      <c r="G183" s="10" t="s">
        <v>1346</v>
      </c>
      <c r="H183" s="10" t="s">
        <v>757</v>
      </c>
      <c r="I183" s="6" t="str" cm="1">
        <f t="array" ref="I183">_xlfn.IFS(
    OR(H183="A1", H183="A2", H183="G1"), "사원",
    OR(H183="G2", H183="G3"), "선임",
    OR(H183="G4", H183="G5"), "책임"
)</f>
        <v>선임</v>
      </c>
      <c r="J183" s="11">
        <v>42736</v>
      </c>
      <c r="K183" s="11">
        <v>47484</v>
      </c>
      <c r="L183" s="10" t="s">
        <v>934</v>
      </c>
    </row>
    <row r="184" spans="1:12" x14ac:dyDescent="0.45">
      <c r="A184" s="6">
        <v>183</v>
      </c>
      <c r="B184" s="10" t="s">
        <v>1159</v>
      </c>
      <c r="C184" s="10" t="s">
        <v>708</v>
      </c>
      <c r="D184" s="10" t="s">
        <v>709</v>
      </c>
      <c r="E184" s="10" t="s">
        <v>929</v>
      </c>
      <c r="F184" s="10" t="s">
        <v>931</v>
      </c>
      <c r="G184" s="10" t="s">
        <v>1347</v>
      </c>
      <c r="H184" s="10" t="s">
        <v>757</v>
      </c>
      <c r="I184" s="6" t="str" cm="1">
        <f t="array" ref="I184">_xlfn.IFS(
    OR(H184="A1", H184="A2", H184="G1"), "사원",
    OR(H184="G2", H184="G3"), "선임",
    OR(H184="G4", H184="G5"), "책임"
)</f>
        <v>선임</v>
      </c>
      <c r="J184" s="11">
        <v>41766</v>
      </c>
      <c r="K184" s="11">
        <v>46753</v>
      </c>
      <c r="L184" s="10" t="s">
        <v>935</v>
      </c>
    </row>
    <row r="185" spans="1:12" x14ac:dyDescent="0.45">
      <c r="A185" s="6">
        <v>184</v>
      </c>
      <c r="B185" s="10" t="s">
        <v>1159</v>
      </c>
      <c r="C185" s="10" t="s">
        <v>708</v>
      </c>
      <c r="D185" s="10" t="s">
        <v>709</v>
      </c>
      <c r="E185" s="10" t="s">
        <v>929</v>
      </c>
      <c r="F185" s="10" t="s">
        <v>931</v>
      </c>
      <c r="G185" s="10" t="s">
        <v>1348</v>
      </c>
      <c r="H185" s="10" t="s">
        <v>757</v>
      </c>
      <c r="I185" s="6" t="str" cm="1">
        <f t="array" ref="I185">_xlfn.IFS(
    OR(H185="A1", H185="A2", H185="G1"), "사원",
    OR(H185="G2", H185="G3"), "선임",
    OR(H185="G4", H185="G5"), "책임"
)</f>
        <v>선임</v>
      </c>
      <c r="J185" s="11">
        <v>42870</v>
      </c>
      <c r="K185" s="11">
        <v>46388</v>
      </c>
      <c r="L185" s="10" t="s">
        <v>936</v>
      </c>
    </row>
    <row r="186" spans="1:12" x14ac:dyDescent="0.45">
      <c r="A186" s="6">
        <v>185</v>
      </c>
      <c r="B186" s="10" t="s">
        <v>1159</v>
      </c>
      <c r="C186" s="10" t="s">
        <v>708</v>
      </c>
      <c r="D186" s="10" t="s">
        <v>709</v>
      </c>
      <c r="E186" s="10" t="s">
        <v>929</v>
      </c>
      <c r="F186" s="10" t="s">
        <v>931</v>
      </c>
      <c r="G186" s="10" t="s">
        <v>1349</v>
      </c>
      <c r="H186" s="10" t="s">
        <v>757</v>
      </c>
      <c r="I186" s="6" t="str" cm="1">
        <f t="array" ref="I186">_xlfn.IFS(
    OR(H186="A1", H186="A2", H186="G1"), "사원",
    OR(H186="G2", H186="G3"), "선임",
    OR(H186="G4", H186="G5"), "책임"
)</f>
        <v>선임</v>
      </c>
      <c r="J186" s="11">
        <v>45278</v>
      </c>
      <c r="K186" s="11">
        <v>47484</v>
      </c>
      <c r="L186" s="10" t="s">
        <v>937</v>
      </c>
    </row>
    <row r="187" spans="1:12" x14ac:dyDescent="0.45">
      <c r="A187" s="6">
        <v>186</v>
      </c>
      <c r="B187" s="10" t="s">
        <v>1159</v>
      </c>
      <c r="C187" s="10" t="s">
        <v>708</v>
      </c>
      <c r="D187" s="10" t="s">
        <v>709</v>
      </c>
      <c r="E187" s="10" t="s">
        <v>938</v>
      </c>
      <c r="F187" s="10" t="s">
        <v>938</v>
      </c>
      <c r="G187" s="10" t="s">
        <v>1350</v>
      </c>
      <c r="H187" s="10" t="s">
        <v>722</v>
      </c>
      <c r="I187" s="6" t="e" cm="1">
        <f t="array" ref="I187">_xlfn.IFS(
    OR(H187="A1", H187="A2", H187="G1"), "사원",
    OR(H187="G2", H187="G3"), "선임",
    OR(H187="G4", H187="G5"), "책임"
)</f>
        <v>#N/A</v>
      </c>
      <c r="J187" s="11">
        <v>36281</v>
      </c>
      <c r="K187" s="11"/>
      <c r="L187" s="10" t="s">
        <v>939</v>
      </c>
    </row>
    <row r="188" spans="1:12" x14ac:dyDescent="0.45">
      <c r="A188" s="6">
        <v>187</v>
      </c>
      <c r="B188" s="10" t="s">
        <v>1159</v>
      </c>
      <c r="C188" s="10" t="s">
        <v>708</v>
      </c>
      <c r="D188" s="10" t="s">
        <v>709</v>
      </c>
      <c r="E188" s="10" t="s">
        <v>938</v>
      </c>
      <c r="F188" s="10" t="s">
        <v>940</v>
      </c>
      <c r="G188" s="10" t="s">
        <v>1351</v>
      </c>
      <c r="H188" s="10" t="s">
        <v>727</v>
      </c>
      <c r="I188" s="6" t="str" cm="1">
        <f t="array" ref="I188">_xlfn.IFS(
    OR(H188="A1", H188="A2", H188="G1"), "사원",
    OR(H188="G2", H188="G3"), "선임",
    OR(H188="G4", H188="G5"), "책임"
)</f>
        <v>책임</v>
      </c>
      <c r="J188" s="11">
        <v>40371</v>
      </c>
      <c r="K188" s="11"/>
      <c r="L188" s="10" t="s">
        <v>941</v>
      </c>
    </row>
    <row r="189" spans="1:12" x14ac:dyDescent="0.45">
      <c r="A189" s="6">
        <v>188</v>
      </c>
      <c r="B189" s="10" t="s">
        <v>1159</v>
      </c>
      <c r="C189" s="10" t="s">
        <v>708</v>
      </c>
      <c r="D189" s="10" t="s">
        <v>709</v>
      </c>
      <c r="E189" s="10" t="s">
        <v>938</v>
      </c>
      <c r="F189" s="10" t="s">
        <v>942</v>
      </c>
      <c r="G189" s="10" t="s">
        <v>1352</v>
      </c>
      <c r="H189" s="10" t="s">
        <v>727</v>
      </c>
      <c r="I189" s="6" t="str" cm="1">
        <f t="array" ref="I189">_xlfn.IFS(
    OR(H189="A1", H189="A2", H189="G1"), "사원",
    OR(H189="G2", H189="G3"), "선임",
    OR(H189="G4", H189="G5"), "책임"
)</f>
        <v>책임</v>
      </c>
      <c r="J189" s="11">
        <v>37681</v>
      </c>
      <c r="K189" s="11"/>
      <c r="L189" s="10" t="s">
        <v>943</v>
      </c>
    </row>
    <row r="190" spans="1:12" x14ac:dyDescent="0.45">
      <c r="A190" s="6">
        <v>189</v>
      </c>
      <c r="B190" s="10" t="s">
        <v>1159</v>
      </c>
      <c r="C190" s="10" t="s">
        <v>708</v>
      </c>
      <c r="D190" s="10" t="s">
        <v>709</v>
      </c>
      <c r="E190" s="10" t="s">
        <v>938</v>
      </c>
      <c r="F190" s="10" t="s">
        <v>940</v>
      </c>
      <c r="G190" s="10" t="s">
        <v>1353</v>
      </c>
      <c r="H190" s="10" t="s">
        <v>734</v>
      </c>
      <c r="I190" s="6" t="str" cm="1">
        <f t="array" ref="I190">_xlfn.IFS(
    OR(H190="A1", H190="A2", H190="G1"), "사원",
    OR(H190="G2", H190="G3"), "선임",
    OR(H190="G4", H190="G5"), "책임"
)</f>
        <v>책임</v>
      </c>
      <c r="J190" s="11">
        <v>40179</v>
      </c>
      <c r="K190" s="11">
        <v>46753</v>
      </c>
      <c r="L190" s="10" t="s">
        <v>944</v>
      </c>
    </row>
    <row r="191" spans="1:12" x14ac:dyDescent="0.45">
      <c r="A191" s="6">
        <v>190</v>
      </c>
      <c r="B191" s="10" t="s">
        <v>1159</v>
      </c>
      <c r="C191" s="10" t="s">
        <v>708</v>
      </c>
      <c r="D191" s="10" t="s">
        <v>709</v>
      </c>
      <c r="E191" s="10" t="s">
        <v>938</v>
      </c>
      <c r="F191" s="10" t="s">
        <v>942</v>
      </c>
      <c r="G191" s="10" t="s">
        <v>1354</v>
      </c>
      <c r="H191" s="10" t="s">
        <v>734</v>
      </c>
      <c r="I191" s="6" t="str" cm="1">
        <f t="array" ref="I191">_xlfn.IFS(
    OR(H191="A1", H191="A2", H191="G1"), "사원",
    OR(H191="G2", H191="G3"), "선임",
    OR(H191="G4", H191="G5"), "책임"
)</f>
        <v>책임</v>
      </c>
      <c r="J191" s="11">
        <v>39356</v>
      </c>
      <c r="K191" s="11">
        <v>46023</v>
      </c>
      <c r="L191" s="10" t="s">
        <v>945</v>
      </c>
    </row>
    <row r="192" spans="1:12" x14ac:dyDescent="0.45">
      <c r="A192" s="6">
        <v>191</v>
      </c>
      <c r="B192" s="10" t="s">
        <v>1159</v>
      </c>
      <c r="C192" s="10" t="s">
        <v>708</v>
      </c>
      <c r="D192" s="10" t="s">
        <v>709</v>
      </c>
      <c r="E192" s="10" t="s">
        <v>938</v>
      </c>
      <c r="F192" s="10" t="s">
        <v>940</v>
      </c>
      <c r="G192" s="10" t="s">
        <v>1355</v>
      </c>
      <c r="H192" s="10" t="s">
        <v>757</v>
      </c>
      <c r="I192" s="6" t="str" cm="1">
        <f t="array" ref="I192">_xlfn.IFS(
    OR(H192="A1", H192="A2", H192="G1"), "사원",
    OR(H192="G2", H192="G3"), "선임",
    OR(H192="G4", H192="G5"), "책임"
)</f>
        <v>선임</v>
      </c>
      <c r="J192" s="11">
        <v>41841</v>
      </c>
      <c r="K192" s="11">
        <v>46753</v>
      </c>
      <c r="L192" s="10" t="s">
        <v>946</v>
      </c>
    </row>
    <row r="193" spans="1:12" x14ac:dyDescent="0.45">
      <c r="A193" s="6">
        <v>192</v>
      </c>
      <c r="B193" s="10" t="s">
        <v>1159</v>
      </c>
      <c r="C193" s="10" t="s">
        <v>708</v>
      </c>
      <c r="D193" s="10" t="s">
        <v>709</v>
      </c>
      <c r="E193" s="10" t="s">
        <v>938</v>
      </c>
      <c r="F193" s="10" t="s">
        <v>942</v>
      </c>
      <c r="G193" s="10" t="s">
        <v>1356</v>
      </c>
      <c r="H193" s="10" t="s">
        <v>757</v>
      </c>
      <c r="I193" s="6" t="str" cm="1">
        <f t="array" ref="I193">_xlfn.IFS(
    OR(H193="A1", H193="A2", H193="G1"), "사원",
    OR(H193="G2", H193="G3"), "선임",
    OR(H193="G4", H193="G5"), "책임"
)</f>
        <v>선임</v>
      </c>
      <c r="J193" s="11">
        <v>42303</v>
      </c>
      <c r="K193" s="11">
        <v>47119</v>
      </c>
      <c r="L193" s="10" t="s">
        <v>947</v>
      </c>
    </row>
    <row r="194" spans="1:12" x14ac:dyDescent="0.45">
      <c r="A194" s="6">
        <v>193</v>
      </c>
      <c r="B194" s="10" t="s">
        <v>1159</v>
      </c>
      <c r="C194" s="10" t="s">
        <v>708</v>
      </c>
      <c r="D194" s="10" t="s">
        <v>709</v>
      </c>
      <c r="E194" s="10" t="s">
        <v>938</v>
      </c>
      <c r="F194" s="10" t="s">
        <v>942</v>
      </c>
      <c r="G194" s="10" t="s">
        <v>1357</v>
      </c>
      <c r="H194" s="10" t="s">
        <v>779</v>
      </c>
      <c r="I194" s="6" t="str" cm="1">
        <f t="array" ref="I194">_xlfn.IFS(
    OR(H194="A1", H194="A2", H194="G1"), "사원",
    OR(H194="G2", H194="G3"), "선임",
    OR(H194="G4", H194="G5"), "책임"
)</f>
        <v>선임</v>
      </c>
      <c r="J194" s="11">
        <v>45803</v>
      </c>
      <c r="K194" s="11">
        <v>47484</v>
      </c>
      <c r="L194" s="10" t="s">
        <v>948</v>
      </c>
    </row>
    <row r="195" spans="1:12" x14ac:dyDescent="0.45">
      <c r="A195" s="6">
        <v>194</v>
      </c>
      <c r="B195" s="10" t="s">
        <v>1159</v>
      </c>
      <c r="C195" s="10" t="s">
        <v>708</v>
      </c>
      <c r="D195" s="10" t="s">
        <v>709</v>
      </c>
      <c r="E195" s="10" t="s">
        <v>938</v>
      </c>
      <c r="F195" s="10" t="s">
        <v>940</v>
      </c>
      <c r="G195" s="10" t="s">
        <v>1358</v>
      </c>
      <c r="H195" s="10" t="s">
        <v>711</v>
      </c>
      <c r="I195" s="6" t="str" cm="1">
        <f t="array" ref="I195">_xlfn.IFS(
    OR(H195="A1", H195="A2", H195="G1"), "사원",
    OR(H195="G2", H195="G3"), "선임",
    OR(H195="G4", H195="G5"), "책임"
)</f>
        <v>사원</v>
      </c>
      <c r="J195" s="11">
        <v>44942</v>
      </c>
      <c r="K195" s="11">
        <v>46023</v>
      </c>
      <c r="L195" s="10" t="s">
        <v>949</v>
      </c>
    </row>
    <row r="196" spans="1:12" x14ac:dyDescent="0.45">
      <c r="A196" s="6">
        <v>195</v>
      </c>
      <c r="B196" s="10" t="s">
        <v>1159</v>
      </c>
      <c r="C196" s="10" t="s">
        <v>708</v>
      </c>
      <c r="D196" s="10" t="s">
        <v>709</v>
      </c>
      <c r="E196" s="10" t="s">
        <v>938</v>
      </c>
      <c r="F196" s="10" t="s">
        <v>942</v>
      </c>
      <c r="G196" s="10" t="s">
        <v>1359</v>
      </c>
      <c r="H196" s="10" t="s">
        <v>711</v>
      </c>
      <c r="I196" s="6" t="str" cm="1">
        <f t="array" ref="I196">_xlfn.IFS(
    OR(H196="A1", H196="A2", H196="G1"), "사원",
    OR(H196="G2", H196="G3"), "선임",
    OR(H196="G4", H196="G5"), "책임"
)</f>
        <v>사원</v>
      </c>
      <c r="J196" s="11">
        <v>42443</v>
      </c>
      <c r="K196" s="11">
        <v>46023</v>
      </c>
      <c r="L196" s="10" t="s">
        <v>950</v>
      </c>
    </row>
    <row r="197" spans="1:12" x14ac:dyDescent="0.45">
      <c r="A197" s="6">
        <v>196</v>
      </c>
      <c r="B197" s="10" t="s">
        <v>1159</v>
      </c>
      <c r="C197" s="10" t="s">
        <v>708</v>
      </c>
      <c r="D197" s="10" t="s">
        <v>709</v>
      </c>
      <c r="E197" s="10" t="s">
        <v>938</v>
      </c>
      <c r="F197" s="10" t="s">
        <v>940</v>
      </c>
      <c r="G197" s="10" t="s">
        <v>1360</v>
      </c>
      <c r="H197" s="10" t="s">
        <v>711</v>
      </c>
      <c r="I197" s="6" t="str" cm="1">
        <f t="array" ref="I197">_xlfn.IFS(
    OR(H197="A1", H197="A2", H197="G1"), "사원",
    OR(H197="G2", H197="G3"), "선임",
    OR(H197="G4", H197="G5"), "책임"
)</f>
        <v>사원</v>
      </c>
      <c r="J197" s="11">
        <v>45789</v>
      </c>
      <c r="K197" s="11">
        <v>46023</v>
      </c>
      <c r="L197" s="10" t="s">
        <v>951</v>
      </c>
    </row>
    <row r="198" spans="1:12" x14ac:dyDescent="0.45">
      <c r="A198" s="6">
        <v>197</v>
      </c>
      <c r="B198" s="10" t="s">
        <v>1159</v>
      </c>
      <c r="C198" s="10" t="s">
        <v>708</v>
      </c>
      <c r="D198" s="10" t="s">
        <v>709</v>
      </c>
      <c r="E198" s="10" t="s">
        <v>938</v>
      </c>
      <c r="F198" s="10" t="s">
        <v>942</v>
      </c>
      <c r="G198" s="10" t="s">
        <v>1361</v>
      </c>
      <c r="H198" s="10" t="s">
        <v>711</v>
      </c>
      <c r="I198" s="6" t="str" cm="1">
        <f t="array" ref="I198">_xlfn.IFS(
    OR(H198="A1", H198="A2", H198="G1"), "사원",
    OR(H198="G2", H198="G3"), "선임",
    OR(H198="G4", H198="G5"), "책임"
)</f>
        <v>사원</v>
      </c>
      <c r="J198" s="11">
        <v>45278</v>
      </c>
      <c r="K198" s="11">
        <v>46023</v>
      </c>
      <c r="L198" s="10" t="s">
        <v>952</v>
      </c>
    </row>
    <row r="199" spans="1:12" x14ac:dyDescent="0.45">
      <c r="A199" s="6">
        <v>198</v>
      </c>
      <c r="B199" s="10" t="s">
        <v>1159</v>
      </c>
      <c r="C199" s="10" t="s">
        <v>708</v>
      </c>
      <c r="D199" s="10" t="s">
        <v>709</v>
      </c>
      <c r="E199" s="10" t="s">
        <v>938</v>
      </c>
      <c r="F199" s="10" t="s">
        <v>940</v>
      </c>
      <c r="G199" s="10" t="s">
        <v>1362</v>
      </c>
      <c r="H199" s="10" t="s">
        <v>812</v>
      </c>
      <c r="I199" s="6" t="e" cm="1">
        <f t="array" ref="I199">_xlfn.IFS(
    OR(H199="A1", H199="A2", H199="G1"), "사원",
    OR(H199="G2", H199="G3"), "선임",
    OR(H199="G4", H199="G5"), "책임"
)</f>
        <v>#N/A</v>
      </c>
      <c r="J199" s="11">
        <v>45839</v>
      </c>
      <c r="K199" s="11">
        <v>47119</v>
      </c>
      <c r="L199" s="10" t="s">
        <v>953</v>
      </c>
    </row>
    <row r="200" spans="1:12" x14ac:dyDescent="0.45">
      <c r="A200" s="6">
        <v>199</v>
      </c>
      <c r="B200" s="10" t="s">
        <v>1159</v>
      </c>
      <c r="C200" s="10" t="s">
        <v>708</v>
      </c>
      <c r="D200" s="10" t="s">
        <v>709</v>
      </c>
      <c r="E200" s="10" t="s">
        <v>954</v>
      </c>
      <c r="F200" s="10" t="s">
        <v>954</v>
      </c>
      <c r="G200" s="10" t="s">
        <v>1363</v>
      </c>
      <c r="H200" s="10" t="s">
        <v>722</v>
      </c>
      <c r="I200" s="6" t="e" cm="1">
        <f t="array" ref="I200">_xlfn.IFS(
    OR(H200="A1", H200="A2", H200="G1"), "사원",
    OR(H200="G2", H200="G3"), "선임",
    OR(H200="G4", H200="G5"), "책임"
)</f>
        <v>#N/A</v>
      </c>
      <c r="J200" s="11">
        <v>40087</v>
      </c>
      <c r="K200" s="11"/>
      <c r="L200" s="10" t="s">
        <v>955</v>
      </c>
    </row>
    <row r="201" spans="1:12" x14ac:dyDescent="0.45">
      <c r="A201" s="6">
        <v>200</v>
      </c>
      <c r="B201" s="10" t="s">
        <v>1159</v>
      </c>
      <c r="C201" s="10" t="s">
        <v>708</v>
      </c>
      <c r="D201" s="10" t="s">
        <v>709</v>
      </c>
      <c r="E201" s="10" t="s">
        <v>954</v>
      </c>
      <c r="F201" s="10" t="s">
        <v>956</v>
      </c>
      <c r="G201" s="10" t="s">
        <v>1364</v>
      </c>
      <c r="H201" s="10" t="s">
        <v>727</v>
      </c>
      <c r="I201" s="6" t="str" cm="1">
        <f t="array" ref="I201">_xlfn.IFS(
    OR(H201="A1", H201="A2", H201="G1"), "사원",
    OR(H201="G2", H201="G3"), "선임",
    OR(H201="G4", H201="G5"), "책임"
)</f>
        <v>책임</v>
      </c>
      <c r="J201" s="11">
        <v>42186</v>
      </c>
      <c r="K201" s="11"/>
      <c r="L201" s="10" t="s">
        <v>957</v>
      </c>
    </row>
    <row r="202" spans="1:12" x14ac:dyDescent="0.45">
      <c r="A202" s="6">
        <v>201</v>
      </c>
      <c r="B202" s="10" t="s">
        <v>1159</v>
      </c>
      <c r="C202" s="10" t="s">
        <v>708</v>
      </c>
      <c r="D202" s="10" t="s">
        <v>709</v>
      </c>
      <c r="E202" s="10" t="s">
        <v>954</v>
      </c>
      <c r="F202" s="10" t="s">
        <v>958</v>
      </c>
      <c r="G202" s="10" t="s">
        <v>1365</v>
      </c>
      <c r="H202" s="10" t="s">
        <v>727</v>
      </c>
      <c r="I202" s="6" t="str" cm="1">
        <f t="array" ref="I202">_xlfn.IFS(
    OR(H202="A1", H202="A2", H202="G1"), "사원",
    OR(H202="G2", H202="G3"), "선임",
    OR(H202="G4", H202="G5"), "책임"
)</f>
        <v>책임</v>
      </c>
      <c r="J202" s="11">
        <v>38539</v>
      </c>
      <c r="K202" s="11"/>
      <c r="L202" s="10" t="s">
        <v>959</v>
      </c>
    </row>
    <row r="203" spans="1:12" x14ac:dyDescent="0.45">
      <c r="A203" s="6">
        <v>202</v>
      </c>
      <c r="B203" s="10" t="s">
        <v>1159</v>
      </c>
      <c r="C203" s="10" t="s">
        <v>708</v>
      </c>
      <c r="D203" s="10" t="s">
        <v>709</v>
      </c>
      <c r="E203" s="10" t="s">
        <v>954</v>
      </c>
      <c r="F203" s="10" t="s">
        <v>958</v>
      </c>
      <c r="G203" s="10" t="s">
        <v>1366</v>
      </c>
      <c r="H203" s="10" t="s">
        <v>734</v>
      </c>
      <c r="I203" s="6" t="str" cm="1">
        <f t="array" ref="I203">_xlfn.IFS(
    OR(H203="A1", H203="A2", H203="G1"), "사원",
    OR(H203="G2", H203="G3"), "선임",
    OR(H203="G4", H203="G5"), "책임"
)</f>
        <v>책임</v>
      </c>
      <c r="J203" s="11">
        <v>40544</v>
      </c>
      <c r="K203" s="11">
        <v>46753</v>
      </c>
      <c r="L203" s="10" t="s">
        <v>960</v>
      </c>
    </row>
    <row r="204" spans="1:12" x14ac:dyDescent="0.45">
      <c r="A204" s="6">
        <v>203</v>
      </c>
      <c r="B204" s="10" t="s">
        <v>1159</v>
      </c>
      <c r="C204" s="10" t="s">
        <v>708</v>
      </c>
      <c r="D204" s="10" t="s">
        <v>709</v>
      </c>
      <c r="E204" s="10" t="s">
        <v>954</v>
      </c>
      <c r="F204" s="10" t="s">
        <v>956</v>
      </c>
      <c r="G204" s="10" t="s">
        <v>1367</v>
      </c>
      <c r="H204" s="10" t="s">
        <v>734</v>
      </c>
      <c r="I204" s="6" t="str" cm="1">
        <f t="array" ref="I204">_xlfn.IFS(
    OR(H204="A1", H204="A2", H204="G1"), "사원",
    OR(H204="G2", H204="G3"), "선임",
    OR(H204="G4", H204="G5"), "책임"
)</f>
        <v>책임</v>
      </c>
      <c r="J204" s="11">
        <v>40544</v>
      </c>
      <c r="K204" s="11">
        <v>47119</v>
      </c>
      <c r="L204" s="10" t="s">
        <v>961</v>
      </c>
    </row>
    <row r="205" spans="1:12" x14ac:dyDescent="0.45">
      <c r="A205" s="6">
        <v>204</v>
      </c>
      <c r="B205" s="10" t="s">
        <v>1159</v>
      </c>
      <c r="C205" s="10" t="s">
        <v>708</v>
      </c>
      <c r="D205" s="10" t="s">
        <v>709</v>
      </c>
      <c r="E205" s="10" t="s">
        <v>954</v>
      </c>
      <c r="F205" s="10" t="s">
        <v>962</v>
      </c>
      <c r="G205" s="10" t="s">
        <v>1368</v>
      </c>
      <c r="H205" s="10" t="s">
        <v>734</v>
      </c>
      <c r="I205" s="6" t="str" cm="1">
        <f t="array" ref="I205">_xlfn.IFS(
    OR(H205="A1", H205="A2", H205="G1"), "사원",
    OR(H205="G2", H205="G3"), "선임",
    OR(H205="G4", H205="G5"), "책임"
)</f>
        <v>책임</v>
      </c>
      <c r="J205" s="11">
        <v>40112</v>
      </c>
      <c r="K205" s="11">
        <v>46388</v>
      </c>
      <c r="L205" s="10" t="s">
        <v>963</v>
      </c>
    </row>
    <row r="206" spans="1:12" x14ac:dyDescent="0.45">
      <c r="A206" s="6">
        <v>205</v>
      </c>
      <c r="B206" s="10" t="s">
        <v>1159</v>
      </c>
      <c r="C206" s="10" t="s">
        <v>708</v>
      </c>
      <c r="D206" s="10" t="s">
        <v>709</v>
      </c>
      <c r="E206" s="10" t="s">
        <v>954</v>
      </c>
      <c r="F206" s="10" t="s">
        <v>962</v>
      </c>
      <c r="G206" s="10" t="s">
        <v>1369</v>
      </c>
      <c r="H206" s="10" t="s">
        <v>734</v>
      </c>
      <c r="I206" s="6" t="str" cm="1">
        <f t="array" ref="I206">_xlfn.IFS(
    OR(H206="A1", H206="A2", H206="G1"), "사원",
    OR(H206="G2", H206="G3"), "선임",
    OR(H206="G4", H206="G5"), "책임"
)</f>
        <v>책임</v>
      </c>
      <c r="J206" s="11">
        <v>40483</v>
      </c>
      <c r="K206" s="11">
        <v>47119</v>
      </c>
      <c r="L206" s="10" t="s">
        <v>964</v>
      </c>
    </row>
    <row r="207" spans="1:12" x14ac:dyDescent="0.45">
      <c r="A207" s="6">
        <v>206</v>
      </c>
      <c r="B207" s="10" t="s">
        <v>1159</v>
      </c>
      <c r="C207" s="10" t="s">
        <v>708</v>
      </c>
      <c r="D207" s="10" t="s">
        <v>709</v>
      </c>
      <c r="E207" s="10" t="s">
        <v>954</v>
      </c>
      <c r="F207" s="10" t="s">
        <v>958</v>
      </c>
      <c r="G207" s="10" t="s">
        <v>1370</v>
      </c>
      <c r="H207" s="10" t="s">
        <v>734</v>
      </c>
      <c r="I207" s="6" t="str" cm="1">
        <f t="array" ref="I207">_xlfn.IFS(
    OR(H207="A1", H207="A2", H207="G1"), "사원",
    OR(H207="G2", H207="G3"), "선임",
    OR(H207="G4", H207="G5"), "책임"
)</f>
        <v>책임</v>
      </c>
      <c r="J207" s="11">
        <v>38726</v>
      </c>
      <c r="K207" s="11">
        <v>45292</v>
      </c>
      <c r="L207" s="10" t="s">
        <v>965</v>
      </c>
    </row>
    <row r="208" spans="1:12" x14ac:dyDescent="0.45">
      <c r="A208" s="6">
        <v>207</v>
      </c>
      <c r="B208" s="10" t="s">
        <v>1159</v>
      </c>
      <c r="C208" s="10" t="s">
        <v>708</v>
      </c>
      <c r="D208" s="10" t="s">
        <v>709</v>
      </c>
      <c r="E208" s="10" t="s">
        <v>954</v>
      </c>
      <c r="F208" s="10" t="s">
        <v>962</v>
      </c>
      <c r="G208" s="10" t="s">
        <v>1371</v>
      </c>
      <c r="H208" s="10" t="s">
        <v>734</v>
      </c>
      <c r="I208" s="6" t="str" cm="1">
        <f t="array" ref="I208">_xlfn.IFS(
    OR(H208="A1", H208="A2", H208="G1"), "사원",
    OR(H208="G2", H208="G3"), "선임",
    OR(H208="G4", H208="G5"), "책임"
)</f>
        <v>책임</v>
      </c>
      <c r="J208" s="11">
        <v>39980</v>
      </c>
      <c r="K208" s="11">
        <v>46388</v>
      </c>
      <c r="L208" s="10" t="s">
        <v>966</v>
      </c>
    </row>
    <row r="209" spans="1:12" x14ac:dyDescent="0.45">
      <c r="A209" s="6">
        <v>208</v>
      </c>
      <c r="B209" s="10" t="s">
        <v>1159</v>
      </c>
      <c r="C209" s="10" t="s">
        <v>708</v>
      </c>
      <c r="D209" s="10" t="s">
        <v>709</v>
      </c>
      <c r="E209" s="10" t="s">
        <v>954</v>
      </c>
      <c r="F209" s="10" t="s">
        <v>958</v>
      </c>
      <c r="G209" s="10" t="s">
        <v>1372</v>
      </c>
      <c r="H209" s="10" t="s">
        <v>757</v>
      </c>
      <c r="I209" s="6" t="str" cm="1">
        <f t="array" ref="I209">_xlfn.IFS(
    OR(H209="A1", H209="A2", H209="G1"), "사원",
    OR(H209="G2", H209="G3"), "선임",
    OR(H209="G4", H209="G5"), "책임"
)</f>
        <v>선임</v>
      </c>
      <c r="J209" s="11">
        <v>41015</v>
      </c>
      <c r="K209" s="11">
        <v>46753</v>
      </c>
      <c r="L209" s="10" t="s">
        <v>967</v>
      </c>
    </row>
    <row r="210" spans="1:12" x14ac:dyDescent="0.45">
      <c r="A210" s="6">
        <v>209</v>
      </c>
      <c r="B210" s="10" t="s">
        <v>1159</v>
      </c>
      <c r="C210" s="10" t="s">
        <v>708</v>
      </c>
      <c r="D210" s="10" t="s">
        <v>709</v>
      </c>
      <c r="E210" s="10" t="s">
        <v>954</v>
      </c>
      <c r="F210" s="10" t="s">
        <v>956</v>
      </c>
      <c r="G210" s="10" t="s">
        <v>1373</v>
      </c>
      <c r="H210" s="10" t="s">
        <v>757</v>
      </c>
      <c r="I210" s="6" t="str" cm="1">
        <f t="array" ref="I210">_xlfn.IFS(
    OR(H210="A1", H210="A2", H210="G1"), "사원",
    OR(H210="G2", H210="G3"), "선임",
    OR(H210="G4", H210="G5"), "책임"
)</f>
        <v>선임</v>
      </c>
      <c r="J210" s="11">
        <v>45803</v>
      </c>
      <c r="K210" s="11">
        <v>46753</v>
      </c>
      <c r="L210" s="10" t="s">
        <v>968</v>
      </c>
    </row>
    <row r="211" spans="1:12" x14ac:dyDescent="0.45">
      <c r="A211" s="6">
        <v>210</v>
      </c>
      <c r="B211" s="10" t="s">
        <v>1159</v>
      </c>
      <c r="C211" s="10" t="s">
        <v>708</v>
      </c>
      <c r="D211" s="10" t="s">
        <v>709</v>
      </c>
      <c r="E211" s="10" t="s">
        <v>954</v>
      </c>
      <c r="F211" s="10" t="s">
        <v>962</v>
      </c>
      <c r="G211" s="10" t="s">
        <v>1374</v>
      </c>
      <c r="H211" s="10" t="s">
        <v>757</v>
      </c>
      <c r="I211" s="6" t="str" cm="1">
        <f t="array" ref="I211">_xlfn.IFS(
    OR(H211="A1", H211="A2", H211="G1"), "사원",
    OR(H211="G2", H211="G3"), "선임",
    OR(H211="G4", H211="G5"), "책임"
)</f>
        <v>선임</v>
      </c>
      <c r="J211" s="11">
        <v>42592</v>
      </c>
      <c r="K211" s="11">
        <v>47484</v>
      </c>
      <c r="L211" s="10" t="s">
        <v>969</v>
      </c>
    </row>
    <row r="212" spans="1:12" x14ac:dyDescent="0.45">
      <c r="A212" s="6">
        <v>211</v>
      </c>
      <c r="B212" s="10" t="s">
        <v>1159</v>
      </c>
      <c r="C212" s="10" t="s">
        <v>708</v>
      </c>
      <c r="D212" s="10" t="s">
        <v>709</v>
      </c>
      <c r="E212" s="10" t="s">
        <v>954</v>
      </c>
      <c r="F212" s="10" t="s">
        <v>962</v>
      </c>
      <c r="G212" s="10" t="s">
        <v>1375</v>
      </c>
      <c r="H212" s="10" t="s">
        <v>757</v>
      </c>
      <c r="I212" s="6" t="str" cm="1">
        <f t="array" ref="I212">_xlfn.IFS(
    OR(H212="A1", H212="A2", H212="G1"), "사원",
    OR(H212="G2", H212="G3"), "선임",
    OR(H212="G4", H212="G5"), "책임"
)</f>
        <v>선임</v>
      </c>
      <c r="J212" s="11">
        <v>41275</v>
      </c>
      <c r="K212" s="11">
        <v>46023</v>
      </c>
      <c r="L212" s="10" t="s">
        <v>970</v>
      </c>
    </row>
    <row r="213" spans="1:12" x14ac:dyDescent="0.45">
      <c r="A213" s="6">
        <v>212</v>
      </c>
      <c r="B213" s="10" t="s">
        <v>1159</v>
      </c>
      <c r="C213" s="10" t="s">
        <v>708</v>
      </c>
      <c r="D213" s="10" t="s">
        <v>709</v>
      </c>
      <c r="E213" s="10" t="s">
        <v>954</v>
      </c>
      <c r="F213" s="10" t="s">
        <v>956</v>
      </c>
      <c r="G213" s="10" t="s">
        <v>1376</v>
      </c>
      <c r="H213" s="10" t="s">
        <v>757</v>
      </c>
      <c r="I213" s="6" t="str" cm="1">
        <f t="array" ref="I213">_xlfn.IFS(
    OR(H213="A1", H213="A2", H213="G1"), "사원",
    OR(H213="G2", H213="G3"), "선임",
    OR(H213="G4", H213="G5"), "책임"
)</f>
        <v>선임</v>
      </c>
      <c r="J213" s="11">
        <v>41275</v>
      </c>
      <c r="K213" s="11">
        <v>46023</v>
      </c>
      <c r="L213" s="10" t="s">
        <v>971</v>
      </c>
    </row>
    <row r="214" spans="1:12" x14ac:dyDescent="0.45">
      <c r="A214" s="6">
        <v>213</v>
      </c>
      <c r="B214" s="10" t="s">
        <v>1159</v>
      </c>
      <c r="C214" s="10" t="s">
        <v>708</v>
      </c>
      <c r="D214" s="10" t="s">
        <v>709</v>
      </c>
      <c r="E214" s="10" t="s">
        <v>954</v>
      </c>
      <c r="F214" s="10" t="s">
        <v>956</v>
      </c>
      <c r="G214" s="10" t="s">
        <v>1377</v>
      </c>
      <c r="H214" s="10" t="s">
        <v>757</v>
      </c>
      <c r="I214" s="6" t="str" cm="1">
        <f t="array" ref="I214">_xlfn.IFS(
    OR(H214="A1", H214="A2", H214="G1"), "사원",
    OR(H214="G2", H214="G3"), "선임",
    OR(H214="G4", H214="G5"), "책임"
)</f>
        <v>선임</v>
      </c>
      <c r="J214" s="11">
        <v>41414</v>
      </c>
      <c r="K214" s="11">
        <v>47484</v>
      </c>
      <c r="L214" s="10" t="s">
        <v>972</v>
      </c>
    </row>
    <row r="215" spans="1:12" x14ac:dyDescent="0.45">
      <c r="A215" s="6">
        <v>214</v>
      </c>
      <c r="B215" s="10" t="s">
        <v>1159</v>
      </c>
      <c r="C215" s="10" t="s">
        <v>708</v>
      </c>
      <c r="D215" s="10" t="s">
        <v>709</v>
      </c>
      <c r="E215" s="10" t="s">
        <v>954</v>
      </c>
      <c r="F215" s="10" t="s">
        <v>962</v>
      </c>
      <c r="G215" s="10" t="s">
        <v>1378</v>
      </c>
      <c r="H215" s="10" t="s">
        <v>757</v>
      </c>
      <c r="I215" s="6" t="str" cm="1">
        <f t="array" ref="I215">_xlfn.IFS(
    OR(H215="A1", H215="A2", H215="G1"), "사원",
    OR(H215="G2", H215="G3"), "선임",
    OR(H215="G4", H215="G5"), "책임"
)</f>
        <v>선임</v>
      </c>
      <c r="J215" s="11">
        <v>42592</v>
      </c>
      <c r="K215" s="11">
        <v>47484</v>
      </c>
      <c r="L215" s="10" t="s">
        <v>973</v>
      </c>
    </row>
    <row r="216" spans="1:12" x14ac:dyDescent="0.45">
      <c r="A216" s="6">
        <v>215</v>
      </c>
      <c r="B216" s="10" t="s">
        <v>1159</v>
      </c>
      <c r="C216" s="10" t="s">
        <v>708</v>
      </c>
      <c r="D216" s="10" t="s">
        <v>709</v>
      </c>
      <c r="E216" s="10" t="s">
        <v>954</v>
      </c>
      <c r="F216" s="10" t="s">
        <v>956</v>
      </c>
      <c r="G216" s="10" t="s">
        <v>1379</v>
      </c>
      <c r="H216" s="10" t="s">
        <v>757</v>
      </c>
      <c r="I216" s="6" t="str" cm="1">
        <f t="array" ref="I216">_xlfn.IFS(
    OR(H216="A1", H216="A2", H216="G1"), "사원",
    OR(H216="G2", H216="G3"), "선임",
    OR(H216="G4", H216="G5"), "책임"
)</f>
        <v>선임</v>
      </c>
      <c r="J216" s="11">
        <v>45264</v>
      </c>
      <c r="K216" s="11">
        <v>47119</v>
      </c>
      <c r="L216" s="10" t="s">
        <v>974</v>
      </c>
    </row>
    <row r="217" spans="1:12" x14ac:dyDescent="0.45">
      <c r="A217" s="6">
        <v>216</v>
      </c>
      <c r="B217" s="10" t="s">
        <v>1159</v>
      </c>
      <c r="C217" s="10" t="s">
        <v>708</v>
      </c>
      <c r="D217" s="10" t="s">
        <v>709</v>
      </c>
      <c r="E217" s="10" t="s">
        <v>954</v>
      </c>
      <c r="F217" s="10" t="s">
        <v>956</v>
      </c>
      <c r="G217" s="10" t="s">
        <v>1380</v>
      </c>
      <c r="H217" s="10" t="s">
        <v>757</v>
      </c>
      <c r="I217" s="6" t="str" cm="1">
        <f t="array" ref="I217">_xlfn.IFS(
    OR(H217="A1", H217="A2", H217="G1"), "사원",
    OR(H217="G2", H217="G3"), "선임",
    OR(H217="G4", H217="G5"), "책임"
)</f>
        <v>선임</v>
      </c>
      <c r="J217" s="11">
        <v>45110</v>
      </c>
      <c r="K217" s="11">
        <v>46753</v>
      </c>
      <c r="L217" s="10" t="s">
        <v>975</v>
      </c>
    </row>
    <row r="218" spans="1:12" x14ac:dyDescent="0.45">
      <c r="A218" s="6">
        <v>217</v>
      </c>
      <c r="B218" s="10" t="s">
        <v>1159</v>
      </c>
      <c r="C218" s="10" t="s">
        <v>708</v>
      </c>
      <c r="D218" s="10" t="s">
        <v>709</v>
      </c>
      <c r="E218" s="10" t="s">
        <v>954</v>
      </c>
      <c r="F218" s="10" t="s">
        <v>956</v>
      </c>
      <c r="G218" s="10" t="s">
        <v>1381</v>
      </c>
      <c r="H218" s="10" t="s">
        <v>757</v>
      </c>
      <c r="I218" s="6" t="str" cm="1">
        <f t="array" ref="I218">_xlfn.IFS(
    OR(H218="A1", H218="A2", H218="G1"), "사원",
    OR(H218="G2", H218="G3"), "선임",
    OR(H218="G4", H218="G5"), "책임"
)</f>
        <v>선임</v>
      </c>
      <c r="J218" s="11">
        <v>42137</v>
      </c>
      <c r="K218" s="11">
        <v>46753</v>
      </c>
      <c r="L218" s="10" t="s">
        <v>976</v>
      </c>
    </row>
    <row r="219" spans="1:12" x14ac:dyDescent="0.45">
      <c r="A219" s="6">
        <v>218</v>
      </c>
      <c r="B219" s="10" t="s">
        <v>1159</v>
      </c>
      <c r="C219" s="10" t="s">
        <v>708</v>
      </c>
      <c r="D219" s="10" t="s">
        <v>709</v>
      </c>
      <c r="E219" s="10" t="s">
        <v>954</v>
      </c>
      <c r="F219" s="10" t="s">
        <v>958</v>
      </c>
      <c r="G219" s="10" t="s">
        <v>1382</v>
      </c>
      <c r="H219" s="10" t="s">
        <v>757</v>
      </c>
      <c r="I219" s="6" t="str" cm="1">
        <f t="array" ref="I219">_xlfn.IFS(
    OR(H219="A1", H219="A2", H219="G1"), "사원",
    OR(H219="G2", H219="G3"), "선임",
    OR(H219="G4", H219="G5"), "책임"
)</f>
        <v>선임</v>
      </c>
      <c r="J219" s="11">
        <v>40308</v>
      </c>
      <c r="K219" s="11">
        <v>46388</v>
      </c>
      <c r="L219" s="10" t="s">
        <v>977</v>
      </c>
    </row>
    <row r="220" spans="1:12" x14ac:dyDescent="0.45">
      <c r="A220" s="6">
        <v>219</v>
      </c>
      <c r="B220" s="10" t="s">
        <v>1159</v>
      </c>
      <c r="C220" s="10" t="s">
        <v>708</v>
      </c>
      <c r="D220" s="10" t="s">
        <v>709</v>
      </c>
      <c r="E220" s="10" t="s">
        <v>954</v>
      </c>
      <c r="F220" s="10" t="s">
        <v>962</v>
      </c>
      <c r="G220" s="10" t="s">
        <v>1383</v>
      </c>
      <c r="H220" s="10" t="s">
        <v>757</v>
      </c>
      <c r="I220" s="6" t="str" cm="1">
        <f t="array" ref="I220">_xlfn.IFS(
    OR(H220="A1", H220="A2", H220="G1"), "사원",
    OR(H220="G2", H220="G3"), "선임",
    OR(H220="G4", H220="G5"), "책임"
)</f>
        <v>선임</v>
      </c>
      <c r="J220" s="11">
        <v>40161</v>
      </c>
      <c r="K220" s="11">
        <v>46388</v>
      </c>
      <c r="L220" s="10" t="s">
        <v>978</v>
      </c>
    </row>
    <row r="221" spans="1:12" s="15" customFormat="1" x14ac:dyDescent="0.45">
      <c r="A221" s="12">
        <v>220</v>
      </c>
      <c r="B221" s="13" t="s">
        <v>1159</v>
      </c>
      <c r="C221" s="13" t="s">
        <v>708</v>
      </c>
      <c r="D221" s="13" t="s">
        <v>709</v>
      </c>
      <c r="E221" s="13" t="s">
        <v>954</v>
      </c>
      <c r="F221" s="13" t="s">
        <v>956</v>
      </c>
      <c r="G221" s="13" t="s">
        <v>1384</v>
      </c>
      <c r="H221" s="13" t="s">
        <v>757</v>
      </c>
      <c r="I221" s="12" t="str" cm="1">
        <f t="array" ref="I221">_xlfn.IFS(
    OR(H221="A1", H221="A2", H221="G1"), "사원",
    OR(H221="G2", H221="G3"), "선임",
    OR(H221="G4", H221="G5"), "책임"
)</f>
        <v>선임</v>
      </c>
      <c r="J221" s="14">
        <v>40695</v>
      </c>
      <c r="K221" s="14">
        <v>46023</v>
      </c>
      <c r="L221" s="13" t="s">
        <v>979</v>
      </c>
    </row>
    <row r="222" spans="1:12" x14ac:dyDescent="0.45">
      <c r="A222" s="6">
        <v>221</v>
      </c>
      <c r="B222" s="10" t="s">
        <v>1159</v>
      </c>
      <c r="C222" s="10" t="s">
        <v>708</v>
      </c>
      <c r="D222" s="10" t="s">
        <v>709</v>
      </c>
      <c r="E222" s="10" t="s">
        <v>954</v>
      </c>
      <c r="F222" s="10" t="s">
        <v>962</v>
      </c>
      <c r="G222" s="10" t="s">
        <v>1385</v>
      </c>
      <c r="H222" s="10" t="s">
        <v>779</v>
      </c>
      <c r="I222" s="6" t="str" cm="1">
        <f t="array" ref="I222">_xlfn.IFS(
    OR(H222="A1", H222="A2", H222="G1"), "사원",
    OR(H222="G2", H222="G3"), "선임",
    OR(H222="G4", H222="G5"), "책임"
)</f>
        <v>선임</v>
      </c>
      <c r="J222" s="11">
        <v>45803</v>
      </c>
      <c r="K222" s="11">
        <v>47484</v>
      </c>
      <c r="L222" s="10" t="s">
        <v>980</v>
      </c>
    </row>
    <row r="223" spans="1:12" x14ac:dyDescent="0.45">
      <c r="A223" s="6">
        <v>222</v>
      </c>
      <c r="B223" s="10" t="s">
        <v>1159</v>
      </c>
      <c r="C223" s="10" t="s">
        <v>708</v>
      </c>
      <c r="D223" s="10" t="s">
        <v>709</v>
      </c>
      <c r="E223" s="10" t="s">
        <v>954</v>
      </c>
      <c r="F223" s="10" t="s">
        <v>956</v>
      </c>
      <c r="G223" s="10" t="s">
        <v>1386</v>
      </c>
      <c r="H223" s="10" t="s">
        <v>779</v>
      </c>
      <c r="I223" s="6" t="str" cm="1">
        <f t="array" ref="I223">_xlfn.IFS(
    OR(H223="A1", H223="A2", H223="G1"), "사원",
    OR(H223="G2", H223="G3"), "선임",
    OR(H223="G4", H223="G5"), "책임"
)</f>
        <v>선임</v>
      </c>
      <c r="J223" s="11">
        <v>45278</v>
      </c>
      <c r="K223" s="11">
        <v>47484</v>
      </c>
      <c r="L223" s="10" t="s">
        <v>981</v>
      </c>
    </row>
    <row r="224" spans="1:12" x14ac:dyDescent="0.45">
      <c r="A224" s="6">
        <v>223</v>
      </c>
      <c r="B224" s="10" t="s">
        <v>1159</v>
      </c>
      <c r="C224" s="10" t="s">
        <v>708</v>
      </c>
      <c r="D224" s="10" t="s">
        <v>709</v>
      </c>
      <c r="E224" s="10" t="s">
        <v>954</v>
      </c>
      <c r="F224" s="10" t="s">
        <v>958</v>
      </c>
      <c r="G224" s="10" t="s">
        <v>1387</v>
      </c>
      <c r="H224" s="10" t="s">
        <v>779</v>
      </c>
      <c r="I224" s="6" t="str" cm="1">
        <f t="array" ref="I224">_xlfn.IFS(
    OR(H224="A1", H224="A2", H224="G1"), "사원",
    OR(H224="G2", H224="G3"), "선임",
    OR(H224="G4", H224="G5"), "책임"
)</f>
        <v>선임</v>
      </c>
      <c r="J224" s="11">
        <v>45257</v>
      </c>
      <c r="K224" s="11">
        <v>46388</v>
      </c>
      <c r="L224" s="10" t="s">
        <v>982</v>
      </c>
    </row>
    <row r="225" spans="1:12" x14ac:dyDescent="0.45">
      <c r="A225" s="6">
        <v>224</v>
      </c>
      <c r="B225" s="10" t="s">
        <v>1159</v>
      </c>
      <c r="C225" s="10" t="s">
        <v>708</v>
      </c>
      <c r="D225" s="10" t="s">
        <v>709</v>
      </c>
      <c r="E225" s="10" t="s">
        <v>954</v>
      </c>
      <c r="F225" s="10" t="s">
        <v>958</v>
      </c>
      <c r="G225" s="10" t="s">
        <v>1388</v>
      </c>
      <c r="H225" s="10" t="s">
        <v>779</v>
      </c>
      <c r="I225" s="6" t="str" cm="1">
        <f t="array" ref="I225">_xlfn.IFS(
    OR(H225="A1", H225="A2", H225="G1"), "사원",
    OR(H225="G2", H225="G3"), "선임",
    OR(H225="G4", H225="G5"), "책임"
)</f>
        <v>선임</v>
      </c>
      <c r="J225" s="11">
        <v>45203</v>
      </c>
      <c r="K225" s="11">
        <v>46388</v>
      </c>
      <c r="L225" s="10" t="s">
        <v>983</v>
      </c>
    </row>
    <row r="226" spans="1:12" x14ac:dyDescent="0.45">
      <c r="A226" s="6">
        <v>225</v>
      </c>
      <c r="B226" s="10" t="s">
        <v>1159</v>
      </c>
      <c r="C226" s="10" t="s">
        <v>708</v>
      </c>
      <c r="D226" s="10" t="s">
        <v>709</v>
      </c>
      <c r="E226" s="10" t="s">
        <v>954</v>
      </c>
      <c r="F226" s="10" t="s">
        <v>958</v>
      </c>
      <c r="G226" s="10" t="s">
        <v>1389</v>
      </c>
      <c r="H226" s="10" t="s">
        <v>779</v>
      </c>
      <c r="I226" s="6" t="str" cm="1">
        <f t="array" ref="I226">_xlfn.IFS(
    OR(H226="A1", H226="A2", H226="G1"), "사원",
    OR(H226="G2", H226="G3"), "선임",
    OR(H226="G4", H226="G5"), "책임"
)</f>
        <v>선임</v>
      </c>
      <c r="J226" s="11">
        <v>45076</v>
      </c>
      <c r="K226" s="11">
        <v>47119</v>
      </c>
      <c r="L226" s="10" t="s">
        <v>984</v>
      </c>
    </row>
    <row r="227" spans="1:12" x14ac:dyDescent="0.45">
      <c r="A227" s="6">
        <v>226</v>
      </c>
      <c r="B227" s="10" t="s">
        <v>1159</v>
      </c>
      <c r="C227" s="10" t="s">
        <v>708</v>
      </c>
      <c r="D227" s="10" t="s">
        <v>709</v>
      </c>
      <c r="E227" s="10" t="s">
        <v>954</v>
      </c>
      <c r="F227" s="10" t="s">
        <v>956</v>
      </c>
      <c r="G227" s="10" t="s">
        <v>1390</v>
      </c>
      <c r="H227" s="10" t="s">
        <v>779</v>
      </c>
      <c r="I227" s="6" t="str" cm="1">
        <f t="array" ref="I227">_xlfn.IFS(
    OR(H227="A1", H227="A2", H227="G1"), "사원",
    OR(H227="G2", H227="G3"), "선임",
    OR(H227="G4", H227="G5"), "책임"
)</f>
        <v>선임</v>
      </c>
      <c r="J227" s="11">
        <v>44942</v>
      </c>
      <c r="K227" s="11">
        <v>47119</v>
      </c>
      <c r="L227" s="10" t="s">
        <v>985</v>
      </c>
    </row>
    <row r="228" spans="1:12" x14ac:dyDescent="0.45">
      <c r="A228" s="6">
        <v>227</v>
      </c>
      <c r="B228" s="10" t="s">
        <v>1159</v>
      </c>
      <c r="C228" s="10" t="s">
        <v>708</v>
      </c>
      <c r="D228" s="10" t="s">
        <v>709</v>
      </c>
      <c r="E228" s="10" t="s">
        <v>954</v>
      </c>
      <c r="F228" s="10" t="s">
        <v>958</v>
      </c>
      <c r="G228" s="10" t="s">
        <v>1391</v>
      </c>
      <c r="H228" s="10" t="s">
        <v>779</v>
      </c>
      <c r="I228" s="6" t="str" cm="1">
        <f t="array" ref="I228">_xlfn.IFS(
    OR(H228="A1", H228="A2", H228="G1"), "사원",
    OR(H228="G2", H228="G3"), "선임",
    OR(H228="G4", H228="G5"), "책임"
)</f>
        <v>선임</v>
      </c>
      <c r="J228" s="11">
        <v>43514</v>
      </c>
      <c r="K228" s="11">
        <v>46753</v>
      </c>
      <c r="L228" s="10" t="s">
        <v>986</v>
      </c>
    </row>
    <row r="229" spans="1:12" x14ac:dyDescent="0.45">
      <c r="A229" s="6">
        <v>228</v>
      </c>
      <c r="B229" s="10" t="s">
        <v>1159</v>
      </c>
      <c r="C229" s="10" t="s">
        <v>708</v>
      </c>
      <c r="D229" s="10" t="s">
        <v>709</v>
      </c>
      <c r="E229" s="10" t="s">
        <v>954</v>
      </c>
      <c r="F229" s="10" t="s">
        <v>962</v>
      </c>
      <c r="G229" s="10" t="s">
        <v>1392</v>
      </c>
      <c r="H229" s="10" t="s">
        <v>779</v>
      </c>
      <c r="I229" s="6" t="str" cm="1">
        <f t="array" ref="I229">_xlfn.IFS(
    OR(H229="A1", H229="A2", H229="G1"), "사원",
    OR(H229="G2", H229="G3"), "선임",
    OR(H229="G4", H229="G5"), "책임"
)</f>
        <v>선임</v>
      </c>
      <c r="J229" s="11">
        <v>44795</v>
      </c>
      <c r="K229" s="11">
        <v>47119</v>
      </c>
      <c r="L229" s="10" t="s">
        <v>987</v>
      </c>
    </row>
    <row r="230" spans="1:12" x14ac:dyDescent="0.45">
      <c r="A230" s="6">
        <v>229</v>
      </c>
      <c r="B230" s="10" t="s">
        <v>1159</v>
      </c>
      <c r="C230" s="10" t="s">
        <v>708</v>
      </c>
      <c r="D230" s="10" t="s">
        <v>709</v>
      </c>
      <c r="E230" s="10" t="s">
        <v>954</v>
      </c>
      <c r="F230" s="10" t="s">
        <v>958</v>
      </c>
      <c r="G230" s="10" t="s">
        <v>1393</v>
      </c>
      <c r="H230" s="10" t="s">
        <v>779</v>
      </c>
      <c r="I230" s="6" t="str" cm="1">
        <f t="array" ref="I230">_xlfn.IFS(
    OR(H230="A1", H230="A2", H230="G1"), "사원",
    OR(H230="G2", H230="G3"), "선임",
    OR(H230="G4", H230="G5"), "책임"
)</f>
        <v>선임</v>
      </c>
      <c r="J230" s="11">
        <v>43514</v>
      </c>
      <c r="K230" s="11">
        <v>46753</v>
      </c>
      <c r="L230" s="10" t="s">
        <v>988</v>
      </c>
    </row>
    <row r="231" spans="1:12" x14ac:dyDescent="0.45">
      <c r="A231" s="6">
        <v>230</v>
      </c>
      <c r="B231" s="10" t="s">
        <v>1159</v>
      </c>
      <c r="C231" s="10" t="s">
        <v>708</v>
      </c>
      <c r="D231" s="10" t="s">
        <v>709</v>
      </c>
      <c r="E231" s="10" t="s">
        <v>954</v>
      </c>
      <c r="F231" s="10" t="s">
        <v>962</v>
      </c>
      <c r="G231" s="10" t="s">
        <v>1394</v>
      </c>
      <c r="H231" s="10" t="s">
        <v>711</v>
      </c>
      <c r="I231" s="6" t="str" cm="1">
        <f t="array" ref="I231">_xlfn.IFS(
    OR(H231="A1", H231="A2", H231="G1"), "사원",
    OR(H231="G2", H231="G3"), "선임",
    OR(H231="G4", H231="G5"), "책임"
)</f>
        <v>사원</v>
      </c>
      <c r="J231" s="11">
        <v>45419</v>
      </c>
      <c r="K231" s="11">
        <v>46753</v>
      </c>
      <c r="L231" s="10" t="s">
        <v>989</v>
      </c>
    </row>
    <row r="232" spans="1:12" x14ac:dyDescent="0.45">
      <c r="A232" s="6">
        <v>231</v>
      </c>
      <c r="B232" s="10" t="s">
        <v>1159</v>
      </c>
      <c r="C232" s="10" t="s">
        <v>708</v>
      </c>
      <c r="D232" s="10" t="s">
        <v>709</v>
      </c>
      <c r="E232" s="10" t="s">
        <v>954</v>
      </c>
      <c r="F232" s="10" t="s">
        <v>962</v>
      </c>
      <c r="G232" s="10" t="s">
        <v>1395</v>
      </c>
      <c r="H232" s="10" t="s">
        <v>711</v>
      </c>
      <c r="I232" s="6" t="str" cm="1">
        <f t="array" ref="I232">_xlfn.IFS(
    OR(H232="A1", H232="A2", H232="G1"), "사원",
    OR(H232="G2", H232="G3"), "선임",
    OR(H232="G4", H232="G5"), "책임"
)</f>
        <v>사원</v>
      </c>
      <c r="J232" s="11">
        <v>45257</v>
      </c>
      <c r="K232" s="11">
        <v>46388</v>
      </c>
      <c r="L232" s="10" t="s">
        <v>990</v>
      </c>
    </row>
    <row r="233" spans="1:12" x14ac:dyDescent="0.45">
      <c r="A233" s="6">
        <v>232</v>
      </c>
      <c r="B233" s="10" t="s">
        <v>1159</v>
      </c>
      <c r="C233" s="10" t="s">
        <v>708</v>
      </c>
      <c r="D233" s="10" t="s">
        <v>709</v>
      </c>
      <c r="E233" s="10" t="s">
        <v>954</v>
      </c>
      <c r="F233" s="10" t="s">
        <v>956</v>
      </c>
      <c r="G233" s="10" t="s">
        <v>1396</v>
      </c>
      <c r="H233" s="10" t="s">
        <v>711</v>
      </c>
      <c r="I233" s="6" t="str" cm="1">
        <f t="array" ref="I233">_xlfn.IFS(
    OR(H233="A1", H233="A2", H233="G1"), "사원",
    OR(H233="G2", H233="G3"), "선임",
    OR(H233="G4", H233="G5"), "책임"
)</f>
        <v>사원</v>
      </c>
      <c r="J233" s="11">
        <v>45257</v>
      </c>
      <c r="K233" s="11">
        <v>46388</v>
      </c>
      <c r="L233" s="10" t="s">
        <v>991</v>
      </c>
    </row>
    <row r="234" spans="1:12" x14ac:dyDescent="0.45">
      <c r="A234" s="6">
        <v>233</v>
      </c>
      <c r="B234" s="10" t="s">
        <v>1159</v>
      </c>
      <c r="C234" s="10" t="s">
        <v>708</v>
      </c>
      <c r="D234" s="10" t="s">
        <v>709</v>
      </c>
      <c r="E234" s="10" t="s">
        <v>954</v>
      </c>
      <c r="F234" s="10" t="s">
        <v>956</v>
      </c>
      <c r="G234" s="10" t="s">
        <v>1397</v>
      </c>
      <c r="H234" s="10" t="s">
        <v>711</v>
      </c>
      <c r="I234" s="6" t="str" cm="1">
        <f t="array" ref="I234">_xlfn.IFS(
    OR(H234="A1", H234="A2", H234="G1"), "사원",
    OR(H234="G2", H234="G3"), "선임",
    OR(H234="G4", H234="G5"), "책임"
)</f>
        <v>사원</v>
      </c>
      <c r="J234" s="11">
        <v>45257</v>
      </c>
      <c r="K234" s="11">
        <v>46388</v>
      </c>
      <c r="L234" s="10" t="s">
        <v>992</v>
      </c>
    </row>
    <row r="235" spans="1:12" x14ac:dyDescent="0.45">
      <c r="A235" s="6">
        <v>234</v>
      </c>
      <c r="B235" s="10" t="s">
        <v>1159</v>
      </c>
      <c r="C235" s="10" t="s">
        <v>708</v>
      </c>
      <c r="D235" s="10" t="s">
        <v>709</v>
      </c>
      <c r="E235" s="10" t="s">
        <v>954</v>
      </c>
      <c r="F235" s="10" t="s">
        <v>958</v>
      </c>
      <c r="G235" s="10" t="s">
        <v>1398</v>
      </c>
      <c r="H235" s="10" t="s">
        <v>711</v>
      </c>
      <c r="I235" s="6" t="str" cm="1">
        <f t="array" ref="I235">_xlfn.IFS(
    OR(H235="A1", H235="A2", H235="G1"), "사원",
    OR(H235="G2", H235="G3"), "선임",
    OR(H235="G4", H235="G5"), "책임"
)</f>
        <v>사원</v>
      </c>
      <c r="J235" s="11">
        <v>45054</v>
      </c>
      <c r="K235" s="11">
        <v>46388</v>
      </c>
      <c r="L235" s="10" t="s">
        <v>993</v>
      </c>
    </row>
    <row r="236" spans="1:12" x14ac:dyDescent="0.45">
      <c r="A236" s="6">
        <v>235</v>
      </c>
      <c r="B236" s="10" t="s">
        <v>1159</v>
      </c>
      <c r="C236" s="10" t="s">
        <v>708</v>
      </c>
      <c r="D236" s="10" t="s">
        <v>709</v>
      </c>
      <c r="E236" s="10" t="s">
        <v>954</v>
      </c>
      <c r="F236" s="10" t="s">
        <v>958</v>
      </c>
      <c r="G236" s="10" t="s">
        <v>1399</v>
      </c>
      <c r="H236" s="10" t="s">
        <v>711</v>
      </c>
      <c r="I236" s="6" t="str" cm="1">
        <f t="array" ref="I236">_xlfn.IFS(
    OR(H236="A1", H236="A2", H236="G1"), "사원",
    OR(H236="G2", H236="G3"), "선임",
    OR(H236="G4", H236="G5"), "책임"
)</f>
        <v>사원</v>
      </c>
      <c r="J236" s="11">
        <v>45432</v>
      </c>
      <c r="K236" s="11">
        <v>46023</v>
      </c>
      <c r="L236" s="10" t="s">
        <v>994</v>
      </c>
    </row>
    <row r="237" spans="1:12" x14ac:dyDescent="0.45">
      <c r="A237" s="6">
        <v>236</v>
      </c>
      <c r="B237" s="10" t="s">
        <v>1159</v>
      </c>
      <c r="C237" s="10" t="s">
        <v>708</v>
      </c>
      <c r="D237" s="10" t="s">
        <v>709</v>
      </c>
      <c r="E237" s="10" t="s">
        <v>954</v>
      </c>
      <c r="F237" s="10" t="s">
        <v>958</v>
      </c>
      <c r="G237" s="10" t="s">
        <v>1400</v>
      </c>
      <c r="H237" s="10" t="s">
        <v>711</v>
      </c>
      <c r="I237" s="6" t="str" cm="1">
        <f t="array" ref="I237">_xlfn.IFS(
    OR(H237="A1", H237="A2", H237="G1"), "사원",
    OR(H237="G2", H237="G3"), "선임",
    OR(H237="G4", H237="G5"), "책임"
)</f>
        <v>사원</v>
      </c>
      <c r="J237" s="11">
        <v>45544</v>
      </c>
      <c r="K237" s="11">
        <v>46753</v>
      </c>
      <c r="L237" s="10" t="s">
        <v>995</v>
      </c>
    </row>
    <row r="238" spans="1:12" x14ac:dyDescent="0.45">
      <c r="A238" s="6">
        <v>237</v>
      </c>
      <c r="B238" s="10" t="s">
        <v>1159</v>
      </c>
      <c r="C238" s="10" t="s">
        <v>708</v>
      </c>
      <c r="D238" s="10" t="s">
        <v>709</v>
      </c>
      <c r="E238" s="10" t="s">
        <v>954</v>
      </c>
      <c r="F238" s="10" t="s">
        <v>962</v>
      </c>
      <c r="G238" s="10" t="s">
        <v>1401</v>
      </c>
      <c r="H238" s="10" t="s">
        <v>711</v>
      </c>
      <c r="I238" s="6" t="str" cm="1">
        <f t="array" ref="I238">_xlfn.IFS(
    OR(H238="A1", H238="A2", H238="G1"), "사원",
    OR(H238="G2", H238="G3"), "선임",
    OR(H238="G4", H238="G5"), "책임"
)</f>
        <v>사원</v>
      </c>
      <c r="J238" s="11">
        <v>45658</v>
      </c>
      <c r="K238" s="11">
        <v>46753</v>
      </c>
      <c r="L238" s="10" t="s">
        <v>996</v>
      </c>
    </row>
    <row r="239" spans="1:12" x14ac:dyDescent="0.45">
      <c r="A239" s="6">
        <v>238</v>
      </c>
      <c r="B239" s="10" t="s">
        <v>1159</v>
      </c>
      <c r="C239" s="10" t="s">
        <v>708</v>
      </c>
      <c r="D239" s="10" t="s">
        <v>709</v>
      </c>
      <c r="E239" s="10" t="s">
        <v>954</v>
      </c>
      <c r="F239" s="10" t="s">
        <v>958</v>
      </c>
      <c r="G239" s="10" t="s">
        <v>1402</v>
      </c>
      <c r="H239" s="10" t="s">
        <v>812</v>
      </c>
      <c r="I239" s="6" t="e" cm="1">
        <f t="array" ref="I239">_xlfn.IFS(
    OR(H239="A1", H239="A2", H239="G1"), "사원",
    OR(H239="G2", H239="G3"), "선임",
    OR(H239="G4", H239="G5"), "책임"
)</f>
        <v>#N/A</v>
      </c>
      <c r="J239" s="11">
        <v>45789</v>
      </c>
      <c r="K239" s="11">
        <v>47119</v>
      </c>
      <c r="L239" s="10" t="s">
        <v>997</v>
      </c>
    </row>
    <row r="240" spans="1:12" x14ac:dyDescent="0.45">
      <c r="A240" s="6">
        <v>239</v>
      </c>
      <c r="B240" s="10" t="s">
        <v>1159</v>
      </c>
      <c r="C240" s="10" t="s">
        <v>708</v>
      </c>
      <c r="D240" s="10" t="s">
        <v>709</v>
      </c>
      <c r="E240" s="10" t="s">
        <v>954</v>
      </c>
      <c r="F240" s="10" t="s">
        <v>962</v>
      </c>
      <c r="G240" s="10" t="s">
        <v>1403</v>
      </c>
      <c r="H240" s="10" t="s">
        <v>812</v>
      </c>
      <c r="I240" s="6" t="e" cm="1">
        <f t="array" ref="I240">_xlfn.IFS(
    OR(H240="A1", H240="A2", H240="G1"), "사원",
    OR(H240="G2", H240="G3"), "선임",
    OR(H240="G4", H240="G5"), "책임"
)</f>
        <v>#N/A</v>
      </c>
      <c r="J240" s="11">
        <v>45789</v>
      </c>
      <c r="K240" s="11">
        <v>47119</v>
      </c>
      <c r="L240" s="10" t="s">
        <v>998</v>
      </c>
    </row>
    <row r="241" spans="1:12" x14ac:dyDescent="0.45">
      <c r="A241" s="6">
        <v>240</v>
      </c>
      <c r="B241" s="10" t="s">
        <v>1159</v>
      </c>
      <c r="C241" s="10" t="s">
        <v>708</v>
      </c>
      <c r="D241" s="10" t="s">
        <v>709</v>
      </c>
      <c r="E241" s="10" t="s">
        <v>999</v>
      </c>
      <c r="F241" s="10" t="s">
        <v>999</v>
      </c>
      <c r="G241" s="10" t="s">
        <v>1404</v>
      </c>
      <c r="H241" s="10" t="s">
        <v>907</v>
      </c>
      <c r="I241" s="6" t="e" cm="1">
        <f t="array" ref="I241">_xlfn.IFS(
    OR(H241="A1", H241="A2", H241="G1"), "사원",
    OR(H241="G2", H241="G3"), "선임",
    OR(H241="G4", H241="G5"), "책임"
)</f>
        <v>#N/A</v>
      </c>
      <c r="J241" s="11">
        <v>36703</v>
      </c>
      <c r="K241" s="11"/>
      <c r="L241" s="10" t="s">
        <v>1000</v>
      </c>
    </row>
    <row r="242" spans="1:12" x14ac:dyDescent="0.45">
      <c r="A242" s="6">
        <v>241</v>
      </c>
      <c r="B242" s="10" t="s">
        <v>1159</v>
      </c>
      <c r="C242" s="10" t="s">
        <v>708</v>
      </c>
      <c r="D242" s="10" t="s">
        <v>709</v>
      </c>
      <c r="E242" s="10" t="s">
        <v>999</v>
      </c>
      <c r="F242" s="10" t="s">
        <v>1001</v>
      </c>
      <c r="G242" s="10" t="s">
        <v>1405</v>
      </c>
      <c r="H242" s="10" t="s">
        <v>727</v>
      </c>
      <c r="I242" s="6" t="str" cm="1">
        <f t="array" ref="I242">_xlfn.IFS(
    OR(H242="A1", H242="A2", H242="G1"), "사원",
    OR(H242="G2", H242="G3"), "선임",
    OR(H242="G4", H242="G5"), "책임"
)</f>
        <v>책임</v>
      </c>
      <c r="J242" s="11">
        <v>41260</v>
      </c>
      <c r="K242" s="11"/>
      <c r="L242" s="10" t="s">
        <v>1002</v>
      </c>
    </row>
    <row r="243" spans="1:12" x14ac:dyDescent="0.45">
      <c r="A243" s="6">
        <v>242</v>
      </c>
      <c r="B243" s="10" t="s">
        <v>1159</v>
      </c>
      <c r="C243" s="10" t="s">
        <v>708</v>
      </c>
      <c r="D243" s="10" t="s">
        <v>709</v>
      </c>
      <c r="E243" s="10" t="s">
        <v>999</v>
      </c>
      <c r="F243" s="10" t="s">
        <v>1001</v>
      </c>
      <c r="G243" s="10" t="s">
        <v>1406</v>
      </c>
      <c r="H243" s="10" t="s">
        <v>734</v>
      </c>
      <c r="I243" s="6" t="str" cm="1">
        <f t="array" ref="I243">_xlfn.IFS(
    OR(H243="A1", H243="A2", H243="G1"), "사원",
    OR(H243="G2", H243="G3"), "선임",
    OR(H243="G4", H243="G5"), "책임"
)</f>
        <v>책임</v>
      </c>
      <c r="J243" s="11">
        <v>43864</v>
      </c>
      <c r="K243" s="11">
        <v>46388</v>
      </c>
      <c r="L243" s="10" t="s">
        <v>1003</v>
      </c>
    </row>
    <row r="244" spans="1:12" x14ac:dyDescent="0.45">
      <c r="A244" s="6">
        <v>243</v>
      </c>
      <c r="B244" s="10" t="s">
        <v>1159</v>
      </c>
      <c r="C244" s="10" t="s">
        <v>708</v>
      </c>
      <c r="D244" s="10" t="s">
        <v>709</v>
      </c>
      <c r="E244" s="10" t="s">
        <v>999</v>
      </c>
      <c r="F244" s="10" t="s">
        <v>1001</v>
      </c>
      <c r="G244" s="10" t="s">
        <v>1407</v>
      </c>
      <c r="H244" s="10" t="s">
        <v>757</v>
      </c>
      <c r="I244" s="6" t="str" cm="1">
        <f t="array" ref="I244">_xlfn.IFS(
    OR(H244="A1", H244="A2", H244="G1"), "사원",
    OR(H244="G2", H244="G3"), "선임",
    OR(H244="G4", H244="G5"), "책임"
)</f>
        <v>선임</v>
      </c>
      <c r="J244" s="11">
        <v>42592</v>
      </c>
      <c r="K244" s="11">
        <v>47119</v>
      </c>
      <c r="L244" s="10" t="s">
        <v>1004</v>
      </c>
    </row>
    <row r="245" spans="1:12" x14ac:dyDescent="0.45">
      <c r="A245" s="6">
        <v>244</v>
      </c>
      <c r="B245" s="10" t="s">
        <v>1159</v>
      </c>
      <c r="C245" s="10" t="s">
        <v>708</v>
      </c>
      <c r="D245" s="10" t="s">
        <v>709</v>
      </c>
      <c r="E245" s="10" t="s">
        <v>999</v>
      </c>
      <c r="F245" s="10" t="s">
        <v>1001</v>
      </c>
      <c r="G245" s="10" t="s">
        <v>1408</v>
      </c>
      <c r="H245" s="10" t="s">
        <v>779</v>
      </c>
      <c r="I245" s="6" t="str" cm="1">
        <f t="array" ref="I245">_xlfn.IFS(
    OR(H245="A1", H245="A2", H245="G1"), "사원",
    OR(H245="G2", H245="G3"), "선임",
    OR(H245="G4", H245="G5"), "책임"
)</f>
        <v>선임</v>
      </c>
      <c r="J245" s="11">
        <v>43514</v>
      </c>
      <c r="K245" s="11">
        <v>46388</v>
      </c>
      <c r="L245" s="10" t="s">
        <v>1005</v>
      </c>
    </row>
    <row r="246" spans="1:12" x14ac:dyDescent="0.45">
      <c r="A246" s="6">
        <v>245</v>
      </c>
      <c r="B246" s="10" t="s">
        <v>1159</v>
      </c>
      <c r="C246" s="10" t="s">
        <v>708</v>
      </c>
      <c r="D246" s="10" t="s">
        <v>709</v>
      </c>
      <c r="E246" s="10" t="s">
        <v>999</v>
      </c>
      <c r="F246" s="10" t="s">
        <v>1001</v>
      </c>
      <c r="G246" s="10" t="s">
        <v>1409</v>
      </c>
      <c r="H246" s="10" t="s">
        <v>711</v>
      </c>
      <c r="I246" s="6" t="str" cm="1">
        <f t="array" ref="I246">_xlfn.IFS(
    OR(H246="A1", H246="A2", H246="G1"), "사원",
    OR(H246="G2", H246="G3"), "선임",
    OR(H246="G4", H246="G5"), "책임"
)</f>
        <v>사원</v>
      </c>
      <c r="J246" s="11">
        <v>44795</v>
      </c>
      <c r="K246" s="11">
        <v>46023</v>
      </c>
      <c r="L246" s="10" t="s">
        <v>1006</v>
      </c>
    </row>
    <row r="247" spans="1:12" x14ac:dyDescent="0.45">
      <c r="A247" s="6">
        <v>246</v>
      </c>
      <c r="B247" s="10" t="s">
        <v>1159</v>
      </c>
      <c r="C247" s="10" t="s">
        <v>708</v>
      </c>
      <c r="D247" s="10" t="s">
        <v>709</v>
      </c>
      <c r="E247" s="10" t="s">
        <v>999</v>
      </c>
      <c r="F247" s="10" t="s">
        <v>1001</v>
      </c>
      <c r="G247" s="10" t="s">
        <v>1410</v>
      </c>
      <c r="H247" s="10" t="s">
        <v>711</v>
      </c>
      <c r="I247" s="6" t="str" cm="1">
        <f t="array" ref="I247">_xlfn.IFS(
    OR(H247="A1", H247="A2", H247="G1"), "사원",
    OR(H247="G2", H247="G3"), "선임",
    OR(H247="G4", H247="G5"), "책임"
)</f>
        <v>사원</v>
      </c>
      <c r="J247" s="11">
        <v>45544</v>
      </c>
      <c r="K247" s="11">
        <v>46753</v>
      </c>
      <c r="L247" s="10" t="s">
        <v>1007</v>
      </c>
    </row>
    <row r="248" spans="1:12" x14ac:dyDescent="0.45">
      <c r="A248" s="6">
        <v>247</v>
      </c>
      <c r="B248" s="10" t="s">
        <v>1159</v>
      </c>
      <c r="C248" s="10" t="s">
        <v>708</v>
      </c>
      <c r="D248" s="10" t="s">
        <v>709</v>
      </c>
      <c r="E248" s="10" t="s">
        <v>1008</v>
      </c>
      <c r="F248" s="10" t="s">
        <v>1008</v>
      </c>
      <c r="G248" s="10" t="s">
        <v>1411</v>
      </c>
      <c r="H248" s="10" t="s">
        <v>722</v>
      </c>
      <c r="I248" s="6" t="e" cm="1">
        <f t="array" ref="I248">_xlfn.IFS(
    OR(H248="A1", H248="A2", H248="G1"), "사원",
    OR(H248="G2", H248="G3"), "선임",
    OR(H248="G4", H248="G5"), "책임"
)</f>
        <v>#N/A</v>
      </c>
      <c r="J248" s="11">
        <v>41925</v>
      </c>
      <c r="K248" s="11"/>
      <c r="L248" s="10" t="s">
        <v>1009</v>
      </c>
    </row>
    <row r="249" spans="1:12" x14ac:dyDescent="0.45">
      <c r="A249" s="6">
        <v>248</v>
      </c>
      <c r="B249" s="10" t="s">
        <v>1159</v>
      </c>
      <c r="C249" s="10" t="s">
        <v>708</v>
      </c>
      <c r="D249" s="10" t="s">
        <v>709</v>
      </c>
      <c r="E249" s="10" t="s">
        <v>1008</v>
      </c>
      <c r="F249" s="10" t="s">
        <v>1010</v>
      </c>
      <c r="G249" s="10" t="s">
        <v>1412</v>
      </c>
      <c r="H249" s="10" t="s">
        <v>727</v>
      </c>
      <c r="I249" s="6" t="str" cm="1">
        <f t="array" ref="I249">_xlfn.IFS(
    OR(H249="A1", H249="A2", H249="G1"), "사원",
    OR(H249="G2", H249="G3"), "선임",
    OR(H249="G4", H249="G5"), "책임"
)</f>
        <v>책임</v>
      </c>
      <c r="J249" s="11">
        <v>37820</v>
      </c>
      <c r="K249" s="11"/>
      <c r="L249" s="10" t="s">
        <v>1011</v>
      </c>
    </row>
    <row r="250" spans="1:12" x14ac:dyDescent="0.45">
      <c r="A250" s="6">
        <v>249</v>
      </c>
      <c r="B250" s="10" t="s">
        <v>1159</v>
      </c>
      <c r="C250" s="10" t="s">
        <v>708</v>
      </c>
      <c r="D250" s="10" t="s">
        <v>709</v>
      </c>
      <c r="E250" s="10" t="s">
        <v>1008</v>
      </c>
      <c r="F250" s="10" t="s">
        <v>1010</v>
      </c>
      <c r="G250" s="10" t="s">
        <v>1413</v>
      </c>
      <c r="H250" s="10" t="s">
        <v>734</v>
      </c>
      <c r="I250" s="6" t="str" cm="1">
        <f t="array" ref="I250">_xlfn.IFS(
    OR(H250="A1", H250="A2", H250="G1"), "사원",
    OR(H250="G2", H250="G3"), "선임",
    OR(H250="G4", H250="G5"), "책임"
)</f>
        <v>책임</v>
      </c>
      <c r="J250" s="11">
        <v>40763</v>
      </c>
      <c r="K250" s="11">
        <v>46753</v>
      </c>
      <c r="L250" s="10" t="s">
        <v>1012</v>
      </c>
    </row>
    <row r="251" spans="1:12" x14ac:dyDescent="0.45">
      <c r="A251" s="6">
        <v>250</v>
      </c>
      <c r="B251" s="10" t="s">
        <v>1159</v>
      </c>
      <c r="C251" s="10" t="s">
        <v>708</v>
      </c>
      <c r="D251" s="10" t="s">
        <v>709</v>
      </c>
      <c r="E251" s="10" t="s">
        <v>1008</v>
      </c>
      <c r="F251" s="10" t="s">
        <v>1013</v>
      </c>
      <c r="G251" s="10" t="s">
        <v>1414</v>
      </c>
      <c r="H251" s="10" t="s">
        <v>734</v>
      </c>
      <c r="I251" s="6" t="str" cm="1">
        <f t="array" ref="I251">_xlfn.IFS(
    OR(H251="A1", H251="A2", H251="G1"), "사원",
    OR(H251="G2", H251="G3"), "선임",
    OR(H251="G4", H251="G5"), "책임"
)</f>
        <v>책임</v>
      </c>
      <c r="J251" s="11">
        <v>40909</v>
      </c>
      <c r="K251" s="11">
        <v>46753</v>
      </c>
      <c r="L251" s="10" t="s">
        <v>1014</v>
      </c>
    </row>
    <row r="252" spans="1:12" x14ac:dyDescent="0.45">
      <c r="A252" s="6">
        <v>251</v>
      </c>
      <c r="B252" s="10" t="s">
        <v>1159</v>
      </c>
      <c r="C252" s="10" t="s">
        <v>708</v>
      </c>
      <c r="D252" s="10" t="s">
        <v>709</v>
      </c>
      <c r="E252" s="10" t="s">
        <v>1008</v>
      </c>
      <c r="F252" s="10" t="s">
        <v>1015</v>
      </c>
      <c r="G252" s="10" t="s">
        <v>1415</v>
      </c>
      <c r="H252" s="10" t="s">
        <v>734</v>
      </c>
      <c r="I252" s="6" t="str" cm="1">
        <f t="array" ref="I252">_xlfn.IFS(
    OR(H252="A1", H252="A2", H252="G1"), "사원",
    OR(H252="G2", H252="G3"), "선임",
    OR(H252="G4", H252="G5"), "책임"
)</f>
        <v>책임</v>
      </c>
      <c r="J252" s="11">
        <v>42163</v>
      </c>
      <c r="K252" s="11">
        <v>46388</v>
      </c>
      <c r="L252" s="10" t="s">
        <v>1016</v>
      </c>
    </row>
    <row r="253" spans="1:12" x14ac:dyDescent="0.45">
      <c r="A253" s="6">
        <v>252</v>
      </c>
      <c r="B253" s="10" t="s">
        <v>1159</v>
      </c>
      <c r="C253" s="10" t="s">
        <v>708</v>
      </c>
      <c r="D253" s="10" t="s">
        <v>709</v>
      </c>
      <c r="E253" s="10" t="s">
        <v>1008</v>
      </c>
      <c r="F253" s="10" t="s">
        <v>1010</v>
      </c>
      <c r="G253" s="10" t="s">
        <v>1416</v>
      </c>
      <c r="H253" s="10" t="s">
        <v>757</v>
      </c>
      <c r="I253" s="6" t="str" cm="1">
        <f t="array" ref="I253">_xlfn.IFS(
    OR(H253="A1", H253="A2", H253="G1"), "사원",
    OR(H253="G2", H253="G3"), "선임",
    OR(H253="G4", H253="G5"), "책임"
)</f>
        <v>선임</v>
      </c>
      <c r="J253" s="11">
        <v>42366</v>
      </c>
      <c r="K253" s="11">
        <v>47484</v>
      </c>
      <c r="L253" s="10" t="s">
        <v>1017</v>
      </c>
    </row>
    <row r="254" spans="1:12" x14ac:dyDescent="0.45">
      <c r="A254" s="6">
        <v>253</v>
      </c>
      <c r="B254" s="10" t="s">
        <v>1159</v>
      </c>
      <c r="C254" s="10" t="s">
        <v>708</v>
      </c>
      <c r="D254" s="10" t="s">
        <v>709</v>
      </c>
      <c r="E254" s="10" t="s">
        <v>1008</v>
      </c>
      <c r="F254" s="10" t="s">
        <v>1013</v>
      </c>
      <c r="G254" s="10" t="s">
        <v>1417</v>
      </c>
      <c r="H254" s="10" t="s">
        <v>779</v>
      </c>
      <c r="I254" s="6" t="str" cm="1">
        <f t="array" ref="I254">_xlfn.IFS(
    OR(H254="A1", H254="A2", H254="G1"), "사원",
    OR(H254="G2", H254="G3"), "선임",
    OR(H254="G4", H254="G5"), "책임"
)</f>
        <v>선임</v>
      </c>
      <c r="J254" s="11">
        <v>43514</v>
      </c>
      <c r="K254" s="11">
        <v>46753</v>
      </c>
      <c r="L254" s="10" t="s">
        <v>1018</v>
      </c>
    </row>
    <row r="255" spans="1:12" x14ac:dyDescent="0.45">
      <c r="A255" s="6">
        <v>254</v>
      </c>
      <c r="B255" s="10" t="s">
        <v>1159</v>
      </c>
      <c r="C255" s="10" t="s">
        <v>708</v>
      </c>
      <c r="D255" s="10" t="s">
        <v>709</v>
      </c>
      <c r="E255" s="10" t="s">
        <v>1008</v>
      </c>
      <c r="F255" s="10" t="s">
        <v>1010</v>
      </c>
      <c r="G255" s="10" t="s">
        <v>1418</v>
      </c>
      <c r="H255" s="10" t="s">
        <v>779</v>
      </c>
      <c r="I255" s="6" t="str" cm="1">
        <f t="array" ref="I255">_xlfn.IFS(
    OR(H255="A1", H255="A2", H255="G1"), "사원",
    OR(H255="G2", H255="G3"), "선임",
    OR(H255="G4", H255="G5"), "책임"
)</f>
        <v>선임</v>
      </c>
      <c r="J255" s="11">
        <v>45103</v>
      </c>
      <c r="K255" s="11">
        <v>47484</v>
      </c>
      <c r="L255" s="10" t="s">
        <v>1019</v>
      </c>
    </row>
    <row r="256" spans="1:12" x14ac:dyDescent="0.45">
      <c r="A256" s="6">
        <v>255</v>
      </c>
      <c r="B256" s="10" t="s">
        <v>1159</v>
      </c>
      <c r="C256" s="10" t="s">
        <v>708</v>
      </c>
      <c r="D256" s="10" t="s">
        <v>709</v>
      </c>
      <c r="E256" s="10" t="s">
        <v>1008</v>
      </c>
      <c r="F256" s="10" t="s">
        <v>1010</v>
      </c>
      <c r="G256" s="10" t="s">
        <v>1419</v>
      </c>
      <c r="H256" s="10" t="s">
        <v>779</v>
      </c>
      <c r="I256" s="6" t="str" cm="1">
        <f t="array" ref="I256">_xlfn.IFS(
    OR(H256="A1", H256="A2", H256="G1"), "사원",
    OR(H256="G2", H256="G3"), "선임",
    OR(H256="G4", H256="G5"), "책임"
)</f>
        <v>선임</v>
      </c>
      <c r="J256" s="11">
        <v>44727</v>
      </c>
      <c r="K256" s="11">
        <v>47484</v>
      </c>
      <c r="L256" s="10" t="s">
        <v>1020</v>
      </c>
    </row>
    <row r="257" spans="1:12" x14ac:dyDescent="0.45">
      <c r="A257" s="6">
        <v>256</v>
      </c>
      <c r="B257" s="10" t="s">
        <v>1159</v>
      </c>
      <c r="C257" s="10" t="s">
        <v>708</v>
      </c>
      <c r="D257" s="10" t="s">
        <v>709</v>
      </c>
      <c r="E257" s="10" t="s">
        <v>1008</v>
      </c>
      <c r="F257" s="10" t="s">
        <v>1013</v>
      </c>
      <c r="G257" s="10" t="s">
        <v>1420</v>
      </c>
      <c r="H257" s="10" t="s">
        <v>779</v>
      </c>
      <c r="I257" s="6" t="str" cm="1">
        <f t="array" ref="I257">_xlfn.IFS(
    OR(H257="A1", H257="A2", H257="G1"), "사원",
    OR(H257="G2", H257="G3"), "선임",
    OR(H257="G4", H257="G5"), "책임"
)</f>
        <v>선임</v>
      </c>
      <c r="J257" s="11">
        <v>45432</v>
      </c>
      <c r="K257" s="11">
        <v>46753</v>
      </c>
      <c r="L257" s="10" t="s">
        <v>1021</v>
      </c>
    </row>
    <row r="258" spans="1:12" x14ac:dyDescent="0.45">
      <c r="A258" s="6">
        <v>257</v>
      </c>
      <c r="B258" s="10" t="s">
        <v>1159</v>
      </c>
      <c r="C258" s="10" t="s">
        <v>708</v>
      </c>
      <c r="D258" s="10" t="s">
        <v>709</v>
      </c>
      <c r="E258" s="10" t="s">
        <v>1008</v>
      </c>
      <c r="F258" s="10" t="s">
        <v>1010</v>
      </c>
      <c r="G258" s="10" t="s">
        <v>1421</v>
      </c>
      <c r="H258" s="10" t="s">
        <v>779</v>
      </c>
      <c r="I258" s="6" t="str" cm="1">
        <f t="array" ref="I258">_xlfn.IFS(
    OR(H258="A1", H258="A2", H258="G1"), "사원",
    OR(H258="G2", H258="G3"), "선임",
    OR(H258="G4", H258="G5"), "책임"
)</f>
        <v>선임</v>
      </c>
      <c r="J258" s="11">
        <v>45432</v>
      </c>
      <c r="K258" s="11">
        <v>47484</v>
      </c>
      <c r="L258" s="10" t="s">
        <v>1022</v>
      </c>
    </row>
    <row r="259" spans="1:12" x14ac:dyDescent="0.45">
      <c r="A259" s="6">
        <v>258</v>
      </c>
      <c r="B259" s="10" t="s">
        <v>1159</v>
      </c>
      <c r="C259" s="10" t="s">
        <v>708</v>
      </c>
      <c r="D259" s="10" t="s">
        <v>709</v>
      </c>
      <c r="E259" s="10" t="s">
        <v>1008</v>
      </c>
      <c r="F259" s="10" t="s">
        <v>1010</v>
      </c>
      <c r="G259" s="10" t="s">
        <v>1422</v>
      </c>
      <c r="H259" s="10" t="s">
        <v>779</v>
      </c>
      <c r="I259" s="6" t="str" cm="1">
        <f t="array" ref="I259">_xlfn.IFS(
    OR(H259="A1", H259="A2", H259="G1"), "사원",
    OR(H259="G2", H259="G3"), "선임",
    OR(H259="G4", H259="G5"), "책임"
)</f>
        <v>선임</v>
      </c>
      <c r="J259" s="11">
        <v>45544</v>
      </c>
      <c r="K259" s="11">
        <v>46388</v>
      </c>
      <c r="L259" s="10" t="s">
        <v>1023</v>
      </c>
    </row>
    <row r="260" spans="1:12" x14ac:dyDescent="0.45">
      <c r="A260" s="6">
        <v>259</v>
      </c>
      <c r="B260" s="10" t="s">
        <v>1159</v>
      </c>
      <c r="C260" s="10" t="s">
        <v>708</v>
      </c>
      <c r="D260" s="10" t="s">
        <v>709</v>
      </c>
      <c r="E260" s="10" t="s">
        <v>1008</v>
      </c>
      <c r="F260" s="10" t="s">
        <v>1013</v>
      </c>
      <c r="G260" s="10" t="s">
        <v>1423</v>
      </c>
      <c r="H260" s="10" t="s">
        <v>711</v>
      </c>
      <c r="I260" s="6" t="str" cm="1">
        <f t="array" ref="I260">_xlfn.IFS(
    OR(H260="A1", H260="A2", H260="G1"), "사원",
    OR(H260="G2", H260="G3"), "선임",
    OR(H260="G4", H260="G5"), "책임"
)</f>
        <v>사원</v>
      </c>
      <c r="J260" s="11">
        <v>44795</v>
      </c>
      <c r="K260" s="11">
        <v>46023</v>
      </c>
      <c r="L260" s="10" t="s">
        <v>1024</v>
      </c>
    </row>
    <row r="261" spans="1:12" x14ac:dyDescent="0.45">
      <c r="A261" s="6">
        <v>260</v>
      </c>
      <c r="B261" s="10" t="s">
        <v>1159</v>
      </c>
      <c r="C261" s="10" t="s">
        <v>708</v>
      </c>
      <c r="D261" s="10" t="s">
        <v>709</v>
      </c>
      <c r="E261" s="10" t="s">
        <v>1008</v>
      </c>
      <c r="F261" s="10" t="s">
        <v>1010</v>
      </c>
      <c r="G261" s="10" t="s">
        <v>1424</v>
      </c>
      <c r="H261" s="10" t="s">
        <v>711</v>
      </c>
      <c r="I261" s="6" t="str" cm="1">
        <f t="array" ref="I261">_xlfn.IFS(
    OR(H261="A1", H261="A2", H261="G1"), "사원",
    OR(H261="G2", H261="G3"), "선임",
    OR(H261="G4", H261="G5"), "책임"
)</f>
        <v>사원</v>
      </c>
      <c r="J261" s="11">
        <v>45173</v>
      </c>
      <c r="K261" s="11">
        <v>46388</v>
      </c>
      <c r="L261" s="10" t="s">
        <v>1025</v>
      </c>
    </row>
    <row r="262" spans="1:12" x14ac:dyDescent="0.45">
      <c r="A262" s="6">
        <v>261</v>
      </c>
      <c r="B262" s="10" t="s">
        <v>1159</v>
      </c>
      <c r="C262" s="10" t="s">
        <v>708</v>
      </c>
      <c r="D262" s="10" t="s">
        <v>709</v>
      </c>
      <c r="E262" s="10" t="s">
        <v>1008</v>
      </c>
      <c r="F262" s="10" t="s">
        <v>1015</v>
      </c>
      <c r="G262" s="10" t="s">
        <v>1425</v>
      </c>
      <c r="H262" s="10" t="s">
        <v>711</v>
      </c>
      <c r="I262" s="6" t="str" cm="1">
        <f t="array" ref="I262">_xlfn.IFS(
    OR(H262="A1", H262="A2", H262="G1"), "사원",
    OR(H262="G2", H262="G3"), "선임",
    OR(H262="G4", H262="G5"), "책임"
)</f>
        <v>사원</v>
      </c>
      <c r="J262" s="11">
        <v>45124</v>
      </c>
      <c r="K262" s="11">
        <v>46023</v>
      </c>
      <c r="L262" s="10" t="s">
        <v>1026</v>
      </c>
    </row>
    <row r="263" spans="1:12" x14ac:dyDescent="0.45">
      <c r="A263" s="6">
        <v>262</v>
      </c>
      <c r="B263" s="10" t="s">
        <v>1159</v>
      </c>
      <c r="C263" s="10" t="s">
        <v>708</v>
      </c>
      <c r="D263" s="10" t="s">
        <v>709</v>
      </c>
      <c r="E263" s="10" t="s">
        <v>1008</v>
      </c>
      <c r="F263" s="10" t="s">
        <v>1010</v>
      </c>
      <c r="G263" s="10" t="s">
        <v>1426</v>
      </c>
      <c r="H263" s="10" t="s">
        <v>711</v>
      </c>
      <c r="I263" s="6" t="str" cm="1">
        <f t="array" ref="I263">_xlfn.IFS(
    OR(H263="A1", H263="A2", H263="G1"), "사원",
    OR(H263="G2", H263="G3"), "선임",
    OR(H263="G4", H263="G5"), "책임"
)</f>
        <v>사원</v>
      </c>
      <c r="J263" s="11">
        <v>45544</v>
      </c>
      <c r="K263" s="11">
        <v>46023</v>
      </c>
      <c r="L263" s="10" t="s">
        <v>1027</v>
      </c>
    </row>
    <row r="264" spans="1:12" x14ac:dyDescent="0.45">
      <c r="A264" s="6">
        <v>263</v>
      </c>
      <c r="B264" s="10" t="s">
        <v>1159</v>
      </c>
      <c r="C264" s="10" t="s">
        <v>708</v>
      </c>
      <c r="D264" s="10" t="s">
        <v>709</v>
      </c>
      <c r="E264" s="10" t="s">
        <v>1008</v>
      </c>
      <c r="F264" s="10" t="s">
        <v>1010</v>
      </c>
      <c r="G264" s="10" t="s">
        <v>1427</v>
      </c>
      <c r="H264" s="10" t="s">
        <v>809</v>
      </c>
      <c r="I264" s="6" t="str" cm="1">
        <f t="array" ref="I264">_xlfn.IFS(
    OR(H264="A1", H264="A2", H264="G1"), "사원",
    OR(H264="G2", H264="G3"), "선임",
    OR(H264="G4", H264="G5"), "책임"
)</f>
        <v>사원</v>
      </c>
      <c r="J264" s="11">
        <v>44858</v>
      </c>
      <c r="K264" s="11">
        <v>46388</v>
      </c>
      <c r="L264" s="10" t="s">
        <v>1028</v>
      </c>
    </row>
    <row r="265" spans="1:12" x14ac:dyDescent="0.45">
      <c r="A265" s="6">
        <v>264</v>
      </c>
      <c r="B265" s="10" t="s">
        <v>1159</v>
      </c>
      <c r="C265" s="10" t="s">
        <v>708</v>
      </c>
      <c r="D265" s="10" t="s">
        <v>709</v>
      </c>
      <c r="E265" s="10" t="s">
        <v>1008</v>
      </c>
      <c r="F265" s="10" t="s">
        <v>1010</v>
      </c>
      <c r="G265" s="10" t="s">
        <v>1428</v>
      </c>
      <c r="H265" s="10" t="s">
        <v>1029</v>
      </c>
      <c r="I265" s="6" t="e" cm="1">
        <f t="array" ref="I265">_xlfn.IFS(
    OR(H265="A1", H265="A2", H265="G1"), "사원",
    OR(H265="G2", H265="G3"), "선임",
    OR(H265="G4", H265="G5"), "책임"
)</f>
        <v>#N/A</v>
      </c>
      <c r="J265" s="11">
        <v>44889</v>
      </c>
      <c r="K265" s="11">
        <v>46388</v>
      </c>
      <c r="L265" s="10" t="s">
        <v>1030</v>
      </c>
    </row>
    <row r="266" spans="1:12" x14ac:dyDescent="0.45">
      <c r="A266" s="6">
        <v>265</v>
      </c>
      <c r="B266" s="10" t="s">
        <v>1159</v>
      </c>
      <c r="C266" s="10" t="s">
        <v>708</v>
      </c>
      <c r="D266" s="10" t="s">
        <v>709</v>
      </c>
      <c r="E266" s="10" t="s">
        <v>1008</v>
      </c>
      <c r="F266" s="10" t="s">
        <v>1013</v>
      </c>
      <c r="G266" s="10" t="s">
        <v>1429</v>
      </c>
      <c r="H266" s="10" t="s">
        <v>1031</v>
      </c>
      <c r="I266" s="6" t="e" cm="1">
        <f t="array" ref="I266">_xlfn.IFS(
    OR(H266="A1", H266="A2", H266="G1"), "사원",
    OR(H266="G2", H266="G3"), "선임",
    OR(H266="G4", H266="G5"), "책임"
)</f>
        <v>#N/A</v>
      </c>
      <c r="J266" s="11">
        <v>44278</v>
      </c>
      <c r="K266" s="11"/>
      <c r="L266" s="10"/>
    </row>
    <row r="267" spans="1:12" x14ac:dyDescent="0.45">
      <c r="A267" s="6">
        <v>266</v>
      </c>
      <c r="B267" s="10" t="s">
        <v>1159</v>
      </c>
      <c r="C267" s="10" t="s">
        <v>708</v>
      </c>
      <c r="D267" s="10" t="s">
        <v>709</v>
      </c>
      <c r="E267" s="10" t="s">
        <v>1032</v>
      </c>
      <c r="F267" s="10" t="s">
        <v>1032</v>
      </c>
      <c r="G267" s="10" t="s">
        <v>1430</v>
      </c>
      <c r="H267" s="10" t="s">
        <v>722</v>
      </c>
      <c r="I267" s="6" t="e" cm="1">
        <f t="array" ref="I267">_xlfn.IFS(
    OR(H267="A1", H267="A2", H267="G1"), "사원",
    OR(H267="G2", H267="G3"), "선임",
    OR(H267="G4", H267="G5"), "책임"
)</f>
        <v>#N/A</v>
      </c>
      <c r="J267" s="11">
        <v>37550</v>
      </c>
      <c r="K267" s="11"/>
      <c r="L267" s="10" t="s">
        <v>1033</v>
      </c>
    </row>
    <row r="268" spans="1:12" x14ac:dyDescent="0.45">
      <c r="A268" s="6">
        <v>267</v>
      </c>
      <c r="B268" s="10" t="s">
        <v>1159</v>
      </c>
      <c r="C268" s="10" t="s">
        <v>708</v>
      </c>
      <c r="D268" s="10" t="s">
        <v>709</v>
      </c>
      <c r="E268" s="10" t="s">
        <v>1032</v>
      </c>
      <c r="F268" s="10" t="s">
        <v>1034</v>
      </c>
      <c r="G268" s="10" t="s">
        <v>1431</v>
      </c>
      <c r="H268" s="10" t="s">
        <v>734</v>
      </c>
      <c r="I268" s="6" t="str" cm="1">
        <f t="array" ref="I268">_xlfn.IFS(
    OR(H268="A1", H268="A2", H268="G1"), "사원",
    OR(H268="G2", H268="G3"), "선임",
    OR(H268="G4", H268="G5"), "책임"
)</f>
        <v>책임</v>
      </c>
      <c r="J268" s="11">
        <v>42491</v>
      </c>
      <c r="K268" s="11">
        <v>46388</v>
      </c>
      <c r="L268" s="10" t="s">
        <v>1035</v>
      </c>
    </row>
    <row r="269" spans="1:12" x14ac:dyDescent="0.45">
      <c r="A269" s="6">
        <v>268</v>
      </c>
      <c r="B269" s="10" t="s">
        <v>1159</v>
      </c>
      <c r="C269" s="10" t="s">
        <v>708</v>
      </c>
      <c r="D269" s="10" t="s">
        <v>709</v>
      </c>
      <c r="E269" s="10" t="s">
        <v>1032</v>
      </c>
      <c r="F269" s="10" t="s">
        <v>1036</v>
      </c>
      <c r="G269" s="10" t="s">
        <v>1432</v>
      </c>
      <c r="H269" s="10" t="s">
        <v>734</v>
      </c>
      <c r="I269" s="6" t="str" cm="1">
        <f t="array" ref="I269">_xlfn.IFS(
    OR(H269="A1", H269="A2", H269="G1"), "사원",
    OR(H269="G2", H269="G3"), "선임",
    OR(H269="G4", H269="G5"), "책임"
)</f>
        <v>책임</v>
      </c>
      <c r="J269" s="11">
        <v>41148</v>
      </c>
      <c r="K269" s="11">
        <v>47119</v>
      </c>
      <c r="L269" s="10" t="s">
        <v>1037</v>
      </c>
    </row>
    <row r="270" spans="1:12" x14ac:dyDescent="0.45">
      <c r="A270" s="6">
        <v>269</v>
      </c>
      <c r="B270" s="10" t="s">
        <v>1159</v>
      </c>
      <c r="C270" s="10" t="s">
        <v>708</v>
      </c>
      <c r="D270" s="10" t="s">
        <v>709</v>
      </c>
      <c r="E270" s="10" t="s">
        <v>1032</v>
      </c>
      <c r="F270" s="10" t="s">
        <v>1034</v>
      </c>
      <c r="G270" s="10" t="s">
        <v>1433</v>
      </c>
      <c r="H270" s="10" t="s">
        <v>757</v>
      </c>
      <c r="I270" s="6" t="str" cm="1">
        <f t="array" ref="I270">_xlfn.IFS(
    OR(H270="A1", H270="A2", H270="G1"), "사원",
    OR(H270="G2", H270="G3"), "선임",
    OR(H270="G4", H270="G5"), "책임"
)</f>
        <v>선임</v>
      </c>
      <c r="J270" s="11">
        <v>41491</v>
      </c>
      <c r="K270" s="11">
        <v>46388</v>
      </c>
      <c r="L270" s="10" t="s">
        <v>1038</v>
      </c>
    </row>
    <row r="271" spans="1:12" x14ac:dyDescent="0.45">
      <c r="A271" s="6">
        <v>270</v>
      </c>
      <c r="B271" s="10" t="s">
        <v>1159</v>
      </c>
      <c r="C271" s="10" t="s">
        <v>708</v>
      </c>
      <c r="D271" s="10" t="s">
        <v>709</v>
      </c>
      <c r="E271" s="10" t="s">
        <v>1032</v>
      </c>
      <c r="F271" s="10" t="s">
        <v>1036</v>
      </c>
      <c r="G271" s="10" t="s">
        <v>1434</v>
      </c>
      <c r="H271" s="10" t="s">
        <v>779</v>
      </c>
      <c r="I271" s="6" t="str" cm="1">
        <f t="array" ref="I271">_xlfn.IFS(
    OR(H271="A1", H271="A2", H271="G1"), "사원",
    OR(H271="G2", H271="G3"), "선임",
    OR(H271="G4", H271="G5"), "책임"
)</f>
        <v>선임</v>
      </c>
      <c r="J271" s="11">
        <v>45677</v>
      </c>
      <c r="K271" s="11">
        <v>47119</v>
      </c>
      <c r="L271" s="10" t="s">
        <v>1039</v>
      </c>
    </row>
    <row r="272" spans="1:12" x14ac:dyDescent="0.45">
      <c r="A272" s="6">
        <v>271</v>
      </c>
      <c r="B272" s="10" t="s">
        <v>1159</v>
      </c>
      <c r="C272" s="10" t="s">
        <v>708</v>
      </c>
      <c r="D272" s="10" t="s">
        <v>709</v>
      </c>
      <c r="E272" s="10" t="s">
        <v>1032</v>
      </c>
      <c r="F272" s="10" t="s">
        <v>1034</v>
      </c>
      <c r="G272" s="10" t="s">
        <v>1435</v>
      </c>
      <c r="H272" s="10" t="s">
        <v>779</v>
      </c>
      <c r="I272" s="6" t="str" cm="1">
        <f t="array" ref="I272">_xlfn.IFS(
    OR(H272="A1", H272="A2", H272="G1"), "사원",
    OR(H272="G2", H272="G3"), "선임",
    OR(H272="G4", H272="G5"), "책임"
)</f>
        <v>선임</v>
      </c>
      <c r="J272" s="11">
        <v>44634</v>
      </c>
      <c r="K272" s="11">
        <v>46023</v>
      </c>
      <c r="L272" s="10" t="s">
        <v>1040</v>
      </c>
    </row>
    <row r="273" spans="1:12" x14ac:dyDescent="0.45">
      <c r="A273" s="6">
        <v>272</v>
      </c>
      <c r="B273" s="10" t="s">
        <v>1159</v>
      </c>
      <c r="C273" s="10" t="s">
        <v>708</v>
      </c>
      <c r="D273" s="10" t="s">
        <v>709</v>
      </c>
      <c r="E273" s="10" t="s">
        <v>1032</v>
      </c>
      <c r="F273" s="10" t="s">
        <v>1034</v>
      </c>
      <c r="G273" s="10" t="s">
        <v>1436</v>
      </c>
      <c r="H273" s="10" t="s">
        <v>779</v>
      </c>
      <c r="I273" s="6" t="str" cm="1">
        <f t="array" ref="I273">_xlfn.IFS(
    OR(H273="A1", H273="A2", H273="G1"), "사원",
    OR(H273="G2", H273="G3"), "선임",
    OR(H273="G4", H273="G5"), "책임"
)</f>
        <v>선임</v>
      </c>
      <c r="J273" s="11">
        <v>44657</v>
      </c>
      <c r="K273" s="11">
        <v>46388</v>
      </c>
      <c r="L273" s="10" t="s">
        <v>1041</v>
      </c>
    </row>
    <row r="274" spans="1:12" x14ac:dyDescent="0.45">
      <c r="A274" s="6">
        <v>273</v>
      </c>
      <c r="B274" s="10" t="s">
        <v>1159</v>
      </c>
      <c r="C274" s="10" t="s">
        <v>708</v>
      </c>
      <c r="D274" s="10" t="s">
        <v>709</v>
      </c>
      <c r="E274" s="10" t="s">
        <v>1032</v>
      </c>
      <c r="F274" s="10" t="s">
        <v>1034</v>
      </c>
      <c r="G274" s="10" t="s">
        <v>1437</v>
      </c>
      <c r="H274" s="10" t="s">
        <v>711</v>
      </c>
      <c r="I274" s="6" t="str" cm="1">
        <f t="array" ref="I274">_xlfn.IFS(
    OR(H274="A1", H274="A2", H274="G1"), "사원",
    OR(H274="G2", H274="G3"), "선임",
    OR(H274="G4", H274="G5"), "책임"
)</f>
        <v>사원</v>
      </c>
      <c r="J274" s="11">
        <v>44648</v>
      </c>
      <c r="K274" s="11">
        <v>46023</v>
      </c>
      <c r="L274" s="10" t="s">
        <v>1042</v>
      </c>
    </row>
    <row r="275" spans="1:12" x14ac:dyDescent="0.45">
      <c r="A275" s="6">
        <v>274</v>
      </c>
      <c r="B275" s="10" t="s">
        <v>1159</v>
      </c>
      <c r="C275" s="10" t="s">
        <v>708</v>
      </c>
      <c r="D275" s="10" t="s">
        <v>709</v>
      </c>
      <c r="E275" s="10" t="s">
        <v>1032</v>
      </c>
      <c r="F275" s="10" t="s">
        <v>1034</v>
      </c>
      <c r="G275" s="10" t="s">
        <v>1438</v>
      </c>
      <c r="H275" s="10" t="s">
        <v>711</v>
      </c>
      <c r="I275" s="6" t="str" cm="1">
        <f t="array" ref="I275">_xlfn.IFS(
    OR(H275="A1", H275="A2", H275="G1"), "사원",
    OR(H275="G2", H275="G3"), "선임",
    OR(H275="G4", H275="G5"), "책임"
)</f>
        <v>사원</v>
      </c>
      <c r="J275" s="11">
        <v>45474</v>
      </c>
      <c r="K275" s="11">
        <v>46753</v>
      </c>
      <c r="L275" s="10" t="s">
        <v>1043</v>
      </c>
    </row>
    <row r="276" spans="1:12" x14ac:dyDescent="0.45">
      <c r="A276" s="6">
        <v>275</v>
      </c>
      <c r="B276" s="10" t="s">
        <v>1159</v>
      </c>
      <c r="C276" s="10" t="s">
        <v>708</v>
      </c>
      <c r="D276" s="10" t="s">
        <v>709</v>
      </c>
      <c r="E276" s="10" t="s">
        <v>1032</v>
      </c>
      <c r="F276" s="10" t="s">
        <v>1036</v>
      </c>
      <c r="G276" s="10" t="s">
        <v>1439</v>
      </c>
      <c r="H276" s="10" t="s">
        <v>711</v>
      </c>
      <c r="I276" s="6" t="str" cm="1">
        <f t="array" ref="I276">_xlfn.IFS(
    OR(H276="A1", H276="A2", H276="G1"), "사원",
    OR(H276="G2", H276="G3"), "선임",
    OR(H276="G4", H276="G5"), "책임"
)</f>
        <v>사원</v>
      </c>
      <c r="J276" s="11">
        <v>44634</v>
      </c>
      <c r="K276" s="11">
        <v>46023</v>
      </c>
      <c r="L276" s="10" t="s">
        <v>1044</v>
      </c>
    </row>
    <row r="277" spans="1:12" x14ac:dyDescent="0.45">
      <c r="A277" s="6">
        <v>276</v>
      </c>
      <c r="B277" s="10" t="s">
        <v>1159</v>
      </c>
      <c r="C277" s="10" t="s">
        <v>708</v>
      </c>
      <c r="D277" s="10" t="s">
        <v>709</v>
      </c>
      <c r="E277" s="10" t="s">
        <v>1032</v>
      </c>
      <c r="F277" s="10" t="s">
        <v>1036</v>
      </c>
      <c r="G277" s="10" t="s">
        <v>1440</v>
      </c>
      <c r="H277" s="10" t="s">
        <v>809</v>
      </c>
      <c r="I277" s="6" t="str" cm="1">
        <f t="array" ref="I277">_xlfn.IFS(
    OR(H277="A1", H277="A2", H277="G1"), "사원",
    OR(H277="G2", H277="G3"), "선임",
    OR(H277="G4", H277="G5"), "책임"
)</f>
        <v>사원</v>
      </c>
      <c r="J277" s="11">
        <v>45691</v>
      </c>
      <c r="K277" s="11">
        <v>46023</v>
      </c>
      <c r="L277" s="10" t="s">
        <v>1045</v>
      </c>
    </row>
    <row r="278" spans="1:12" x14ac:dyDescent="0.45">
      <c r="A278" s="6">
        <v>277</v>
      </c>
      <c r="B278" s="10" t="s">
        <v>1159</v>
      </c>
      <c r="C278" s="10" t="s">
        <v>708</v>
      </c>
      <c r="D278" s="10" t="s">
        <v>709</v>
      </c>
      <c r="E278" s="10" t="s">
        <v>1032</v>
      </c>
      <c r="F278" s="10" t="s">
        <v>1034</v>
      </c>
      <c r="G278" s="10" t="s">
        <v>1441</v>
      </c>
      <c r="H278" s="10" t="s">
        <v>812</v>
      </c>
      <c r="I278" s="6" t="e" cm="1">
        <f t="array" ref="I278">_xlfn.IFS(
    OR(H278="A1", H278="A2", H278="G1"), "사원",
    OR(H278="G2", H278="G3"), "선임",
    OR(H278="G4", H278="G5"), "책임"
)</f>
        <v>#N/A</v>
      </c>
      <c r="J278" s="11">
        <v>45845</v>
      </c>
      <c r="K278" s="11">
        <v>47119</v>
      </c>
      <c r="L278" s="10" t="s">
        <v>1046</v>
      </c>
    </row>
    <row r="279" spans="1:12" x14ac:dyDescent="0.45">
      <c r="A279" s="6">
        <v>278</v>
      </c>
      <c r="B279" s="10" t="s">
        <v>1160</v>
      </c>
      <c r="C279" s="10" t="s">
        <v>708</v>
      </c>
      <c r="D279" s="10" t="s">
        <v>709</v>
      </c>
      <c r="E279" s="10" t="s">
        <v>1047</v>
      </c>
      <c r="F279" s="10" t="s">
        <v>1048</v>
      </c>
      <c r="G279" s="10" t="s">
        <v>1049</v>
      </c>
      <c r="H279" s="10" t="s">
        <v>722</v>
      </c>
      <c r="I279" s="6" t="e" cm="1">
        <f t="array" ref="I279">_xlfn.IFS(
    OR(H279="A1", H279="A2", H279="G1"), "사원",
    OR(H279="G2", H279="G3"), "선임",
    OR(H279="G4", H279="G5"), "책임"
)</f>
        <v>#N/A</v>
      </c>
      <c r="J279" s="11">
        <v>37622</v>
      </c>
      <c r="K279" s="11"/>
      <c r="L279" s="10" t="s">
        <v>1050</v>
      </c>
    </row>
    <row r="280" spans="1:12" x14ac:dyDescent="0.45">
      <c r="A280" s="6">
        <v>279</v>
      </c>
      <c r="B280" s="10" t="s">
        <v>1160</v>
      </c>
      <c r="C280" s="10" t="s">
        <v>708</v>
      </c>
      <c r="D280" s="10" t="s">
        <v>709</v>
      </c>
      <c r="E280" s="10" t="s">
        <v>1047</v>
      </c>
      <c r="F280" s="10" t="s">
        <v>1051</v>
      </c>
      <c r="G280" s="10" t="s">
        <v>588</v>
      </c>
      <c r="H280" s="10" t="s">
        <v>722</v>
      </c>
      <c r="I280" s="6" t="e" cm="1">
        <f t="array" ref="I280">_xlfn.IFS(
    OR(H280="A1", H280="A2", H280="G1"), "사원",
    OR(H280="G2", H280="G3"), "선임",
    OR(H280="G4", H280="G5"), "책임"
)</f>
        <v>#N/A</v>
      </c>
      <c r="J280" s="11">
        <v>41043</v>
      </c>
      <c r="K280" s="11"/>
      <c r="L280" s="10" t="s">
        <v>1052</v>
      </c>
    </row>
    <row r="281" spans="1:12" x14ac:dyDescent="0.45">
      <c r="A281" s="6">
        <v>280</v>
      </c>
      <c r="B281" s="10" t="s">
        <v>1160</v>
      </c>
      <c r="C281" s="10" t="s">
        <v>708</v>
      </c>
      <c r="D281" s="10" t="s">
        <v>709</v>
      </c>
      <c r="E281" s="10" t="s">
        <v>1047</v>
      </c>
      <c r="F281" s="10" t="s">
        <v>1053</v>
      </c>
      <c r="G281" s="10" t="s">
        <v>1054</v>
      </c>
      <c r="H281" s="10" t="s">
        <v>722</v>
      </c>
      <c r="I281" s="6" t="e" cm="1">
        <f t="array" ref="I281">_xlfn.IFS(
    OR(H281="A1", H281="A2", H281="G1"), "사원",
    OR(H281="G2", H281="G3"), "선임",
    OR(H281="G4", H281="G5"), "책임"
)</f>
        <v>#N/A</v>
      </c>
      <c r="J281" s="11">
        <v>37622</v>
      </c>
      <c r="K281" s="11"/>
      <c r="L281" s="10" t="s">
        <v>1055</v>
      </c>
    </row>
    <row r="282" spans="1:12" x14ac:dyDescent="0.45">
      <c r="A282" s="6">
        <v>281</v>
      </c>
      <c r="B282" s="10" t="s">
        <v>1160</v>
      </c>
      <c r="C282" s="10" t="s">
        <v>708</v>
      </c>
      <c r="D282" s="10" t="s">
        <v>709</v>
      </c>
      <c r="E282" s="10" t="s">
        <v>1047</v>
      </c>
      <c r="F282" s="10" t="s">
        <v>1056</v>
      </c>
      <c r="G282" s="10" t="s">
        <v>606</v>
      </c>
      <c r="H282" s="10" t="s">
        <v>727</v>
      </c>
      <c r="I282" s="6" t="str" cm="1">
        <f t="array" ref="I282">_xlfn.IFS(
    OR(H282="A1", H282="A2", H282="G1"), "사원",
    OR(H282="G2", H282="G3"), "선임",
    OR(H282="G4", H282="G5"), "책임"
)</f>
        <v>책임</v>
      </c>
      <c r="J282" s="11">
        <v>45017</v>
      </c>
      <c r="K282" s="11"/>
      <c r="L282" s="10" t="s">
        <v>1057</v>
      </c>
    </row>
    <row r="283" spans="1:12" x14ac:dyDescent="0.45">
      <c r="A283" s="6">
        <v>282</v>
      </c>
      <c r="B283" s="10" t="s">
        <v>1160</v>
      </c>
      <c r="C283" s="10" t="s">
        <v>708</v>
      </c>
      <c r="D283" s="10" t="s">
        <v>709</v>
      </c>
      <c r="E283" s="10" t="s">
        <v>1047</v>
      </c>
      <c r="F283" s="10" t="s">
        <v>1058</v>
      </c>
      <c r="G283" s="10" t="s">
        <v>605</v>
      </c>
      <c r="H283" s="10" t="s">
        <v>727</v>
      </c>
      <c r="I283" s="6" t="str" cm="1">
        <f t="array" ref="I283">_xlfn.IFS(
    OR(H283="A1", H283="A2", H283="G1"), "사원",
    OR(H283="G2", H283="G3"), "선임",
    OR(H283="G4", H283="G5"), "책임"
)</f>
        <v>책임</v>
      </c>
      <c r="J283" s="11">
        <v>45005</v>
      </c>
      <c r="K283" s="11"/>
      <c r="L283" s="10" t="s">
        <v>1059</v>
      </c>
    </row>
    <row r="284" spans="1:12" x14ac:dyDescent="0.45">
      <c r="A284" s="6">
        <v>283</v>
      </c>
      <c r="B284" s="10" t="s">
        <v>1160</v>
      </c>
      <c r="C284" s="10" t="s">
        <v>708</v>
      </c>
      <c r="D284" s="10" t="s">
        <v>709</v>
      </c>
      <c r="E284" s="10" t="s">
        <v>1047</v>
      </c>
      <c r="F284" s="10" t="s">
        <v>1060</v>
      </c>
      <c r="G284" s="10" t="s">
        <v>592</v>
      </c>
      <c r="H284" s="10" t="s">
        <v>727</v>
      </c>
      <c r="I284" s="6" t="str" cm="1">
        <f t="array" ref="I284">_xlfn.IFS(
    OR(H284="A1", H284="A2", H284="G1"), "사원",
    OR(H284="G2", H284="G3"), "선임",
    OR(H284="G4", H284="G5"), "책임"
)</f>
        <v>책임</v>
      </c>
      <c r="J284" s="11">
        <v>42491</v>
      </c>
      <c r="K284" s="11"/>
      <c r="L284" s="10" t="s">
        <v>1061</v>
      </c>
    </row>
    <row r="285" spans="1:12" x14ac:dyDescent="0.45">
      <c r="A285" s="6">
        <v>284</v>
      </c>
      <c r="B285" s="10" t="s">
        <v>1160</v>
      </c>
      <c r="C285" s="10" t="s">
        <v>708</v>
      </c>
      <c r="D285" s="10" t="s">
        <v>709</v>
      </c>
      <c r="E285" s="10" t="s">
        <v>1047</v>
      </c>
      <c r="F285" s="10" t="s">
        <v>1062</v>
      </c>
      <c r="G285" s="10" t="s">
        <v>643</v>
      </c>
      <c r="H285" s="10" t="s">
        <v>727</v>
      </c>
      <c r="I285" s="6" t="str" cm="1">
        <f t="array" ref="I285">_xlfn.IFS(
    OR(H285="A1", H285="A2", H285="G1"), "사원",
    OR(H285="G2", H285="G3"), "선임",
    OR(H285="G4", H285="G5"), "책임"
)</f>
        <v>책임</v>
      </c>
      <c r="J285" s="11">
        <v>38818</v>
      </c>
      <c r="K285" s="11"/>
      <c r="L285" s="10" t="s">
        <v>1063</v>
      </c>
    </row>
    <row r="286" spans="1:12" x14ac:dyDescent="0.45">
      <c r="A286" s="6">
        <v>285</v>
      </c>
      <c r="B286" s="10" t="s">
        <v>1160</v>
      </c>
      <c r="C286" s="10" t="s">
        <v>708</v>
      </c>
      <c r="D286" s="10" t="s">
        <v>709</v>
      </c>
      <c r="E286" s="10" t="s">
        <v>1047</v>
      </c>
      <c r="F286" s="10" t="s">
        <v>1062</v>
      </c>
      <c r="G286" s="10" t="s">
        <v>642</v>
      </c>
      <c r="H286" s="10" t="s">
        <v>727</v>
      </c>
      <c r="I286" s="6" t="str" cm="1">
        <f t="array" ref="I286">_xlfn.IFS(
    OR(H286="A1", H286="A2", H286="G1"), "사원",
    OR(H286="G2", H286="G3"), "선임",
    OR(H286="G4", H286="G5"), "책임"
)</f>
        <v>책임</v>
      </c>
      <c r="J286" s="11">
        <v>37900</v>
      </c>
      <c r="K286" s="11"/>
      <c r="L286" s="10" t="s">
        <v>1064</v>
      </c>
    </row>
    <row r="287" spans="1:12" x14ac:dyDescent="0.45">
      <c r="A287" s="6">
        <v>286</v>
      </c>
      <c r="B287" s="10" t="s">
        <v>1160</v>
      </c>
      <c r="C287" s="10" t="s">
        <v>708</v>
      </c>
      <c r="D287" s="10" t="s">
        <v>709</v>
      </c>
      <c r="E287" s="10" t="s">
        <v>1047</v>
      </c>
      <c r="F287" s="10" t="s">
        <v>1065</v>
      </c>
      <c r="G287" s="10" t="s">
        <v>630</v>
      </c>
      <c r="H287" s="10" t="s">
        <v>727</v>
      </c>
      <c r="I287" s="6" t="str" cm="1">
        <f t="array" ref="I287">_xlfn.IFS(
    OR(H287="A1", H287="A2", H287="G1"), "사원",
    OR(H287="G2", H287="G3"), "선임",
    OR(H287="G4", H287="G5"), "책임"
)</f>
        <v>책임</v>
      </c>
      <c r="J287" s="11">
        <v>40133</v>
      </c>
      <c r="K287" s="11"/>
      <c r="L287" s="10" t="s">
        <v>1066</v>
      </c>
    </row>
    <row r="288" spans="1:12" x14ac:dyDescent="0.45">
      <c r="A288" s="6">
        <v>287</v>
      </c>
      <c r="B288" s="10" t="s">
        <v>1160</v>
      </c>
      <c r="C288" s="10" t="s">
        <v>708</v>
      </c>
      <c r="D288" s="10" t="s">
        <v>709</v>
      </c>
      <c r="E288" s="10" t="s">
        <v>1047</v>
      </c>
      <c r="F288" s="10" t="s">
        <v>1067</v>
      </c>
      <c r="G288" s="10" t="s">
        <v>622</v>
      </c>
      <c r="H288" s="10" t="s">
        <v>727</v>
      </c>
      <c r="I288" s="6" t="str" cm="1">
        <f t="array" ref="I288">_xlfn.IFS(
    OR(H288="A1", H288="A2", H288="G1"), "사원",
    OR(H288="G2", H288="G3"), "선임",
    OR(H288="G4", H288="G5"), "책임"
)</f>
        <v>책임</v>
      </c>
      <c r="J288" s="11">
        <v>44781</v>
      </c>
      <c r="K288" s="11"/>
      <c r="L288" s="10" t="s">
        <v>1068</v>
      </c>
    </row>
    <row r="289" spans="1:12" x14ac:dyDescent="0.45">
      <c r="A289" s="6">
        <v>288</v>
      </c>
      <c r="B289" s="10" t="s">
        <v>1160</v>
      </c>
      <c r="C289" s="10" t="s">
        <v>708</v>
      </c>
      <c r="D289" s="10" t="s">
        <v>709</v>
      </c>
      <c r="E289" s="10" t="s">
        <v>1047</v>
      </c>
      <c r="F289" s="10" t="s">
        <v>1069</v>
      </c>
      <c r="G289" s="10" t="s">
        <v>619</v>
      </c>
      <c r="H289" s="10" t="s">
        <v>727</v>
      </c>
      <c r="I289" s="6" t="str" cm="1">
        <f t="array" ref="I289">_xlfn.IFS(
    OR(H289="A1", H289="A2", H289="G1"), "사원",
    OR(H289="G2", H289="G3"), "선임",
    OR(H289="G4", H289="G5"), "책임"
)</f>
        <v>책임</v>
      </c>
      <c r="J289" s="11">
        <v>41869</v>
      </c>
      <c r="K289" s="11"/>
      <c r="L289" s="10" t="s">
        <v>1070</v>
      </c>
    </row>
    <row r="290" spans="1:12" x14ac:dyDescent="0.45">
      <c r="A290" s="6">
        <v>289</v>
      </c>
      <c r="B290" s="10" t="s">
        <v>1160</v>
      </c>
      <c r="C290" s="10" t="s">
        <v>708</v>
      </c>
      <c r="D290" s="10" t="s">
        <v>709</v>
      </c>
      <c r="E290" s="10" t="s">
        <v>1047</v>
      </c>
      <c r="F290" s="10" t="s">
        <v>1071</v>
      </c>
      <c r="G290" s="10" t="s">
        <v>610</v>
      </c>
      <c r="H290" s="10" t="s">
        <v>727</v>
      </c>
      <c r="I290" s="6" t="str" cm="1">
        <f t="array" ref="I290">_xlfn.IFS(
    OR(H290="A1", H290="A2", H290="G1"), "사원",
    OR(H290="G2", H290="G3"), "선임",
    OR(H290="G4", H290="G5"), "책임"
)</f>
        <v>책임</v>
      </c>
      <c r="J290" s="11">
        <v>41050</v>
      </c>
      <c r="K290" s="11"/>
      <c r="L290" s="10" t="s">
        <v>1072</v>
      </c>
    </row>
    <row r="291" spans="1:12" x14ac:dyDescent="0.45">
      <c r="A291" s="6">
        <v>290</v>
      </c>
      <c r="B291" s="10" t="s">
        <v>1160</v>
      </c>
      <c r="C291" s="10" t="s">
        <v>708</v>
      </c>
      <c r="D291" s="10" t="s">
        <v>709</v>
      </c>
      <c r="E291" s="10" t="s">
        <v>1047</v>
      </c>
      <c r="F291" s="10" t="s">
        <v>1073</v>
      </c>
      <c r="G291" s="10" t="s">
        <v>600</v>
      </c>
      <c r="H291" s="10" t="s">
        <v>734</v>
      </c>
      <c r="I291" s="6" t="str" cm="1">
        <f t="array" ref="I291">_xlfn.IFS(
    OR(H291="A1", H291="A2", H291="G1"), "사원",
    OR(H291="G2", H291="G3"), "선임",
    OR(H291="G4", H291="G5"), "책임"
)</f>
        <v>책임</v>
      </c>
      <c r="J291" s="11">
        <v>44781</v>
      </c>
      <c r="K291" s="11">
        <v>46388</v>
      </c>
      <c r="L291" s="10" t="s">
        <v>1074</v>
      </c>
    </row>
    <row r="292" spans="1:12" x14ac:dyDescent="0.45">
      <c r="A292" s="6">
        <v>291</v>
      </c>
      <c r="B292" s="10" t="s">
        <v>1160</v>
      </c>
      <c r="C292" s="10" t="s">
        <v>708</v>
      </c>
      <c r="D292" s="10" t="s">
        <v>709</v>
      </c>
      <c r="E292" s="10" t="s">
        <v>1047</v>
      </c>
      <c r="F292" s="10" t="s">
        <v>1058</v>
      </c>
      <c r="G292" s="10" t="s">
        <v>635</v>
      </c>
      <c r="H292" s="10" t="s">
        <v>734</v>
      </c>
      <c r="I292" s="6" t="str" cm="1">
        <f t="array" ref="I292">_xlfn.IFS(
    OR(H292="A1", H292="A2", H292="G1"), "사원",
    OR(H292="G2", H292="G3"), "선임",
    OR(H292="G4", H292="G5"), "책임"
)</f>
        <v>책임</v>
      </c>
      <c r="J292" s="11">
        <v>39448</v>
      </c>
      <c r="K292" s="11">
        <v>46023</v>
      </c>
      <c r="L292" s="10" t="s">
        <v>1075</v>
      </c>
    </row>
    <row r="293" spans="1:12" x14ac:dyDescent="0.45">
      <c r="A293" s="6">
        <v>292</v>
      </c>
      <c r="B293" s="10" t="s">
        <v>1160</v>
      </c>
      <c r="C293" s="10" t="s">
        <v>708</v>
      </c>
      <c r="D293" s="10" t="s">
        <v>709</v>
      </c>
      <c r="E293" s="10" t="s">
        <v>1047</v>
      </c>
      <c r="F293" s="10" t="s">
        <v>1076</v>
      </c>
      <c r="G293" s="10" t="s">
        <v>660</v>
      </c>
      <c r="H293" s="10" t="s">
        <v>734</v>
      </c>
      <c r="I293" s="6" t="str" cm="1">
        <f t="array" ref="I293">_xlfn.IFS(
    OR(H293="A1", H293="A2", H293="G1"), "사원",
    OR(H293="G2", H293="G3"), "선임",
    OR(H293="G4", H293="G5"), "책임"
)</f>
        <v>책임</v>
      </c>
      <c r="J293" s="11">
        <v>45689</v>
      </c>
      <c r="K293" s="11">
        <v>46023</v>
      </c>
      <c r="L293" s="10" t="s">
        <v>1077</v>
      </c>
    </row>
    <row r="294" spans="1:12" x14ac:dyDescent="0.45">
      <c r="A294" s="6">
        <v>293</v>
      </c>
      <c r="B294" s="10" t="s">
        <v>1160</v>
      </c>
      <c r="C294" s="10" t="s">
        <v>708</v>
      </c>
      <c r="D294" s="10" t="s">
        <v>709</v>
      </c>
      <c r="E294" s="10" t="s">
        <v>1047</v>
      </c>
      <c r="F294" s="10" t="s">
        <v>1056</v>
      </c>
      <c r="G294" s="10" t="s">
        <v>593</v>
      </c>
      <c r="H294" s="10" t="s">
        <v>734</v>
      </c>
      <c r="I294" s="6" t="str" cm="1">
        <f t="array" ref="I294">_xlfn.IFS(
    OR(H294="A1", H294="A2", H294="G1"), "사원",
    OR(H294="G2", H294="G3"), "선임",
    OR(H294="G4", H294="G5"), "책임"
)</f>
        <v>책임</v>
      </c>
      <c r="J294" s="11">
        <v>42163</v>
      </c>
      <c r="K294" s="11">
        <v>46023</v>
      </c>
      <c r="L294" s="10" t="s">
        <v>1078</v>
      </c>
    </row>
    <row r="295" spans="1:12" x14ac:dyDescent="0.45">
      <c r="A295" s="6">
        <v>294</v>
      </c>
      <c r="B295" s="10" t="s">
        <v>1160</v>
      </c>
      <c r="C295" s="10" t="s">
        <v>708</v>
      </c>
      <c r="D295" s="10" t="s">
        <v>709</v>
      </c>
      <c r="E295" s="10" t="s">
        <v>1047</v>
      </c>
      <c r="F295" s="10" t="s">
        <v>1069</v>
      </c>
      <c r="G295" s="10" t="s">
        <v>620</v>
      </c>
      <c r="H295" s="10" t="s">
        <v>734</v>
      </c>
      <c r="I295" s="6" t="str" cm="1">
        <f t="array" ref="I295">_xlfn.IFS(
    OR(H295="A1", H295="A2", H295="G1"), "사원",
    OR(H295="G2", H295="G3"), "선임",
    OR(H295="G4", H295="G5"), "책임"
)</f>
        <v>책임</v>
      </c>
      <c r="J295" s="11">
        <v>42614</v>
      </c>
      <c r="K295" s="11">
        <v>46753</v>
      </c>
      <c r="L295" s="10" t="s">
        <v>1079</v>
      </c>
    </row>
    <row r="296" spans="1:12" x14ac:dyDescent="0.45">
      <c r="A296" s="6">
        <v>295</v>
      </c>
      <c r="B296" s="10" t="s">
        <v>1160</v>
      </c>
      <c r="C296" s="10" t="s">
        <v>708</v>
      </c>
      <c r="D296" s="10" t="s">
        <v>709</v>
      </c>
      <c r="E296" s="10" t="s">
        <v>1047</v>
      </c>
      <c r="F296" s="10" t="s">
        <v>1073</v>
      </c>
      <c r="G296" s="10" t="s">
        <v>589</v>
      </c>
      <c r="H296" s="10" t="s">
        <v>734</v>
      </c>
      <c r="I296" s="6" t="str" cm="1">
        <f t="array" ref="I296">_xlfn.IFS(
    OR(H296="A1", H296="A2", H296="G1"), "사원",
    OR(H296="G2", H296="G3"), "선임",
    OR(H296="G4", H296="G5"), "책임"
)</f>
        <v>책임</v>
      </c>
      <c r="J296" s="11">
        <v>40909</v>
      </c>
      <c r="K296" s="11">
        <v>47119</v>
      </c>
      <c r="L296" s="10" t="s">
        <v>1080</v>
      </c>
    </row>
    <row r="297" spans="1:12" x14ac:dyDescent="0.45">
      <c r="A297" s="6">
        <v>296</v>
      </c>
      <c r="B297" s="10" t="s">
        <v>1160</v>
      </c>
      <c r="C297" s="10" t="s">
        <v>708</v>
      </c>
      <c r="D297" s="10" t="s">
        <v>709</v>
      </c>
      <c r="E297" s="10" t="s">
        <v>1047</v>
      </c>
      <c r="F297" s="10" t="s">
        <v>1060</v>
      </c>
      <c r="G297" s="10" t="s">
        <v>594</v>
      </c>
      <c r="H297" s="10" t="s">
        <v>734</v>
      </c>
      <c r="I297" s="6" t="str" cm="1">
        <f t="array" ref="I297">_xlfn.IFS(
    OR(H297="A1", H297="A2", H297="G1"), "사원",
    OR(H297="G2", H297="G3"), "선임",
    OR(H297="G4", H297="G5"), "책임"
)</f>
        <v>책임</v>
      </c>
      <c r="J297" s="11">
        <v>40259</v>
      </c>
      <c r="K297" s="11">
        <v>47119</v>
      </c>
      <c r="L297" s="10" t="s">
        <v>1081</v>
      </c>
    </row>
    <row r="298" spans="1:12" x14ac:dyDescent="0.45">
      <c r="A298" s="6">
        <v>297</v>
      </c>
      <c r="B298" s="10" t="s">
        <v>1160</v>
      </c>
      <c r="C298" s="10" t="s">
        <v>708</v>
      </c>
      <c r="D298" s="10" t="s">
        <v>709</v>
      </c>
      <c r="E298" s="10" t="s">
        <v>1047</v>
      </c>
      <c r="F298" s="10" t="s">
        <v>1082</v>
      </c>
      <c r="G298" s="10" t="s">
        <v>623</v>
      </c>
      <c r="H298" s="10" t="s">
        <v>734</v>
      </c>
      <c r="I298" s="6" t="str" cm="1">
        <f t="array" ref="I298">_xlfn.IFS(
    OR(H298="A1", H298="A2", H298="G1"), "사원",
    OR(H298="G2", H298="G3"), "선임",
    OR(H298="G4", H298="G5"), "책임"
)</f>
        <v>책임</v>
      </c>
      <c r="J298" s="11">
        <v>40179</v>
      </c>
      <c r="K298" s="11">
        <v>46388</v>
      </c>
      <c r="L298" s="10" t="s">
        <v>1083</v>
      </c>
    </row>
    <row r="299" spans="1:12" x14ac:dyDescent="0.45">
      <c r="A299" s="6">
        <v>298</v>
      </c>
      <c r="B299" s="10" t="s">
        <v>1160</v>
      </c>
      <c r="C299" s="10" t="s">
        <v>708</v>
      </c>
      <c r="D299" s="10" t="s">
        <v>709</v>
      </c>
      <c r="E299" s="10" t="s">
        <v>1047</v>
      </c>
      <c r="F299" s="10" t="s">
        <v>1056</v>
      </c>
      <c r="G299" s="10" t="s">
        <v>608</v>
      </c>
      <c r="H299" s="10" t="s">
        <v>734</v>
      </c>
      <c r="I299" s="6" t="str" cm="1">
        <f t="array" ref="I299">_xlfn.IFS(
    OR(H299="A1", H299="A2", H299="G1"), "사원",
    OR(H299="G2", H299="G3"), "선임",
    OR(H299="G4", H299="G5"), "책임"
)</f>
        <v>책임</v>
      </c>
      <c r="J299" s="11">
        <v>37681</v>
      </c>
      <c r="K299" s="11">
        <v>45292</v>
      </c>
      <c r="L299" s="10" t="s">
        <v>1084</v>
      </c>
    </row>
    <row r="300" spans="1:12" x14ac:dyDescent="0.45">
      <c r="A300" s="6">
        <v>299</v>
      </c>
      <c r="B300" s="10" t="s">
        <v>1160</v>
      </c>
      <c r="C300" s="10" t="s">
        <v>708</v>
      </c>
      <c r="D300" s="10" t="s">
        <v>709</v>
      </c>
      <c r="E300" s="10" t="s">
        <v>1047</v>
      </c>
      <c r="F300" s="10" t="s">
        <v>1076</v>
      </c>
      <c r="G300" s="10" t="s">
        <v>614</v>
      </c>
      <c r="H300" s="10" t="s">
        <v>734</v>
      </c>
      <c r="I300" s="6" t="str" cm="1">
        <f t="array" ref="I300">_xlfn.IFS(
    OR(H300="A1", H300="A2", H300="G1"), "사원",
    OR(H300="G2", H300="G3"), "선임",
    OR(H300="G4", H300="G5"), "책임"
)</f>
        <v>책임</v>
      </c>
      <c r="J300" s="11">
        <v>40909</v>
      </c>
      <c r="K300" s="11">
        <v>46753</v>
      </c>
      <c r="L300" s="10" t="s">
        <v>1085</v>
      </c>
    </row>
    <row r="301" spans="1:12" x14ac:dyDescent="0.45">
      <c r="A301" s="6">
        <v>300</v>
      </c>
      <c r="B301" s="10" t="s">
        <v>1160</v>
      </c>
      <c r="C301" s="10" t="s">
        <v>708</v>
      </c>
      <c r="D301" s="10" t="s">
        <v>709</v>
      </c>
      <c r="E301" s="10" t="s">
        <v>1047</v>
      </c>
      <c r="F301" s="10" t="s">
        <v>1056</v>
      </c>
      <c r="G301" s="10" t="s">
        <v>607</v>
      </c>
      <c r="H301" s="10" t="s">
        <v>734</v>
      </c>
      <c r="I301" s="6" t="str" cm="1">
        <f t="array" ref="I301">_xlfn.IFS(
    OR(H301="A1", H301="A2", H301="G1"), "사원",
    OR(H301="G2", H301="G3"), "선임",
    OR(H301="G4", H301="G5"), "책임"
)</f>
        <v>책임</v>
      </c>
      <c r="J301" s="11">
        <v>37500</v>
      </c>
      <c r="K301" s="11">
        <v>46753</v>
      </c>
      <c r="L301" s="10" t="s">
        <v>1086</v>
      </c>
    </row>
    <row r="302" spans="1:12" x14ac:dyDescent="0.45">
      <c r="A302" s="6">
        <v>301</v>
      </c>
      <c r="B302" s="10" t="s">
        <v>1160</v>
      </c>
      <c r="C302" s="10" t="s">
        <v>708</v>
      </c>
      <c r="D302" s="10" t="s">
        <v>709</v>
      </c>
      <c r="E302" s="10" t="s">
        <v>1047</v>
      </c>
      <c r="F302" s="10" t="s">
        <v>1060</v>
      </c>
      <c r="G302" s="10" t="s">
        <v>595</v>
      </c>
      <c r="H302" s="10" t="s">
        <v>757</v>
      </c>
      <c r="I302" s="6" t="str" cm="1">
        <f t="array" ref="I302">_xlfn.IFS(
    OR(H302="A1", H302="A2", H302="G1"), "사원",
    OR(H302="G2", H302="G3"), "선임",
    OR(H302="G4", H302="G5"), "책임"
)</f>
        <v>선임</v>
      </c>
      <c r="J302" s="11">
        <v>40909</v>
      </c>
      <c r="K302" s="11">
        <v>46023</v>
      </c>
      <c r="L302" s="10" t="s">
        <v>1087</v>
      </c>
    </row>
    <row r="303" spans="1:12" x14ac:dyDescent="0.45">
      <c r="A303" s="6">
        <v>302</v>
      </c>
      <c r="B303" s="10" t="s">
        <v>1160</v>
      </c>
      <c r="C303" s="10" t="s">
        <v>708</v>
      </c>
      <c r="D303" s="10" t="s">
        <v>709</v>
      </c>
      <c r="E303" s="10" t="s">
        <v>1047</v>
      </c>
      <c r="F303" s="10" t="s">
        <v>1088</v>
      </c>
      <c r="G303" s="10" t="s">
        <v>624</v>
      </c>
      <c r="H303" s="10" t="s">
        <v>757</v>
      </c>
      <c r="I303" s="6" t="str" cm="1">
        <f t="array" ref="I303">_xlfn.IFS(
    OR(H303="A1", H303="A2", H303="G1"), "사원",
    OR(H303="G2", H303="G3"), "선임",
    OR(H303="G4", H303="G5"), "책임"
)</f>
        <v>선임</v>
      </c>
      <c r="J303" s="11">
        <v>41743</v>
      </c>
      <c r="K303" s="11">
        <v>46753</v>
      </c>
      <c r="L303" s="10" t="s">
        <v>1089</v>
      </c>
    </row>
    <row r="304" spans="1:12" x14ac:dyDescent="0.45">
      <c r="A304" s="6">
        <v>303</v>
      </c>
      <c r="B304" s="10" t="s">
        <v>1160</v>
      </c>
      <c r="C304" s="10" t="s">
        <v>708</v>
      </c>
      <c r="D304" s="10" t="s">
        <v>709</v>
      </c>
      <c r="E304" s="10" t="s">
        <v>1047</v>
      </c>
      <c r="F304" s="10" t="s">
        <v>1090</v>
      </c>
      <c r="G304" s="10" t="s">
        <v>616</v>
      </c>
      <c r="H304" s="10" t="s">
        <v>757</v>
      </c>
      <c r="I304" s="6" t="str" cm="1">
        <f t="array" ref="I304">_xlfn.IFS(
    OR(H304="A1", H304="A2", H304="G1"), "사원",
    OR(H304="G2", H304="G3"), "선임",
    OR(H304="G4", H304="G5"), "책임"
)</f>
        <v>선임</v>
      </c>
      <c r="J304" s="11">
        <v>41148</v>
      </c>
      <c r="K304" s="11">
        <v>46023</v>
      </c>
      <c r="L304" s="10" t="s">
        <v>1091</v>
      </c>
    </row>
    <row r="305" spans="1:12" x14ac:dyDescent="0.45">
      <c r="A305" s="6">
        <v>304</v>
      </c>
      <c r="B305" s="10" t="s">
        <v>1160</v>
      </c>
      <c r="C305" s="10" t="s">
        <v>708</v>
      </c>
      <c r="D305" s="10" t="s">
        <v>709</v>
      </c>
      <c r="E305" s="10" t="s">
        <v>1047</v>
      </c>
      <c r="F305" s="10" t="s">
        <v>1090</v>
      </c>
      <c r="G305" s="10" t="s">
        <v>617</v>
      </c>
      <c r="H305" s="10" t="s">
        <v>757</v>
      </c>
      <c r="I305" s="6" t="str" cm="1">
        <f t="array" ref="I305">_xlfn.IFS(
    OR(H305="A1", H305="A2", H305="G1"), "사원",
    OR(H305="G2", H305="G3"), "선임",
    OR(H305="G4", H305="G5"), "책임"
)</f>
        <v>선임</v>
      </c>
      <c r="J305" s="11">
        <v>42736</v>
      </c>
      <c r="K305" s="11">
        <v>47484</v>
      </c>
      <c r="L305" s="10" t="s">
        <v>1092</v>
      </c>
    </row>
    <row r="306" spans="1:12" x14ac:dyDescent="0.45">
      <c r="A306" s="6">
        <v>305</v>
      </c>
      <c r="B306" s="10" t="s">
        <v>1160</v>
      </c>
      <c r="C306" s="10" t="s">
        <v>708</v>
      </c>
      <c r="D306" s="10" t="s">
        <v>709</v>
      </c>
      <c r="E306" s="10" t="s">
        <v>1047</v>
      </c>
      <c r="F306" s="10" t="s">
        <v>1058</v>
      </c>
      <c r="G306" s="10" t="s">
        <v>609</v>
      </c>
      <c r="H306" s="10" t="s">
        <v>757</v>
      </c>
      <c r="I306" s="6" t="str" cm="1">
        <f t="array" ref="I306">_xlfn.IFS(
    OR(H306="A1", H306="A2", H306="G1"), "사원",
    OR(H306="G2", H306="G3"), "선임",
    OR(H306="G4", H306="G5"), "책임"
)</f>
        <v>선임</v>
      </c>
      <c r="J306" s="11">
        <v>45017</v>
      </c>
      <c r="K306" s="11">
        <v>47484</v>
      </c>
      <c r="L306" s="10" t="s">
        <v>1093</v>
      </c>
    </row>
    <row r="307" spans="1:12" x14ac:dyDescent="0.45">
      <c r="A307" s="6">
        <v>306</v>
      </c>
      <c r="B307" s="10" t="s">
        <v>1160</v>
      </c>
      <c r="C307" s="10" t="s">
        <v>708</v>
      </c>
      <c r="D307" s="10" t="s">
        <v>709</v>
      </c>
      <c r="E307" s="10" t="s">
        <v>1047</v>
      </c>
      <c r="F307" s="10" t="s">
        <v>1071</v>
      </c>
      <c r="G307" s="10" t="s">
        <v>611</v>
      </c>
      <c r="H307" s="10" t="s">
        <v>757</v>
      </c>
      <c r="I307" s="6" t="str" cm="1">
        <f t="array" ref="I307">_xlfn.IFS(
    OR(H307="A1", H307="A2", H307="G1"), "사원",
    OR(H307="G2", H307="G3"), "선임",
    OR(H307="G4", H307="G5"), "책임"
)</f>
        <v>선임</v>
      </c>
      <c r="J307" s="11">
        <v>40695</v>
      </c>
      <c r="K307" s="11">
        <v>46023</v>
      </c>
      <c r="L307" s="10" t="s">
        <v>1094</v>
      </c>
    </row>
    <row r="308" spans="1:12" x14ac:dyDescent="0.45">
      <c r="A308" s="6">
        <v>307</v>
      </c>
      <c r="B308" s="10" t="s">
        <v>1160</v>
      </c>
      <c r="C308" s="10" t="s">
        <v>708</v>
      </c>
      <c r="D308" s="10" t="s">
        <v>709</v>
      </c>
      <c r="E308" s="10" t="s">
        <v>1047</v>
      </c>
      <c r="F308" s="10" t="s">
        <v>1071</v>
      </c>
      <c r="G308" s="10" t="s">
        <v>612</v>
      </c>
      <c r="H308" s="10" t="s">
        <v>757</v>
      </c>
      <c r="I308" s="6" t="str" cm="1">
        <f t="array" ref="I308">_xlfn.IFS(
    OR(H308="A1", H308="A2", H308="G1"), "사원",
    OR(H308="G2", H308="G3"), "선임",
    OR(H308="G4", H308="G5"), "책임"
)</f>
        <v>선임</v>
      </c>
      <c r="J308" s="11">
        <v>42142</v>
      </c>
      <c r="K308" s="11">
        <v>47119</v>
      </c>
      <c r="L308" s="10" t="s">
        <v>1095</v>
      </c>
    </row>
    <row r="309" spans="1:12" x14ac:dyDescent="0.45">
      <c r="A309" s="6">
        <v>308</v>
      </c>
      <c r="B309" s="10" t="s">
        <v>1160</v>
      </c>
      <c r="C309" s="10" t="s">
        <v>708</v>
      </c>
      <c r="D309" s="10" t="s">
        <v>709</v>
      </c>
      <c r="E309" s="10" t="s">
        <v>1047</v>
      </c>
      <c r="F309" s="10" t="s">
        <v>1060</v>
      </c>
      <c r="G309" s="10" t="s">
        <v>604</v>
      </c>
      <c r="H309" s="10" t="s">
        <v>757</v>
      </c>
      <c r="I309" s="6" t="str" cm="1">
        <f t="array" ref="I309">_xlfn.IFS(
    OR(H309="A1", H309="A2", H309="G1"), "사원",
    OR(H309="G2", H309="G3"), "선임",
    OR(H309="G4", H309="G5"), "책임"
)</f>
        <v>선임</v>
      </c>
      <c r="J309" s="11">
        <v>44963</v>
      </c>
      <c r="K309" s="11">
        <v>46388</v>
      </c>
      <c r="L309" s="10" t="s">
        <v>1096</v>
      </c>
    </row>
    <row r="310" spans="1:12" x14ac:dyDescent="0.45">
      <c r="A310" s="6">
        <v>309</v>
      </c>
      <c r="B310" s="10" t="s">
        <v>1160</v>
      </c>
      <c r="C310" s="10" t="s">
        <v>708</v>
      </c>
      <c r="D310" s="10" t="s">
        <v>709</v>
      </c>
      <c r="E310" s="10" t="s">
        <v>1047</v>
      </c>
      <c r="F310" s="10" t="s">
        <v>1073</v>
      </c>
      <c r="G310" s="10" t="s">
        <v>591</v>
      </c>
      <c r="H310" s="10" t="s">
        <v>757</v>
      </c>
      <c r="I310" s="6" t="str" cm="1">
        <f t="array" ref="I310">_xlfn.IFS(
    OR(H310="A1", H310="A2", H310="G1"), "사원",
    OR(H310="G2", H310="G3"), "선임",
    OR(H310="G4", H310="G5"), "책임"
)</f>
        <v>선임</v>
      </c>
      <c r="J310" s="11">
        <v>41708</v>
      </c>
      <c r="K310" s="11">
        <v>47484</v>
      </c>
      <c r="L310" s="10" t="s">
        <v>1097</v>
      </c>
    </row>
    <row r="311" spans="1:12" x14ac:dyDescent="0.45">
      <c r="A311" s="6">
        <v>310</v>
      </c>
      <c r="B311" s="10" t="s">
        <v>1160</v>
      </c>
      <c r="C311" s="10" t="s">
        <v>708</v>
      </c>
      <c r="D311" s="10" t="s">
        <v>709</v>
      </c>
      <c r="E311" s="10" t="s">
        <v>1047</v>
      </c>
      <c r="F311" s="10" t="s">
        <v>1073</v>
      </c>
      <c r="G311" s="10" t="s">
        <v>590</v>
      </c>
      <c r="H311" s="10" t="s">
        <v>757</v>
      </c>
      <c r="I311" s="6" t="str" cm="1">
        <f t="array" ref="I311">_xlfn.IFS(
    OR(H311="A1", H311="A2", H311="G1"), "사원",
    OR(H311="G2", H311="G3"), "선임",
    OR(H311="G4", H311="G5"), "책임"
)</f>
        <v>선임</v>
      </c>
      <c r="J311" s="11">
        <v>42290</v>
      </c>
      <c r="K311" s="11">
        <v>47119</v>
      </c>
      <c r="L311" s="10" t="s">
        <v>1098</v>
      </c>
    </row>
    <row r="312" spans="1:12" x14ac:dyDescent="0.45">
      <c r="A312" s="6">
        <v>311</v>
      </c>
      <c r="B312" s="10" t="s">
        <v>1160</v>
      </c>
      <c r="C312" s="10" t="s">
        <v>708</v>
      </c>
      <c r="D312" s="10" t="s">
        <v>709</v>
      </c>
      <c r="E312" s="10" t="s">
        <v>1047</v>
      </c>
      <c r="F312" s="10" t="s">
        <v>1058</v>
      </c>
      <c r="G312" s="10" t="s">
        <v>602</v>
      </c>
      <c r="H312" s="10" t="s">
        <v>757</v>
      </c>
      <c r="I312" s="6" t="str" cm="1">
        <f t="array" ref="I312">_xlfn.IFS(
    OR(H312="A1", H312="A2", H312="G1"), "사원",
    OR(H312="G2", H312="G3"), "선임",
    OR(H312="G4", H312="G5"), "책임"
)</f>
        <v>선임</v>
      </c>
      <c r="J312" s="11">
        <v>44802</v>
      </c>
      <c r="K312" s="11">
        <v>47484</v>
      </c>
      <c r="L312" s="10" t="s">
        <v>1099</v>
      </c>
    </row>
    <row r="313" spans="1:12" x14ac:dyDescent="0.45">
      <c r="A313" s="6">
        <v>312</v>
      </c>
      <c r="B313" s="10" t="s">
        <v>1160</v>
      </c>
      <c r="C313" s="10" t="s">
        <v>708</v>
      </c>
      <c r="D313" s="10" t="s">
        <v>709</v>
      </c>
      <c r="E313" s="10" t="s">
        <v>1047</v>
      </c>
      <c r="F313" s="10" t="s">
        <v>1090</v>
      </c>
      <c r="G313" s="10" t="s">
        <v>627</v>
      </c>
      <c r="H313" s="10" t="s">
        <v>757</v>
      </c>
      <c r="I313" s="6" t="str" cm="1">
        <f t="array" ref="I313">_xlfn.IFS(
    OR(H313="A1", H313="A2", H313="G1"), "사원",
    OR(H313="G2", H313="G3"), "선임",
    OR(H313="G4", H313="G5"), "책임"
)</f>
        <v>선임</v>
      </c>
      <c r="J313" s="11">
        <v>38218</v>
      </c>
      <c r="K313" s="11">
        <v>46753</v>
      </c>
      <c r="L313" s="10" t="s">
        <v>1100</v>
      </c>
    </row>
    <row r="314" spans="1:12" x14ac:dyDescent="0.45">
      <c r="A314" s="6">
        <v>313</v>
      </c>
      <c r="B314" s="10" t="s">
        <v>1160</v>
      </c>
      <c r="C314" s="10" t="s">
        <v>708</v>
      </c>
      <c r="D314" s="10" t="s">
        <v>709</v>
      </c>
      <c r="E314" s="10" t="s">
        <v>1047</v>
      </c>
      <c r="F314" s="10" t="s">
        <v>1073</v>
      </c>
      <c r="G314" s="10" t="s">
        <v>597</v>
      </c>
      <c r="H314" s="10" t="s">
        <v>757</v>
      </c>
      <c r="I314" s="6" t="str" cm="1">
        <f t="array" ref="I314">_xlfn.IFS(
    OR(H314="A1", H314="A2", H314="G1"), "사원",
    OR(H314="G2", H314="G3"), "선임",
    OR(H314="G4", H314="G5"), "책임"
)</f>
        <v>선임</v>
      </c>
      <c r="J314" s="11">
        <v>42156</v>
      </c>
      <c r="K314" s="11">
        <v>45658</v>
      </c>
      <c r="L314" s="10" t="s">
        <v>1101</v>
      </c>
    </row>
    <row r="315" spans="1:12" x14ac:dyDescent="0.45">
      <c r="A315" s="6">
        <v>314</v>
      </c>
      <c r="B315" s="10" t="s">
        <v>1160</v>
      </c>
      <c r="C315" s="10" t="s">
        <v>708</v>
      </c>
      <c r="D315" s="10" t="s">
        <v>709</v>
      </c>
      <c r="E315" s="10" t="s">
        <v>1047</v>
      </c>
      <c r="F315" s="10" t="s">
        <v>1058</v>
      </c>
      <c r="G315" s="10" t="s">
        <v>596</v>
      </c>
      <c r="H315" s="10" t="s">
        <v>757</v>
      </c>
      <c r="I315" s="6" t="str" cm="1">
        <f t="array" ref="I315">_xlfn.IFS(
    OR(H315="A1", H315="A2", H315="G1"), "사원",
    OR(H315="G2", H315="G3"), "선임",
    OR(H315="G4", H315="G5"), "책임"
)</f>
        <v>선임</v>
      </c>
      <c r="J315" s="11">
        <v>41456</v>
      </c>
      <c r="K315" s="11">
        <v>46388</v>
      </c>
      <c r="L315" s="10" t="s">
        <v>1102</v>
      </c>
    </row>
    <row r="316" spans="1:12" x14ac:dyDescent="0.45">
      <c r="A316" s="6">
        <v>315</v>
      </c>
      <c r="B316" s="10" t="s">
        <v>1160</v>
      </c>
      <c r="C316" s="10" t="s">
        <v>708</v>
      </c>
      <c r="D316" s="10" t="s">
        <v>709</v>
      </c>
      <c r="E316" s="10" t="s">
        <v>1047</v>
      </c>
      <c r="F316" s="10" t="s">
        <v>1090</v>
      </c>
      <c r="G316" s="10" t="s">
        <v>618</v>
      </c>
      <c r="H316" s="10" t="s">
        <v>779</v>
      </c>
      <c r="I316" s="6" t="str" cm="1">
        <f t="array" ref="I316">_xlfn.IFS(
    OR(H316="A1", H316="A2", H316="G1"), "사원",
    OR(H316="G2", H316="G3"), "선임",
    OR(H316="G4", H316="G5"), "책임"
)</f>
        <v>선임</v>
      </c>
      <c r="J316" s="11">
        <v>44802</v>
      </c>
      <c r="K316" s="11">
        <v>47484</v>
      </c>
      <c r="L316" s="10" t="s">
        <v>1103</v>
      </c>
    </row>
    <row r="317" spans="1:12" x14ac:dyDescent="0.45">
      <c r="A317" s="6">
        <v>316</v>
      </c>
      <c r="B317" s="10" t="s">
        <v>1160</v>
      </c>
      <c r="C317" s="10" t="s">
        <v>708</v>
      </c>
      <c r="D317" s="10" t="s">
        <v>709</v>
      </c>
      <c r="E317" s="10" t="s">
        <v>1047</v>
      </c>
      <c r="F317" s="10" t="s">
        <v>1076</v>
      </c>
      <c r="G317" s="10" t="s">
        <v>615</v>
      </c>
      <c r="H317" s="10" t="s">
        <v>779</v>
      </c>
      <c r="I317" s="6" t="str" cm="1">
        <f t="array" ref="I317">_xlfn.IFS(
    OR(H317="A1", H317="A2", H317="G1"), "사원",
    OR(H317="G2", H317="G3"), "선임",
    OR(H317="G4", H317="G5"), "책임"
)</f>
        <v>선임</v>
      </c>
      <c r="J317" s="11">
        <v>44795</v>
      </c>
      <c r="K317" s="11">
        <v>47484</v>
      </c>
      <c r="L317" s="10" t="s">
        <v>1104</v>
      </c>
    </row>
    <row r="318" spans="1:12" x14ac:dyDescent="0.45">
      <c r="A318" s="6">
        <v>317</v>
      </c>
      <c r="B318" s="10" t="s">
        <v>1160</v>
      </c>
      <c r="C318" s="10" t="s">
        <v>708</v>
      </c>
      <c r="D318" s="10" t="s">
        <v>709</v>
      </c>
      <c r="E318" s="10" t="s">
        <v>1047</v>
      </c>
      <c r="F318" s="10" t="s">
        <v>1082</v>
      </c>
      <c r="G318" s="10" t="s">
        <v>626</v>
      </c>
      <c r="H318" s="10" t="s">
        <v>779</v>
      </c>
      <c r="I318" s="6" t="str" cm="1">
        <f t="array" ref="I318">_xlfn.IFS(
    OR(H318="A1", H318="A2", H318="G1"), "사원",
    OR(H318="G2", H318="G3"), "선임",
    OR(H318="G4", H318="G5"), "책임"
)</f>
        <v>선임</v>
      </c>
      <c r="J318" s="11">
        <v>44802</v>
      </c>
      <c r="K318" s="11">
        <v>47484</v>
      </c>
      <c r="L318" s="10" t="s">
        <v>1105</v>
      </c>
    </row>
    <row r="319" spans="1:12" x14ac:dyDescent="0.45">
      <c r="A319" s="6">
        <v>318</v>
      </c>
      <c r="B319" s="10" t="s">
        <v>1160</v>
      </c>
      <c r="C319" s="10" t="s">
        <v>708</v>
      </c>
      <c r="D319" s="10" t="s">
        <v>709</v>
      </c>
      <c r="E319" s="10" t="s">
        <v>1047</v>
      </c>
      <c r="F319" s="10" t="s">
        <v>1060</v>
      </c>
      <c r="G319" s="10" t="s">
        <v>628</v>
      </c>
      <c r="H319" s="10" t="s">
        <v>779</v>
      </c>
      <c r="I319" s="6" t="str" cm="1">
        <f t="array" ref="I319">_xlfn.IFS(
    OR(H319="A1", H319="A2", H319="G1"), "사원",
    OR(H319="G2", H319="G3"), "선임",
    OR(H319="G4", H319="G5"), "책임"
)</f>
        <v>선임</v>
      </c>
      <c r="J319" s="11">
        <v>45173</v>
      </c>
      <c r="K319" s="11">
        <v>46023</v>
      </c>
      <c r="L319" s="10" t="s">
        <v>1106</v>
      </c>
    </row>
    <row r="320" spans="1:12" x14ac:dyDescent="0.45">
      <c r="A320" s="6">
        <v>319</v>
      </c>
      <c r="B320" s="10" t="s">
        <v>1160</v>
      </c>
      <c r="C320" s="10" t="s">
        <v>708</v>
      </c>
      <c r="D320" s="10" t="s">
        <v>709</v>
      </c>
      <c r="E320" s="10" t="s">
        <v>1047</v>
      </c>
      <c r="F320" s="10" t="s">
        <v>1073</v>
      </c>
      <c r="G320" s="10" t="s">
        <v>654</v>
      </c>
      <c r="H320" s="10" t="s">
        <v>779</v>
      </c>
      <c r="I320" s="6" t="str" cm="1">
        <f t="array" ref="I320">_xlfn.IFS(
    OR(H320="A1", H320="A2", H320="G1"), "사원",
    OR(H320="G2", H320="G3"), "선임",
    OR(H320="G4", H320="G5"), "책임"
)</f>
        <v>선임</v>
      </c>
      <c r="J320" s="11">
        <v>43514</v>
      </c>
      <c r="K320" s="11">
        <v>46753</v>
      </c>
      <c r="L320" s="10" t="s">
        <v>1107</v>
      </c>
    </row>
    <row r="321" spans="1:12" x14ac:dyDescent="0.45">
      <c r="A321" s="6">
        <v>320</v>
      </c>
      <c r="B321" s="10" t="s">
        <v>1160</v>
      </c>
      <c r="C321" s="10" t="s">
        <v>708</v>
      </c>
      <c r="D321" s="10" t="s">
        <v>709</v>
      </c>
      <c r="E321" s="10" t="s">
        <v>1047</v>
      </c>
      <c r="F321" s="10" t="s">
        <v>1073</v>
      </c>
      <c r="G321" s="10" t="s">
        <v>652</v>
      </c>
      <c r="H321" s="10" t="s">
        <v>779</v>
      </c>
      <c r="I321" s="6" t="str" cm="1">
        <f t="array" ref="I321">_xlfn.IFS(
    OR(H321="A1", H321="A2", H321="G1"), "사원",
    OR(H321="G2", H321="G3"), "선임",
    OR(H321="G4", H321="G5"), "책임"
)</f>
        <v>선임</v>
      </c>
      <c r="J321" s="11">
        <v>45537</v>
      </c>
      <c r="K321" s="11">
        <v>46753</v>
      </c>
      <c r="L321" s="10" t="s">
        <v>1108</v>
      </c>
    </row>
    <row r="322" spans="1:12" x14ac:dyDescent="0.45">
      <c r="A322" s="6">
        <v>321</v>
      </c>
      <c r="B322" s="10" t="s">
        <v>1160</v>
      </c>
      <c r="C322" s="10" t="s">
        <v>708</v>
      </c>
      <c r="D322" s="10" t="s">
        <v>709</v>
      </c>
      <c r="E322" s="10" t="s">
        <v>1047</v>
      </c>
      <c r="F322" s="10" t="s">
        <v>1058</v>
      </c>
      <c r="G322" s="10" t="s">
        <v>631</v>
      </c>
      <c r="H322" s="10" t="s">
        <v>779</v>
      </c>
      <c r="I322" s="6" t="str" cm="1">
        <f t="array" ref="I322">_xlfn.IFS(
    OR(H322="A1", H322="A2", H322="G1"), "사원",
    OR(H322="G2", H322="G3"), "선임",
    OR(H322="G4", H322="G5"), "책임"
)</f>
        <v>선임</v>
      </c>
      <c r="J322" s="11">
        <v>43045</v>
      </c>
      <c r="K322" s="11">
        <v>46753</v>
      </c>
      <c r="L322" s="10" t="s">
        <v>1109</v>
      </c>
    </row>
    <row r="323" spans="1:12" x14ac:dyDescent="0.45">
      <c r="A323" s="6">
        <v>322</v>
      </c>
      <c r="B323" s="10" t="s">
        <v>1160</v>
      </c>
      <c r="C323" s="10" t="s">
        <v>708</v>
      </c>
      <c r="D323" s="10" t="s">
        <v>709</v>
      </c>
      <c r="E323" s="10" t="s">
        <v>1047</v>
      </c>
      <c r="F323" s="10" t="s">
        <v>1058</v>
      </c>
      <c r="G323" s="10" t="s">
        <v>644</v>
      </c>
      <c r="H323" s="10" t="s">
        <v>779</v>
      </c>
      <c r="I323" s="6" t="str" cm="1">
        <f t="array" ref="I323">_xlfn.IFS(
    OR(H323="A1", H323="A2", H323="G1"), "사원",
    OR(H323="G2", H323="G3"), "선임",
    OR(H323="G4", H323="G5"), "책임"
)</f>
        <v>선임</v>
      </c>
      <c r="J323" s="11">
        <v>45323</v>
      </c>
      <c r="K323" s="11">
        <v>46388</v>
      </c>
      <c r="L323" s="10" t="s">
        <v>1110</v>
      </c>
    </row>
    <row r="324" spans="1:12" x14ac:dyDescent="0.45">
      <c r="A324" s="6">
        <v>323</v>
      </c>
      <c r="B324" s="10" t="s">
        <v>1160</v>
      </c>
      <c r="C324" s="10" t="s">
        <v>708</v>
      </c>
      <c r="D324" s="10" t="s">
        <v>709</v>
      </c>
      <c r="E324" s="10" t="s">
        <v>1047</v>
      </c>
      <c r="F324" s="10" t="s">
        <v>1069</v>
      </c>
      <c r="G324" s="10" t="s">
        <v>621</v>
      </c>
      <c r="H324" s="10" t="s">
        <v>779</v>
      </c>
      <c r="I324" s="6" t="str" cm="1">
        <f t="array" ref="I324">_xlfn.IFS(
    OR(H324="A1", H324="A2", H324="G1"), "사원",
    OR(H324="G2", H324="G3"), "선임",
    OR(H324="G4", H324="G5"), "책임"
)</f>
        <v>선임</v>
      </c>
      <c r="J324" s="11">
        <v>41171</v>
      </c>
      <c r="K324" s="11">
        <v>47119</v>
      </c>
      <c r="L324" s="10" t="s">
        <v>1111</v>
      </c>
    </row>
    <row r="325" spans="1:12" x14ac:dyDescent="0.45">
      <c r="A325" s="6">
        <v>324</v>
      </c>
      <c r="B325" s="10" t="s">
        <v>1160</v>
      </c>
      <c r="C325" s="10" t="s">
        <v>708</v>
      </c>
      <c r="D325" s="10" t="s">
        <v>709</v>
      </c>
      <c r="E325" s="10" t="s">
        <v>1047</v>
      </c>
      <c r="F325" s="10" t="s">
        <v>1088</v>
      </c>
      <c r="G325" s="10" t="s">
        <v>625</v>
      </c>
      <c r="H325" s="10" t="s">
        <v>779</v>
      </c>
      <c r="I325" s="6" t="str" cm="1">
        <f t="array" ref="I325">_xlfn.IFS(
    OR(H325="A1", H325="A2", H325="G1"), "사원",
    OR(H325="G2", H325="G3"), "선임",
    OR(H325="G4", H325="G5"), "책임"
)</f>
        <v>선임</v>
      </c>
      <c r="J325" s="11">
        <v>44795</v>
      </c>
      <c r="K325" s="11">
        <v>47484</v>
      </c>
      <c r="L325" s="10" t="s">
        <v>1112</v>
      </c>
    </row>
    <row r="326" spans="1:12" x14ac:dyDescent="0.45">
      <c r="A326" s="6">
        <v>325</v>
      </c>
      <c r="B326" s="10" t="s">
        <v>1160</v>
      </c>
      <c r="C326" s="10" t="s">
        <v>708</v>
      </c>
      <c r="D326" s="10" t="s">
        <v>709</v>
      </c>
      <c r="E326" s="10" t="s">
        <v>1047</v>
      </c>
      <c r="F326" s="10" t="s">
        <v>1076</v>
      </c>
      <c r="G326" s="10" t="s">
        <v>629</v>
      </c>
      <c r="H326" s="10" t="s">
        <v>779</v>
      </c>
      <c r="I326" s="6" t="str" cm="1">
        <f t="array" ref="I326">_xlfn.IFS(
    OR(H326="A1", H326="A2", H326="G1"), "사원",
    OR(H326="G2", H326="G3"), "선임",
    OR(H326="G4", H326="G5"), "책임"
)</f>
        <v>선임</v>
      </c>
      <c r="J326" s="11">
        <v>45180</v>
      </c>
      <c r="K326" s="11">
        <v>46753</v>
      </c>
      <c r="L326" s="10" t="s">
        <v>1113</v>
      </c>
    </row>
    <row r="327" spans="1:12" x14ac:dyDescent="0.45">
      <c r="A327" s="6">
        <v>326</v>
      </c>
      <c r="B327" s="10" t="s">
        <v>1160</v>
      </c>
      <c r="C327" s="10" t="s">
        <v>708</v>
      </c>
      <c r="D327" s="10" t="s">
        <v>709</v>
      </c>
      <c r="E327" s="10" t="s">
        <v>1047</v>
      </c>
      <c r="F327" s="10" t="s">
        <v>1065</v>
      </c>
      <c r="G327" s="10" t="s">
        <v>633</v>
      </c>
      <c r="H327" s="10" t="s">
        <v>779</v>
      </c>
      <c r="I327" s="6" t="str" cm="1">
        <f t="array" ref="I327">_xlfn.IFS(
    OR(H327="A1", H327="A2", H327="G1"), "사원",
    OR(H327="G2", H327="G3"), "선임",
    OR(H327="G4", H327="G5"), "책임"
)</f>
        <v>선임</v>
      </c>
      <c r="J327" s="11">
        <v>44221</v>
      </c>
      <c r="K327" s="11">
        <v>47119</v>
      </c>
      <c r="L327" s="10" t="s">
        <v>1114</v>
      </c>
    </row>
    <row r="328" spans="1:12" x14ac:dyDescent="0.45">
      <c r="A328" s="6">
        <v>327</v>
      </c>
      <c r="B328" s="10" t="s">
        <v>1160</v>
      </c>
      <c r="C328" s="10" t="s">
        <v>708</v>
      </c>
      <c r="D328" s="10" t="s">
        <v>709</v>
      </c>
      <c r="E328" s="10" t="s">
        <v>1047</v>
      </c>
      <c r="F328" s="10" t="s">
        <v>1065</v>
      </c>
      <c r="G328" s="10" t="s">
        <v>632</v>
      </c>
      <c r="H328" s="10" t="s">
        <v>779</v>
      </c>
      <c r="I328" s="6" t="str" cm="1">
        <f t="array" ref="I328">_xlfn.IFS(
    OR(H328="A1", H328="A2", H328="G1"), "사원",
    OR(H328="G2", H328="G3"), "선임",
    OR(H328="G4", H328="G5"), "책임"
)</f>
        <v>선임</v>
      </c>
      <c r="J328" s="11">
        <v>44713</v>
      </c>
      <c r="K328" s="11">
        <v>47119</v>
      </c>
      <c r="L328" s="10" t="s">
        <v>1115</v>
      </c>
    </row>
    <row r="329" spans="1:12" x14ac:dyDescent="0.45">
      <c r="A329" s="6">
        <v>328</v>
      </c>
      <c r="B329" s="10" t="s">
        <v>1160</v>
      </c>
      <c r="C329" s="10" t="s">
        <v>708</v>
      </c>
      <c r="D329" s="10" t="s">
        <v>709</v>
      </c>
      <c r="E329" s="10" t="s">
        <v>1047</v>
      </c>
      <c r="F329" s="10" t="s">
        <v>1056</v>
      </c>
      <c r="G329" s="10" t="s">
        <v>645</v>
      </c>
      <c r="H329" s="10" t="s">
        <v>779</v>
      </c>
      <c r="I329" s="6" t="str" cm="1">
        <f t="array" ref="I329">_xlfn.IFS(
    OR(H329="A1", H329="A2", H329="G1"), "사원",
    OR(H329="G2", H329="G3"), "선임",
    OR(H329="G4", H329="G5"), "책임"
)</f>
        <v>선임</v>
      </c>
      <c r="J329" s="11">
        <v>45432</v>
      </c>
      <c r="K329" s="11">
        <v>46388</v>
      </c>
      <c r="L329" s="10" t="s">
        <v>1116</v>
      </c>
    </row>
    <row r="330" spans="1:12" x14ac:dyDescent="0.45">
      <c r="A330" s="6">
        <v>329</v>
      </c>
      <c r="B330" s="10" t="s">
        <v>1160</v>
      </c>
      <c r="C330" s="10" t="s">
        <v>708</v>
      </c>
      <c r="D330" s="10" t="s">
        <v>709</v>
      </c>
      <c r="E330" s="10" t="s">
        <v>1047</v>
      </c>
      <c r="F330" s="10" t="s">
        <v>1071</v>
      </c>
      <c r="G330" s="10" t="s">
        <v>613</v>
      </c>
      <c r="H330" s="10" t="s">
        <v>711</v>
      </c>
      <c r="I330" s="6" t="str" cm="1">
        <f t="array" ref="I330">_xlfn.IFS(
    OR(H330="A1", H330="A2", H330="G1"), "사원",
    OR(H330="G2", H330="G3"), "선임",
    OR(H330="G4", H330="G5"), "책임"
)</f>
        <v>사원</v>
      </c>
      <c r="J330" s="11">
        <v>44795</v>
      </c>
      <c r="K330" s="11">
        <v>46023</v>
      </c>
      <c r="L330" s="10" t="s">
        <v>1117</v>
      </c>
    </row>
    <row r="331" spans="1:12" x14ac:dyDescent="0.45">
      <c r="A331" s="6">
        <v>330</v>
      </c>
      <c r="B331" s="10" t="s">
        <v>1160</v>
      </c>
      <c r="C331" s="10" t="s">
        <v>708</v>
      </c>
      <c r="D331" s="10" t="s">
        <v>709</v>
      </c>
      <c r="E331" s="10" t="s">
        <v>1047</v>
      </c>
      <c r="F331" s="10" t="s">
        <v>1088</v>
      </c>
      <c r="G331" s="10" t="s">
        <v>656</v>
      </c>
      <c r="H331" s="10" t="s">
        <v>711</v>
      </c>
      <c r="I331" s="6" t="str" cm="1">
        <f t="array" ref="I331">_xlfn.IFS(
    OR(H331="A1", H331="A2", H331="G1"), "사원",
    OR(H331="G2", H331="G3"), "선임",
    OR(H331="G4", H331="G5"), "책임"
)</f>
        <v>사원</v>
      </c>
      <c r="J331" s="11">
        <v>45658</v>
      </c>
      <c r="K331" s="11">
        <v>46388</v>
      </c>
      <c r="L331" s="10" t="s">
        <v>1118</v>
      </c>
    </row>
    <row r="332" spans="1:12" x14ac:dyDescent="0.45">
      <c r="A332" s="6">
        <v>331</v>
      </c>
      <c r="B332" s="10" t="s">
        <v>1160</v>
      </c>
      <c r="C332" s="10" t="s">
        <v>708</v>
      </c>
      <c r="D332" s="10" t="s">
        <v>709</v>
      </c>
      <c r="E332" s="10" t="s">
        <v>1047</v>
      </c>
      <c r="F332" s="10" t="s">
        <v>1090</v>
      </c>
      <c r="G332" s="10" t="s">
        <v>657</v>
      </c>
      <c r="H332" s="10" t="s">
        <v>711</v>
      </c>
      <c r="I332" s="6" t="str" cm="1">
        <f t="array" ref="I332">_xlfn.IFS(
    OR(H332="A1", H332="A2", H332="G1"), "사원",
    OR(H332="G2", H332="G3"), "선임",
    OR(H332="G4", H332="G5"), "책임"
)</f>
        <v>사원</v>
      </c>
      <c r="J332" s="11">
        <v>45658</v>
      </c>
      <c r="K332" s="11">
        <v>46388</v>
      </c>
      <c r="L332" s="10" t="s">
        <v>1119</v>
      </c>
    </row>
    <row r="333" spans="1:12" x14ac:dyDescent="0.45">
      <c r="A333" s="6">
        <v>332</v>
      </c>
      <c r="B333" s="10" t="s">
        <v>1160</v>
      </c>
      <c r="C333" s="10" t="s">
        <v>708</v>
      </c>
      <c r="D333" s="10" t="s">
        <v>709</v>
      </c>
      <c r="E333" s="10" t="s">
        <v>1047</v>
      </c>
      <c r="F333" s="10" t="s">
        <v>1076</v>
      </c>
      <c r="G333" s="10" t="s">
        <v>658</v>
      </c>
      <c r="H333" s="10" t="s">
        <v>711</v>
      </c>
      <c r="I333" s="6" t="str" cm="1">
        <f t="array" ref="I333">_xlfn.IFS(
    OR(H333="A1", H333="A2", H333="G1"), "사원",
    OR(H333="G2", H333="G3"), "선임",
    OR(H333="G4", H333="G5"), "책임"
)</f>
        <v>사원</v>
      </c>
      <c r="J333" s="11">
        <v>45658</v>
      </c>
      <c r="K333" s="11">
        <v>46388</v>
      </c>
      <c r="L333" s="10" t="s">
        <v>1120</v>
      </c>
    </row>
    <row r="334" spans="1:12" x14ac:dyDescent="0.45">
      <c r="A334" s="6">
        <v>333</v>
      </c>
      <c r="B334" s="10" t="s">
        <v>1160</v>
      </c>
      <c r="C334" s="10" t="s">
        <v>708</v>
      </c>
      <c r="D334" s="10" t="s">
        <v>709</v>
      </c>
      <c r="E334" s="10" t="s">
        <v>1047</v>
      </c>
      <c r="F334" s="10" t="s">
        <v>1060</v>
      </c>
      <c r="G334" s="10" t="s">
        <v>659</v>
      </c>
      <c r="H334" s="10" t="s">
        <v>711</v>
      </c>
      <c r="I334" s="6" t="str" cm="1">
        <f t="array" ref="I334">_xlfn.IFS(
    OR(H334="A1", H334="A2", H334="G1"), "사원",
    OR(H334="G2", H334="G3"), "선임",
    OR(H334="G4", H334="G5"), "책임"
)</f>
        <v>사원</v>
      </c>
      <c r="J334" s="11">
        <v>45658</v>
      </c>
      <c r="K334" s="11">
        <v>46023</v>
      </c>
      <c r="L334" s="10" t="s">
        <v>1121</v>
      </c>
    </row>
    <row r="335" spans="1:12" x14ac:dyDescent="0.45">
      <c r="A335" s="6">
        <v>334</v>
      </c>
      <c r="B335" s="10" t="s">
        <v>1160</v>
      </c>
      <c r="C335" s="10" t="s">
        <v>708</v>
      </c>
      <c r="D335" s="10" t="s">
        <v>709</v>
      </c>
      <c r="E335" s="10" t="s">
        <v>1047</v>
      </c>
      <c r="F335" s="10" t="s">
        <v>1058</v>
      </c>
      <c r="G335" s="10" t="s">
        <v>661</v>
      </c>
      <c r="H335" s="10" t="s">
        <v>711</v>
      </c>
      <c r="I335" s="6" t="str" cm="1">
        <f t="array" ref="I335">_xlfn.IFS(
    OR(H335="A1", H335="A2", H335="G1"), "사원",
    OR(H335="G2", H335="G3"), "선임",
    OR(H335="G4", H335="G5"), "책임"
)</f>
        <v>사원</v>
      </c>
      <c r="J335" s="11">
        <v>45748</v>
      </c>
      <c r="K335" s="11">
        <v>47119</v>
      </c>
      <c r="L335" s="10" t="s">
        <v>1122</v>
      </c>
    </row>
    <row r="336" spans="1:12" x14ac:dyDescent="0.45">
      <c r="A336" s="6">
        <v>335</v>
      </c>
      <c r="B336" s="10" t="s">
        <v>1160</v>
      </c>
      <c r="C336" s="10" t="s">
        <v>708</v>
      </c>
      <c r="D336" s="10" t="s">
        <v>709</v>
      </c>
      <c r="E336" s="10" t="s">
        <v>1047</v>
      </c>
      <c r="F336" s="10" t="s">
        <v>1058</v>
      </c>
      <c r="G336" s="10" t="s">
        <v>662</v>
      </c>
      <c r="H336" s="10" t="s">
        <v>711</v>
      </c>
      <c r="I336" s="6" t="str" cm="1">
        <f t="array" ref="I336">_xlfn.IFS(
    OR(H336="A1", H336="A2", H336="G1"), "사원",
    OR(H336="G2", H336="G3"), "선임",
    OR(H336="G4", H336="G5"), "책임"
)</f>
        <v>사원</v>
      </c>
      <c r="J336" s="11">
        <v>45748</v>
      </c>
      <c r="K336" s="11">
        <v>47119</v>
      </c>
      <c r="L336" s="10" t="s">
        <v>1123</v>
      </c>
    </row>
    <row r="337" spans="1:12" x14ac:dyDescent="0.45">
      <c r="A337" s="6">
        <v>336</v>
      </c>
      <c r="B337" s="10" t="s">
        <v>1160</v>
      </c>
      <c r="C337" s="10" t="s">
        <v>708</v>
      </c>
      <c r="D337" s="10" t="s">
        <v>709</v>
      </c>
      <c r="E337" s="10" t="s">
        <v>1047</v>
      </c>
      <c r="F337" s="10" t="s">
        <v>1073</v>
      </c>
      <c r="G337" s="10" t="s">
        <v>663</v>
      </c>
      <c r="H337" s="10" t="s">
        <v>711</v>
      </c>
      <c r="I337" s="6" t="str" cm="1">
        <f t="array" ref="I337">_xlfn.IFS(
    OR(H337="A1", H337="A2", H337="G1"), "사원",
    OR(H337="G2", H337="G3"), "선임",
    OR(H337="G4", H337="G5"), "책임"
)</f>
        <v>사원</v>
      </c>
      <c r="J337" s="11">
        <v>45748</v>
      </c>
      <c r="K337" s="11">
        <v>47119</v>
      </c>
      <c r="L337" s="10" t="s">
        <v>1124</v>
      </c>
    </row>
    <row r="338" spans="1:12" x14ac:dyDescent="0.45">
      <c r="A338" s="6">
        <v>337</v>
      </c>
      <c r="B338" s="10" t="s">
        <v>1160</v>
      </c>
      <c r="C338" s="10" t="s">
        <v>708</v>
      </c>
      <c r="D338" s="10" t="s">
        <v>709</v>
      </c>
      <c r="E338" s="10" t="s">
        <v>1047</v>
      </c>
      <c r="F338" s="10" t="s">
        <v>1073</v>
      </c>
      <c r="G338" s="10" t="s">
        <v>664</v>
      </c>
      <c r="H338" s="10" t="s">
        <v>711</v>
      </c>
      <c r="I338" s="6" t="str" cm="1">
        <f t="array" ref="I338">_xlfn.IFS(
    OR(H338="A1", H338="A2", H338="G1"), "사원",
    OR(H338="G2", H338="G3"), "선임",
    OR(H338="G4", H338="G5"), "책임"
)</f>
        <v>사원</v>
      </c>
      <c r="J338" s="11">
        <v>45748</v>
      </c>
      <c r="K338" s="11">
        <v>47119</v>
      </c>
      <c r="L338" s="10" t="s">
        <v>1125</v>
      </c>
    </row>
    <row r="339" spans="1:12" x14ac:dyDescent="0.45">
      <c r="A339" s="6">
        <v>338</v>
      </c>
      <c r="B339" s="10" t="s">
        <v>1160</v>
      </c>
      <c r="C339" s="10" t="s">
        <v>708</v>
      </c>
      <c r="D339" s="10" t="s">
        <v>709</v>
      </c>
      <c r="E339" s="10" t="s">
        <v>1047</v>
      </c>
      <c r="F339" s="10" t="s">
        <v>1082</v>
      </c>
      <c r="G339" s="10" t="s">
        <v>665</v>
      </c>
      <c r="H339" s="10" t="s">
        <v>711</v>
      </c>
      <c r="I339" s="6" t="str" cm="1">
        <f t="array" ref="I339">_xlfn.IFS(
    OR(H339="A1", H339="A2", H339="G1"), "사원",
    OR(H339="G2", H339="G3"), "선임",
    OR(H339="G4", H339="G5"), "책임"
)</f>
        <v>사원</v>
      </c>
      <c r="J339" s="11">
        <v>45880</v>
      </c>
      <c r="K339" s="11">
        <v>46753</v>
      </c>
      <c r="L339" s="10" t="s">
        <v>1126</v>
      </c>
    </row>
    <row r="340" spans="1:12" x14ac:dyDescent="0.45">
      <c r="A340" s="6">
        <v>339</v>
      </c>
      <c r="B340" s="10" t="s">
        <v>1160</v>
      </c>
      <c r="C340" s="10" t="s">
        <v>708</v>
      </c>
      <c r="D340" s="10" t="s">
        <v>709</v>
      </c>
      <c r="E340" s="10" t="s">
        <v>1047</v>
      </c>
      <c r="F340" s="10" t="s">
        <v>1076</v>
      </c>
      <c r="G340" s="10" t="s">
        <v>669</v>
      </c>
      <c r="H340" s="10" t="s">
        <v>711</v>
      </c>
      <c r="I340" s="6" t="str" cm="1">
        <f t="array" ref="I340">_xlfn.IFS(
    OR(H340="A1", H340="A2", H340="G1"), "사원",
    OR(H340="G2", H340="G3"), "선임",
    OR(H340="G4", H340="G5"), "책임"
)</f>
        <v>사원</v>
      </c>
      <c r="J340" s="11">
        <v>45880</v>
      </c>
      <c r="K340" s="11">
        <v>46753</v>
      </c>
      <c r="L340" s="10" t="s">
        <v>1127</v>
      </c>
    </row>
    <row r="341" spans="1:12" x14ac:dyDescent="0.45">
      <c r="A341" s="6">
        <v>340</v>
      </c>
      <c r="B341" s="10" t="s">
        <v>1160</v>
      </c>
      <c r="C341" s="10" t="s">
        <v>708</v>
      </c>
      <c r="D341" s="10" t="s">
        <v>709</v>
      </c>
      <c r="E341" s="10" t="s">
        <v>1047</v>
      </c>
      <c r="F341" s="10" t="s">
        <v>1071</v>
      </c>
      <c r="G341" s="10" t="s">
        <v>670</v>
      </c>
      <c r="H341" s="10" t="s">
        <v>711</v>
      </c>
      <c r="I341" s="6" t="str" cm="1">
        <f t="array" ref="I341">_xlfn.IFS(
    OR(H341="A1", H341="A2", H341="G1"), "사원",
    OR(H341="G2", H341="G3"), "선임",
    OR(H341="G4", H341="G5"), "책임"
)</f>
        <v>사원</v>
      </c>
      <c r="J341" s="11">
        <v>45880</v>
      </c>
      <c r="K341" s="11">
        <v>46753</v>
      </c>
      <c r="L341" s="10" t="s">
        <v>1128</v>
      </c>
    </row>
    <row r="342" spans="1:12" x14ac:dyDescent="0.45">
      <c r="A342" s="6">
        <v>341</v>
      </c>
      <c r="B342" s="10" t="s">
        <v>1160</v>
      </c>
      <c r="C342" s="10" t="s">
        <v>708</v>
      </c>
      <c r="D342" s="10" t="s">
        <v>709</v>
      </c>
      <c r="E342" s="10" t="s">
        <v>1047</v>
      </c>
      <c r="F342" s="10" t="s">
        <v>1071</v>
      </c>
      <c r="G342" s="10" t="s">
        <v>671</v>
      </c>
      <c r="H342" s="10" t="s">
        <v>711</v>
      </c>
      <c r="I342" s="6" t="str" cm="1">
        <f t="array" ref="I342">_xlfn.IFS(
    OR(H342="A1", H342="A2", H342="G1"), "사원",
    OR(H342="G2", H342="G3"), "선임",
    OR(H342="G4", H342="G5"), "책임"
)</f>
        <v>사원</v>
      </c>
      <c r="J342" s="11">
        <v>45880</v>
      </c>
      <c r="K342" s="11">
        <v>46023</v>
      </c>
      <c r="L342" s="10" t="s">
        <v>1129</v>
      </c>
    </row>
    <row r="343" spans="1:12" x14ac:dyDescent="0.45">
      <c r="A343" s="6">
        <v>342</v>
      </c>
      <c r="B343" s="10" t="s">
        <v>1160</v>
      </c>
      <c r="C343" s="10" t="s">
        <v>708</v>
      </c>
      <c r="D343" s="10" t="s">
        <v>709</v>
      </c>
      <c r="E343" s="10" t="s">
        <v>1047</v>
      </c>
      <c r="F343" s="10" t="s">
        <v>1065</v>
      </c>
      <c r="G343" s="10" t="s">
        <v>634</v>
      </c>
      <c r="H343" s="10" t="s">
        <v>711</v>
      </c>
      <c r="I343" s="6" t="str" cm="1">
        <f t="array" ref="I343">_xlfn.IFS(
    OR(H343="A1", H343="A2", H343="G1"), "사원",
    OR(H343="G2", H343="G3"), "선임",
    OR(H343="G4", H343="G5"), "책임"
)</f>
        <v>사원</v>
      </c>
      <c r="J343" s="11">
        <v>44795</v>
      </c>
      <c r="K343" s="11">
        <v>46023</v>
      </c>
      <c r="L343" s="10" t="s">
        <v>1130</v>
      </c>
    </row>
    <row r="344" spans="1:12" x14ac:dyDescent="0.45">
      <c r="A344" s="6">
        <v>343</v>
      </c>
      <c r="B344" s="10" t="s">
        <v>1160</v>
      </c>
      <c r="C344" s="10" t="s">
        <v>708</v>
      </c>
      <c r="D344" s="10" t="s">
        <v>709</v>
      </c>
      <c r="E344" s="10" t="s">
        <v>1047</v>
      </c>
      <c r="F344" s="10" t="s">
        <v>1090</v>
      </c>
      <c r="G344" s="10" t="s">
        <v>636</v>
      </c>
      <c r="H344" s="10" t="s">
        <v>711</v>
      </c>
      <c r="I344" s="6" t="str" cm="1">
        <f t="array" ref="I344">_xlfn.IFS(
    OR(H344="A1", H344="A2", H344="G1"), "사원",
    OR(H344="G2", H344="G3"), "선임",
    OR(H344="G4", H344="G5"), "책임"
)</f>
        <v>사원</v>
      </c>
      <c r="J344" s="11">
        <v>45292</v>
      </c>
      <c r="K344" s="11">
        <v>46023</v>
      </c>
      <c r="L344" s="10" t="s">
        <v>1131</v>
      </c>
    </row>
    <row r="345" spans="1:12" x14ac:dyDescent="0.45">
      <c r="A345" s="6">
        <v>344</v>
      </c>
      <c r="B345" s="10" t="s">
        <v>1160</v>
      </c>
      <c r="C345" s="10" t="s">
        <v>708</v>
      </c>
      <c r="D345" s="10" t="s">
        <v>709</v>
      </c>
      <c r="E345" s="10" t="s">
        <v>1047</v>
      </c>
      <c r="F345" s="10" t="s">
        <v>1062</v>
      </c>
      <c r="G345" s="10" t="s">
        <v>637</v>
      </c>
      <c r="H345" s="10" t="s">
        <v>711</v>
      </c>
      <c r="I345" s="6" t="str" cm="1">
        <f t="array" ref="I345">_xlfn.IFS(
    OR(H345="A1", H345="A2", H345="G1"), "사원",
    OR(H345="G2", H345="G3"), "선임",
    OR(H345="G4", H345="G5"), "책임"
)</f>
        <v>사원</v>
      </c>
      <c r="J345" s="11">
        <v>45292</v>
      </c>
      <c r="K345" s="11">
        <v>46388</v>
      </c>
      <c r="L345" s="10" t="s">
        <v>1132</v>
      </c>
    </row>
    <row r="346" spans="1:12" x14ac:dyDescent="0.45">
      <c r="A346" s="6">
        <v>345</v>
      </c>
      <c r="B346" s="10" t="s">
        <v>1160</v>
      </c>
      <c r="C346" s="10" t="s">
        <v>708</v>
      </c>
      <c r="D346" s="10" t="s">
        <v>709</v>
      </c>
      <c r="E346" s="10" t="s">
        <v>1047</v>
      </c>
      <c r="F346" s="10" t="s">
        <v>1062</v>
      </c>
      <c r="G346" s="10" t="s">
        <v>638</v>
      </c>
      <c r="H346" s="10" t="s">
        <v>711</v>
      </c>
      <c r="I346" s="6" t="str" cm="1">
        <f t="array" ref="I346">_xlfn.IFS(
    OR(H346="A1", H346="A2", H346="G1"), "사원",
    OR(H346="G2", H346="G3"), "선임",
    OR(H346="G4", H346="G5"), "책임"
)</f>
        <v>사원</v>
      </c>
      <c r="J346" s="11">
        <v>45292</v>
      </c>
      <c r="K346" s="11">
        <v>46388</v>
      </c>
      <c r="L346" s="10" t="s">
        <v>1133</v>
      </c>
    </row>
    <row r="347" spans="1:12" x14ac:dyDescent="0.45">
      <c r="A347" s="6">
        <v>346</v>
      </c>
      <c r="B347" s="10" t="s">
        <v>1160</v>
      </c>
      <c r="C347" s="10" t="s">
        <v>708</v>
      </c>
      <c r="D347" s="10" t="s">
        <v>709</v>
      </c>
      <c r="E347" s="10" t="s">
        <v>1047</v>
      </c>
      <c r="F347" s="10" t="s">
        <v>1073</v>
      </c>
      <c r="G347" s="10" t="s">
        <v>639</v>
      </c>
      <c r="H347" s="10" t="s">
        <v>711</v>
      </c>
      <c r="I347" s="6" t="str" cm="1">
        <f t="array" ref="I347">_xlfn.IFS(
    OR(H347="A1", H347="A2", H347="G1"), "사원",
    OR(H347="G2", H347="G3"), "선임",
    OR(H347="G4", H347="G5"), "책임"
)</f>
        <v>사원</v>
      </c>
      <c r="J347" s="11">
        <v>45292</v>
      </c>
      <c r="K347" s="11">
        <v>46388</v>
      </c>
      <c r="L347" s="10" t="s">
        <v>1134</v>
      </c>
    </row>
    <row r="348" spans="1:12" x14ac:dyDescent="0.45">
      <c r="A348" s="6">
        <v>347</v>
      </c>
      <c r="B348" s="10" t="s">
        <v>1160</v>
      </c>
      <c r="C348" s="10" t="s">
        <v>708</v>
      </c>
      <c r="D348" s="10" t="s">
        <v>709</v>
      </c>
      <c r="E348" s="10" t="s">
        <v>1047</v>
      </c>
      <c r="F348" s="10" t="s">
        <v>1073</v>
      </c>
      <c r="G348" s="10" t="s">
        <v>640</v>
      </c>
      <c r="H348" s="10" t="s">
        <v>711</v>
      </c>
      <c r="I348" s="6" t="str" cm="1">
        <f t="array" ref="I348">_xlfn.IFS(
    OR(H348="A1", H348="A2", H348="G1"), "사원",
    OR(H348="G2", H348="G3"), "선임",
    OR(H348="G4", H348="G5"), "책임"
)</f>
        <v>사원</v>
      </c>
      <c r="J348" s="11">
        <v>45292</v>
      </c>
      <c r="K348" s="11">
        <v>46388</v>
      </c>
      <c r="L348" s="10" t="s">
        <v>1135</v>
      </c>
    </row>
    <row r="349" spans="1:12" x14ac:dyDescent="0.45">
      <c r="A349" s="6">
        <v>348</v>
      </c>
      <c r="B349" s="10" t="s">
        <v>1160</v>
      </c>
      <c r="C349" s="10" t="s">
        <v>708</v>
      </c>
      <c r="D349" s="10" t="s">
        <v>709</v>
      </c>
      <c r="E349" s="10" t="s">
        <v>1047</v>
      </c>
      <c r="F349" s="10" t="s">
        <v>1071</v>
      </c>
      <c r="G349" s="10" t="s">
        <v>641</v>
      </c>
      <c r="H349" s="10" t="s">
        <v>711</v>
      </c>
      <c r="I349" s="6" t="str" cm="1">
        <f t="array" ref="I349">_xlfn.IFS(
    OR(H349="A1", H349="A2", H349="G1"), "사원",
    OR(H349="G2", H349="G3"), "선임",
    OR(H349="G4", H349="G5"), "책임"
)</f>
        <v>사원</v>
      </c>
      <c r="J349" s="11">
        <v>45292</v>
      </c>
      <c r="K349" s="11">
        <v>46023</v>
      </c>
      <c r="L349" s="10" t="s">
        <v>1136</v>
      </c>
    </row>
    <row r="350" spans="1:12" x14ac:dyDescent="0.45">
      <c r="A350" s="6">
        <v>349</v>
      </c>
      <c r="B350" s="10" t="s">
        <v>1160</v>
      </c>
      <c r="C350" s="10" t="s">
        <v>708</v>
      </c>
      <c r="D350" s="10" t="s">
        <v>709</v>
      </c>
      <c r="E350" s="10" t="s">
        <v>1047</v>
      </c>
      <c r="F350" s="10" t="s">
        <v>1073</v>
      </c>
      <c r="G350" s="10" t="s">
        <v>646</v>
      </c>
      <c r="H350" s="10" t="s">
        <v>711</v>
      </c>
      <c r="I350" s="6" t="str" cm="1">
        <f t="array" ref="I350">_xlfn.IFS(
    OR(H350="A1", H350="A2", H350="G1"), "사원",
    OR(H350="G2", H350="G3"), "선임",
    OR(H350="G4", H350="G5"), "책임"
)</f>
        <v>사원</v>
      </c>
      <c r="J350" s="11">
        <v>45432</v>
      </c>
      <c r="K350" s="11">
        <v>46388</v>
      </c>
      <c r="L350" s="10" t="s">
        <v>1137</v>
      </c>
    </row>
    <row r="351" spans="1:12" x14ac:dyDescent="0.45">
      <c r="A351" s="6">
        <v>350</v>
      </c>
      <c r="B351" s="10" t="s">
        <v>1160</v>
      </c>
      <c r="C351" s="10" t="s">
        <v>708</v>
      </c>
      <c r="D351" s="10" t="s">
        <v>709</v>
      </c>
      <c r="E351" s="10" t="s">
        <v>1047</v>
      </c>
      <c r="F351" s="10" t="s">
        <v>1082</v>
      </c>
      <c r="G351" s="10" t="s">
        <v>647</v>
      </c>
      <c r="H351" s="10" t="s">
        <v>711</v>
      </c>
      <c r="I351" s="6" t="str" cm="1">
        <f t="array" ref="I351">_xlfn.IFS(
    OR(H351="A1", H351="A2", H351="G1"), "사원",
    OR(H351="G2", H351="G3"), "선임",
    OR(H351="G4", H351="G5"), "책임"
)</f>
        <v>사원</v>
      </c>
      <c r="J351" s="11">
        <v>45432</v>
      </c>
      <c r="K351" s="11">
        <v>46388</v>
      </c>
      <c r="L351" s="10" t="s">
        <v>1138</v>
      </c>
    </row>
    <row r="352" spans="1:12" x14ac:dyDescent="0.45">
      <c r="A352" s="6">
        <v>351</v>
      </c>
      <c r="B352" s="10" t="s">
        <v>1160</v>
      </c>
      <c r="C352" s="10" t="s">
        <v>708</v>
      </c>
      <c r="D352" s="10" t="s">
        <v>709</v>
      </c>
      <c r="E352" s="10" t="s">
        <v>1047</v>
      </c>
      <c r="F352" s="10" t="s">
        <v>1056</v>
      </c>
      <c r="G352" s="10" t="s">
        <v>648</v>
      </c>
      <c r="H352" s="10" t="s">
        <v>711</v>
      </c>
      <c r="I352" s="6" t="str" cm="1">
        <f t="array" ref="I352">_xlfn.IFS(
    OR(H352="A1", H352="A2", H352="G1"), "사원",
    OR(H352="G2", H352="G3"), "선임",
    OR(H352="G4", H352="G5"), "책임"
)</f>
        <v>사원</v>
      </c>
      <c r="J352" s="11">
        <v>45432</v>
      </c>
      <c r="K352" s="11">
        <v>46753</v>
      </c>
      <c r="L352" s="10" t="s">
        <v>1139</v>
      </c>
    </row>
    <row r="353" spans="1:12" x14ac:dyDescent="0.45">
      <c r="A353" s="6">
        <v>352</v>
      </c>
      <c r="B353" s="10" t="s">
        <v>1160</v>
      </c>
      <c r="C353" s="10" t="s">
        <v>708</v>
      </c>
      <c r="D353" s="10" t="s">
        <v>709</v>
      </c>
      <c r="E353" s="10" t="s">
        <v>1047</v>
      </c>
      <c r="F353" s="10" t="s">
        <v>1090</v>
      </c>
      <c r="G353" s="10" t="s">
        <v>649</v>
      </c>
      <c r="H353" s="10" t="s">
        <v>711</v>
      </c>
      <c r="I353" s="6" t="str" cm="1">
        <f t="array" ref="I353">_xlfn.IFS(
    OR(H353="A1", H353="A2", H353="G1"), "사원",
    OR(H353="G2", H353="G3"), "선임",
    OR(H353="G4", H353="G5"), "책임"
)</f>
        <v>사원</v>
      </c>
      <c r="J353" s="11">
        <v>45432</v>
      </c>
      <c r="K353" s="11">
        <v>46753</v>
      </c>
      <c r="L353" s="10" t="s">
        <v>1140</v>
      </c>
    </row>
    <row r="354" spans="1:12" x14ac:dyDescent="0.45">
      <c r="A354" s="6">
        <v>353</v>
      </c>
      <c r="B354" s="10" t="s">
        <v>1160</v>
      </c>
      <c r="C354" s="10" t="s">
        <v>708</v>
      </c>
      <c r="D354" s="10" t="s">
        <v>709</v>
      </c>
      <c r="E354" s="10" t="s">
        <v>1047</v>
      </c>
      <c r="F354" s="10" t="s">
        <v>1058</v>
      </c>
      <c r="G354" s="10" t="s">
        <v>650</v>
      </c>
      <c r="H354" s="10" t="s">
        <v>711</v>
      </c>
      <c r="I354" s="6" t="str" cm="1">
        <f t="array" ref="I354">_xlfn.IFS(
    OR(H354="A1", H354="A2", H354="G1"), "사원",
    OR(H354="G2", H354="G3"), "선임",
    OR(H354="G4", H354="G5"), "책임"
)</f>
        <v>사원</v>
      </c>
      <c r="J354" s="11">
        <v>45440</v>
      </c>
      <c r="K354" s="11">
        <v>46753</v>
      </c>
      <c r="L354" s="10" t="s">
        <v>1141</v>
      </c>
    </row>
    <row r="355" spans="1:12" x14ac:dyDescent="0.45">
      <c r="A355" s="6">
        <v>354</v>
      </c>
      <c r="B355" s="10" t="s">
        <v>1160</v>
      </c>
      <c r="C355" s="10" t="s">
        <v>708</v>
      </c>
      <c r="D355" s="10" t="s">
        <v>709</v>
      </c>
      <c r="E355" s="10" t="s">
        <v>1047</v>
      </c>
      <c r="F355" s="10" t="s">
        <v>1065</v>
      </c>
      <c r="G355" s="10" t="s">
        <v>651</v>
      </c>
      <c r="H355" s="10" t="s">
        <v>711</v>
      </c>
      <c r="I355" s="6" t="str" cm="1">
        <f t="array" ref="I355">_xlfn.IFS(
    OR(H355="A1", H355="A2", H355="G1"), "사원",
    OR(H355="G2", H355="G3"), "선임",
    OR(H355="G4", H355="G5"), "책임"
)</f>
        <v>사원</v>
      </c>
      <c r="J355" s="11">
        <v>45455</v>
      </c>
      <c r="K355" s="11">
        <v>46023</v>
      </c>
      <c r="L355" s="10" t="s">
        <v>1142</v>
      </c>
    </row>
    <row r="356" spans="1:12" x14ac:dyDescent="0.45">
      <c r="A356" s="6">
        <v>355</v>
      </c>
      <c r="B356" s="10" t="s">
        <v>1160</v>
      </c>
      <c r="C356" s="10" t="s">
        <v>708</v>
      </c>
      <c r="D356" s="10" t="s">
        <v>709</v>
      </c>
      <c r="E356" s="10" t="s">
        <v>1047</v>
      </c>
      <c r="F356" s="10" t="s">
        <v>1069</v>
      </c>
      <c r="G356" s="10" t="s">
        <v>655</v>
      </c>
      <c r="H356" s="10" t="s">
        <v>711</v>
      </c>
      <c r="I356" s="6" t="str" cm="1">
        <f t="array" ref="I356">_xlfn.IFS(
    OR(H356="A1", H356="A2", H356="G1"), "사원",
    OR(H356="G2", H356="G3"), "선임",
    OR(H356="G4", H356="G5"), "책임"
)</f>
        <v>사원</v>
      </c>
      <c r="J356" s="11">
        <v>45572</v>
      </c>
      <c r="K356" s="11">
        <v>46753</v>
      </c>
      <c r="L356" s="10" t="s">
        <v>1143</v>
      </c>
    </row>
    <row r="357" spans="1:12" x14ac:dyDescent="0.45">
      <c r="A357" s="6">
        <v>356</v>
      </c>
      <c r="B357" s="10" t="s">
        <v>1160</v>
      </c>
      <c r="C357" s="10" t="s">
        <v>708</v>
      </c>
      <c r="D357" s="10" t="s">
        <v>709</v>
      </c>
      <c r="E357" s="10" t="s">
        <v>1047</v>
      </c>
      <c r="F357" s="10" t="s">
        <v>1058</v>
      </c>
      <c r="G357" s="10" t="s">
        <v>598</v>
      </c>
      <c r="H357" s="10" t="s">
        <v>711</v>
      </c>
      <c r="I357" s="6" t="str" cm="1">
        <f t="array" ref="I357">_xlfn.IFS(
    OR(H357="A1", H357="A2", H357="G1"), "사원",
    OR(H357="G2", H357="G3"), "선임",
    OR(H357="G4", H357="G5"), "책임"
)</f>
        <v>사원</v>
      </c>
      <c r="J357" s="11">
        <v>44713</v>
      </c>
      <c r="K357" s="11">
        <v>46023</v>
      </c>
      <c r="L357" s="10" t="s">
        <v>1144</v>
      </c>
    </row>
    <row r="358" spans="1:12" x14ac:dyDescent="0.45">
      <c r="A358" s="6">
        <v>357</v>
      </c>
      <c r="B358" s="10" t="s">
        <v>1160</v>
      </c>
      <c r="C358" s="10" t="s">
        <v>708</v>
      </c>
      <c r="D358" s="10" t="s">
        <v>709</v>
      </c>
      <c r="E358" s="10" t="s">
        <v>1047</v>
      </c>
      <c r="F358" s="10" t="s">
        <v>1058</v>
      </c>
      <c r="G358" s="10" t="s">
        <v>599</v>
      </c>
      <c r="H358" s="10" t="s">
        <v>711</v>
      </c>
      <c r="I358" s="6" t="str" cm="1">
        <f t="array" ref="I358">_xlfn.IFS(
    OR(H358="A1", H358="A2", H358="G1"), "사원",
    OR(H358="G2", H358="G3"), "선임",
    OR(H358="G4", H358="G5"), "책임"
)</f>
        <v>사원</v>
      </c>
      <c r="J358" s="11">
        <v>44713</v>
      </c>
      <c r="K358" s="11">
        <v>46023</v>
      </c>
      <c r="L358" s="10" t="s">
        <v>1145</v>
      </c>
    </row>
    <row r="359" spans="1:12" x14ac:dyDescent="0.45">
      <c r="A359" s="6">
        <v>358</v>
      </c>
      <c r="B359" s="10" t="s">
        <v>1160</v>
      </c>
      <c r="C359" s="10" t="s">
        <v>708</v>
      </c>
      <c r="D359" s="10" t="s">
        <v>709</v>
      </c>
      <c r="E359" s="10" t="s">
        <v>1047</v>
      </c>
      <c r="F359" s="10" t="s">
        <v>1051</v>
      </c>
      <c r="G359" s="10" t="s">
        <v>601</v>
      </c>
      <c r="H359" s="10" t="s">
        <v>711</v>
      </c>
      <c r="I359" s="6" t="str" cm="1">
        <f t="array" ref="I359">_xlfn.IFS(
    OR(H359="A1", H359="A2", H359="G1"), "사원",
    OR(H359="G2", H359="G3"), "선임",
    OR(H359="G4", H359="G5"), "책임"
)</f>
        <v>사원</v>
      </c>
      <c r="J359" s="11">
        <v>44789</v>
      </c>
      <c r="K359" s="11">
        <v>46023</v>
      </c>
      <c r="L359" s="10" t="s">
        <v>1146</v>
      </c>
    </row>
    <row r="360" spans="1:12" x14ac:dyDescent="0.45">
      <c r="A360" s="6">
        <v>359</v>
      </c>
      <c r="B360" s="10" t="s">
        <v>1160</v>
      </c>
      <c r="C360" s="10" t="s">
        <v>708</v>
      </c>
      <c r="D360" s="10" t="s">
        <v>709</v>
      </c>
      <c r="E360" s="10" t="s">
        <v>1047</v>
      </c>
      <c r="F360" s="10" t="s">
        <v>1073</v>
      </c>
      <c r="G360" s="10" t="s">
        <v>653</v>
      </c>
      <c r="H360" s="10" t="s">
        <v>809</v>
      </c>
      <c r="I360" s="6" t="str" cm="1">
        <f t="array" ref="I360">_xlfn.IFS(
    OR(H360="A1", H360="A2", H360="G1"), "사원",
    OR(H360="G2", H360="G3"), "선임",
    OR(H360="G4", H360="G5"), "책임"
)</f>
        <v>사원</v>
      </c>
      <c r="J360" s="11">
        <v>45537</v>
      </c>
      <c r="K360" s="11">
        <v>47119</v>
      </c>
      <c r="L360" s="10" t="s">
        <v>1147</v>
      </c>
    </row>
    <row r="361" spans="1:12" x14ac:dyDescent="0.45">
      <c r="A361" s="6">
        <v>360</v>
      </c>
      <c r="B361" s="10" t="s">
        <v>1160</v>
      </c>
      <c r="C361" s="10" t="s">
        <v>708</v>
      </c>
      <c r="D361" s="10" t="s">
        <v>709</v>
      </c>
      <c r="E361" s="10" t="s">
        <v>1047</v>
      </c>
      <c r="F361" s="10" t="s">
        <v>1058</v>
      </c>
      <c r="G361" s="10" t="s">
        <v>603</v>
      </c>
      <c r="H361" s="10" t="s">
        <v>809</v>
      </c>
      <c r="I361" s="6" t="str" cm="1">
        <f t="array" ref="I361">_xlfn.IFS(
    OR(H361="A1", H361="A2", H361="G1"), "사원",
    OR(H361="G2", H361="G3"), "선임",
    OR(H361="G4", H361="G5"), "책임"
)</f>
        <v>사원</v>
      </c>
      <c r="J361" s="11">
        <v>44927</v>
      </c>
      <c r="K361" s="11">
        <v>46388</v>
      </c>
      <c r="L361" s="10" t="s">
        <v>1148</v>
      </c>
    </row>
    <row r="362" spans="1:12" x14ac:dyDescent="0.45">
      <c r="A362" s="6">
        <v>361</v>
      </c>
      <c r="B362" s="10" t="s">
        <v>1160</v>
      </c>
      <c r="C362" s="10" t="s">
        <v>708</v>
      </c>
      <c r="D362" s="10" t="s">
        <v>709</v>
      </c>
      <c r="E362" s="10" t="s">
        <v>1047</v>
      </c>
      <c r="F362" s="10" t="s">
        <v>1088</v>
      </c>
      <c r="G362" s="10" t="s">
        <v>667</v>
      </c>
      <c r="H362" s="10" t="s">
        <v>812</v>
      </c>
      <c r="I362" s="6" t="e" cm="1">
        <f t="array" ref="I362">_xlfn.IFS(
    OR(H362="A1", H362="A2", H362="G1"), "사원",
    OR(H362="G2", H362="G3"), "선임",
    OR(H362="G4", H362="G5"), "책임"
)</f>
        <v>#N/A</v>
      </c>
      <c r="J362" s="11">
        <v>45880</v>
      </c>
      <c r="K362" s="11">
        <v>47119</v>
      </c>
      <c r="L362" s="10" t="s">
        <v>1149</v>
      </c>
    </row>
    <row r="363" spans="1:12" x14ac:dyDescent="0.45">
      <c r="A363" s="6">
        <v>362</v>
      </c>
      <c r="B363" s="10" t="s">
        <v>1160</v>
      </c>
      <c r="C363" s="10" t="s">
        <v>708</v>
      </c>
      <c r="D363" s="10" t="s">
        <v>709</v>
      </c>
      <c r="E363" s="10" t="s">
        <v>1047</v>
      </c>
      <c r="F363" s="10" t="s">
        <v>1088</v>
      </c>
      <c r="G363" s="10" t="s">
        <v>668</v>
      </c>
      <c r="H363" s="10" t="s">
        <v>812</v>
      </c>
      <c r="I363" s="6" t="e" cm="1">
        <f t="array" ref="I363">_xlfn.IFS(
    OR(H363="A1", H363="A2", H363="G1"), "사원",
    OR(H363="G2", H363="G3"), "선임",
    OR(H363="G4", H363="G5"), "책임"
)</f>
        <v>#N/A</v>
      </c>
      <c r="J363" s="11">
        <v>45880</v>
      </c>
      <c r="K363" s="11">
        <v>47119</v>
      </c>
      <c r="L363" s="10" t="s">
        <v>1150</v>
      </c>
    </row>
    <row r="364" spans="1:12" x14ac:dyDescent="0.45">
      <c r="A364" s="6">
        <v>363</v>
      </c>
      <c r="B364" s="10" t="s">
        <v>1160</v>
      </c>
      <c r="C364" s="10" t="s">
        <v>708</v>
      </c>
      <c r="D364" s="10" t="s">
        <v>709</v>
      </c>
      <c r="E364" s="10" t="s">
        <v>1047</v>
      </c>
      <c r="F364" s="10" t="s">
        <v>1065</v>
      </c>
      <c r="G364" s="10" t="s">
        <v>672</v>
      </c>
      <c r="H364" s="10" t="s">
        <v>812</v>
      </c>
      <c r="I364" s="6" t="e" cm="1">
        <f t="array" ref="I364">_xlfn.IFS(
    OR(H364="A1", H364="A2", H364="G1"), "사원",
    OR(H364="G2", H364="G3"), "선임",
    OR(H364="G4", H364="G5"), "책임"
)</f>
        <v>#N/A</v>
      </c>
      <c r="J364" s="11">
        <v>45880</v>
      </c>
      <c r="K364" s="11">
        <v>47119</v>
      </c>
      <c r="L364" s="10" t="s">
        <v>1151</v>
      </c>
    </row>
    <row r="365" spans="1:12" x14ac:dyDescent="0.45">
      <c r="A365" s="6">
        <v>364</v>
      </c>
      <c r="B365" s="10" t="s">
        <v>1160</v>
      </c>
      <c r="C365" s="10" t="s">
        <v>708</v>
      </c>
      <c r="D365" s="10" t="s">
        <v>709</v>
      </c>
      <c r="E365" s="10" t="s">
        <v>1047</v>
      </c>
      <c r="F365" s="10" t="s">
        <v>1051</v>
      </c>
      <c r="G365" s="10" t="s">
        <v>1152</v>
      </c>
      <c r="H365" s="10" t="s">
        <v>812</v>
      </c>
      <c r="I365" s="6" t="e" cm="1">
        <f t="array" ref="I365">_xlfn.IFS(
    OR(H365="A1", H365="A2", H365="G1"), "사원",
    OR(H365="G2", H365="G3"), "선임",
    OR(H365="G4", H365="G5"), "책임"
)</f>
        <v>#N/A</v>
      </c>
      <c r="J365" s="11">
        <v>45915</v>
      </c>
      <c r="K365" s="11">
        <v>47119</v>
      </c>
      <c r="L365" s="10" t="s">
        <v>1153</v>
      </c>
    </row>
    <row r="366" spans="1:12" x14ac:dyDescent="0.45">
      <c r="A366" s="6">
        <v>365</v>
      </c>
      <c r="B366" s="10" t="s">
        <v>1160</v>
      </c>
      <c r="C366" s="10" t="s">
        <v>708</v>
      </c>
      <c r="D366" s="10" t="s">
        <v>709</v>
      </c>
      <c r="E366" s="10" t="s">
        <v>1047</v>
      </c>
      <c r="F366" s="10" t="s">
        <v>1051</v>
      </c>
      <c r="G366" s="10" t="s">
        <v>1154</v>
      </c>
      <c r="H366" s="10" t="s">
        <v>812</v>
      </c>
      <c r="I366" s="6" t="e" cm="1">
        <f t="array" ref="I366">_xlfn.IFS(
    OR(H366="A1", H366="A2", H366="G1"), "사원",
    OR(H366="G2", H366="G3"), "선임",
    OR(H366="G4", H366="G5"), "책임"
)</f>
        <v>#N/A</v>
      </c>
      <c r="J366" s="11">
        <v>45922</v>
      </c>
      <c r="K366" s="11">
        <v>47119</v>
      </c>
      <c r="L366" s="10" t="s">
        <v>1155</v>
      </c>
    </row>
    <row r="367" spans="1:12" x14ac:dyDescent="0.45">
      <c r="A367" s="6">
        <v>366</v>
      </c>
      <c r="B367" s="10" t="s">
        <v>1160</v>
      </c>
      <c r="C367" s="10" t="s">
        <v>708</v>
      </c>
      <c r="D367" s="10" t="s">
        <v>709</v>
      </c>
      <c r="E367" s="10" t="s">
        <v>1047</v>
      </c>
      <c r="F367" s="10" t="s">
        <v>1082</v>
      </c>
      <c r="G367" s="10" t="s">
        <v>666</v>
      </c>
      <c r="H367" s="10" t="s">
        <v>812</v>
      </c>
      <c r="I367" s="6" t="e" cm="1">
        <f t="array" ref="I367">_xlfn.IFS(
    OR(H367="A1", H367="A2", H367="G1"), "사원",
    OR(H367="G2", H367="G3"), "선임",
    OR(H367="G4", H367="G5"), "책임"
)</f>
        <v>#N/A</v>
      </c>
      <c r="J367" s="11">
        <v>45880</v>
      </c>
      <c r="K367" s="11">
        <v>47119</v>
      </c>
      <c r="L367" s="10" t="s">
        <v>1156</v>
      </c>
    </row>
  </sheetData>
  <autoFilter ref="A1:L367" xr:uid="{7F0B14C1-748F-47B4-8746-DD8BFA070A4F}"/>
  <phoneticPr fontId="18" type="noConversion"/>
  <conditionalFormatting sqref="G2:G36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monthly_work_hours</vt:lpstr>
      <vt:lpstr>FTE 정리</vt:lpstr>
      <vt:lpstr>FTE 계산</vt:lpstr>
      <vt:lpstr>실제 인원</vt:lpstr>
      <vt:lpstr>인원현황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2025-09-19T05:02:17Z</dcterms:created>
  <dcterms:modified xsi:type="dcterms:W3CDTF">2025-09-25T03:13:57Z</dcterms:modified>
</cp:coreProperties>
</file>