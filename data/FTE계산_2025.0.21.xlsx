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Downloads/"/>
    </mc:Choice>
  </mc:AlternateContent>
  <xr:revisionPtr revIDLastSave="0" documentId="13_ncr:1_{63AAB5D5-496C-EA40-98A8-7036C1CBB2AF}" xr6:coauthVersionLast="47" xr6:coauthVersionMax="47" xr10:uidLastSave="{00000000-0000-0000-0000-000000000000}"/>
  <bookViews>
    <workbookView xWindow="19520" yWindow="4280" windowWidth="28460" windowHeight="16620" xr2:uid="{84B72C75-CD2B-4B38-BFF6-A436E7F885C6}"/>
  </bookViews>
  <sheets>
    <sheet name="FTE 정리" sheetId="3" r:id="rId1"/>
    <sheet name="monthly_work_hours" sheetId="1" r:id="rId2"/>
    <sheet name="FTE 계산" sheetId="2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F8" i="3"/>
  <c r="F10" i="3"/>
  <c r="F14" i="3"/>
  <c r="I14" i="3"/>
  <c r="F16" i="3"/>
  <c r="I16" i="3"/>
  <c r="I20" i="3"/>
  <c r="I22" i="3"/>
  <c r="I24" i="3"/>
  <c r="F26" i="3"/>
  <c r="I28" i="3"/>
  <c r="F32" i="3"/>
  <c r="I32" i="3"/>
  <c r="F33" i="3"/>
  <c r="G33" i="3"/>
  <c r="H33" i="3"/>
  <c r="I33" i="3"/>
  <c r="F34" i="3"/>
  <c r="I34" i="3"/>
  <c r="F35" i="3"/>
  <c r="G35" i="3"/>
  <c r="H35" i="3"/>
  <c r="I36" i="3"/>
  <c r="I37" i="3"/>
  <c r="F38" i="3"/>
  <c r="I38" i="3"/>
  <c r="I39" i="3"/>
  <c r="F40" i="3"/>
  <c r="I40" i="3"/>
  <c r="I41" i="3"/>
  <c r="F42" i="3"/>
  <c r="I42" i="3"/>
  <c r="F43" i="3"/>
  <c r="G43" i="3"/>
  <c r="H43" i="3"/>
  <c r="G45" i="3"/>
  <c r="H45" i="3"/>
  <c r="I45" i="3"/>
  <c r="F46" i="3"/>
  <c r="H47" i="3"/>
  <c r="I47" i="3"/>
  <c r="F48" i="3"/>
  <c r="I50" i="3"/>
  <c r="F51" i="3"/>
  <c r="G51" i="3"/>
  <c r="H51" i="3"/>
  <c r="G53" i="3"/>
  <c r="F54" i="3"/>
  <c r="I55" i="3"/>
  <c r="F56" i="3"/>
  <c r="F57" i="3"/>
  <c r="I58" i="3"/>
  <c r="G59" i="3"/>
  <c r="H59" i="3"/>
  <c r="I60" i="3"/>
  <c r="I61" i="3"/>
  <c r="I63" i="3"/>
  <c r="I64" i="3"/>
  <c r="F66" i="3"/>
  <c r="F67" i="3"/>
  <c r="G67" i="3"/>
  <c r="G69" i="3"/>
  <c r="H69" i="3"/>
  <c r="I69" i="3"/>
  <c r="F70" i="3"/>
  <c r="H71" i="3"/>
  <c r="I71" i="3"/>
  <c r="F72" i="3"/>
  <c r="F73" i="3"/>
  <c r="G73" i="3"/>
  <c r="I74" i="3"/>
  <c r="F75" i="3"/>
  <c r="G75" i="3"/>
  <c r="H75" i="3"/>
  <c r="G77" i="3"/>
  <c r="H77" i="3"/>
  <c r="I77" i="3"/>
  <c r="G3" i="3"/>
  <c r="L4" i="4"/>
  <c r="M4" i="4"/>
  <c r="N4" i="4"/>
  <c r="L5" i="4"/>
  <c r="M5" i="4"/>
  <c r="N5" i="4"/>
  <c r="L6" i="4"/>
  <c r="M6" i="4"/>
  <c r="N6" i="4"/>
  <c r="L7" i="4"/>
  <c r="M7" i="4"/>
  <c r="N7" i="4"/>
  <c r="L8" i="4"/>
  <c r="M8" i="4"/>
  <c r="N8" i="4"/>
  <c r="L9" i="4"/>
  <c r="M9" i="4"/>
  <c r="N9" i="4"/>
  <c r="L10" i="4"/>
  <c r="M10" i="4"/>
  <c r="N10" i="4"/>
  <c r="L11" i="4"/>
  <c r="M11" i="4"/>
  <c r="N11" i="4"/>
  <c r="L12" i="4"/>
  <c r="M12" i="4"/>
  <c r="N12" i="4"/>
  <c r="L13" i="4"/>
  <c r="M13" i="4"/>
  <c r="N13" i="4"/>
  <c r="L14" i="4"/>
  <c r="M14" i="4"/>
  <c r="N14" i="4"/>
  <c r="L15" i="4"/>
  <c r="M15" i="4"/>
  <c r="N15" i="4"/>
  <c r="L16" i="4"/>
  <c r="M16" i="4"/>
  <c r="N16" i="4"/>
  <c r="L17" i="4"/>
  <c r="M17" i="4"/>
  <c r="N17" i="4"/>
  <c r="L18" i="4"/>
  <c r="M18" i="4"/>
  <c r="N18" i="4"/>
  <c r="L19" i="4"/>
  <c r="M19" i="4"/>
  <c r="N19" i="4"/>
  <c r="L20" i="4"/>
  <c r="M20" i="4"/>
  <c r="N20" i="4"/>
  <c r="L21" i="4"/>
  <c r="G37" i="3" s="1"/>
  <c r="M21" i="4"/>
  <c r="H37" i="3" s="1"/>
  <c r="N21" i="4"/>
  <c r="L22" i="4"/>
  <c r="G34" i="3" s="1"/>
  <c r="M22" i="4"/>
  <c r="H34" i="3" s="1"/>
  <c r="N22" i="4"/>
  <c r="L23" i="4"/>
  <c r="M23" i="4"/>
  <c r="N23" i="4"/>
  <c r="L24" i="4"/>
  <c r="M24" i="4"/>
  <c r="N24" i="4"/>
  <c r="L25" i="4"/>
  <c r="G57" i="3" s="1"/>
  <c r="M25" i="4"/>
  <c r="H57" i="3" s="1"/>
  <c r="N25" i="4"/>
  <c r="I57" i="3" s="1"/>
  <c r="L26" i="4"/>
  <c r="M26" i="4"/>
  <c r="N26" i="4"/>
  <c r="L27" i="4"/>
  <c r="M27" i="4"/>
  <c r="N27" i="4"/>
  <c r="L28" i="4"/>
  <c r="G68" i="3" s="1"/>
  <c r="M28" i="4"/>
  <c r="H68" i="3" s="1"/>
  <c r="N28" i="4"/>
  <c r="I68" i="3" s="1"/>
  <c r="L29" i="4"/>
  <c r="G41" i="3" s="1"/>
  <c r="M29" i="4"/>
  <c r="H41" i="3" s="1"/>
  <c r="N29" i="4"/>
  <c r="L30" i="4"/>
  <c r="G40" i="3" s="1"/>
  <c r="M30" i="4"/>
  <c r="H40" i="3" s="1"/>
  <c r="N30" i="4"/>
  <c r="L31" i="4"/>
  <c r="M31" i="4"/>
  <c r="N31" i="4"/>
  <c r="L32" i="4"/>
  <c r="M32" i="4"/>
  <c r="N32" i="4"/>
  <c r="L33" i="4"/>
  <c r="M33" i="4"/>
  <c r="N33" i="4"/>
  <c r="L34" i="4"/>
  <c r="M34" i="4"/>
  <c r="H53" i="3" s="1"/>
  <c r="N34" i="4"/>
  <c r="I53" i="3" s="1"/>
  <c r="L35" i="4"/>
  <c r="G62" i="3" s="1"/>
  <c r="M35" i="4"/>
  <c r="H62" i="3" s="1"/>
  <c r="N35" i="4"/>
  <c r="I62" i="3" s="1"/>
  <c r="L36" i="4"/>
  <c r="G49" i="3" s="1"/>
  <c r="M36" i="4"/>
  <c r="H49" i="3" s="1"/>
  <c r="N36" i="4"/>
  <c r="I49" i="3" s="1"/>
  <c r="L37" i="4"/>
  <c r="G50" i="3" s="1"/>
  <c r="M37" i="4"/>
  <c r="H50" i="3" s="1"/>
  <c r="N37" i="4"/>
  <c r="L38" i="4"/>
  <c r="M38" i="4"/>
  <c r="N38" i="4"/>
  <c r="I51" i="3" s="1"/>
  <c r="L39" i="4"/>
  <c r="M39" i="4"/>
  <c r="N39" i="4"/>
  <c r="I43" i="3" s="1"/>
  <c r="L40" i="4"/>
  <c r="G36" i="3" s="1"/>
  <c r="M40" i="4"/>
  <c r="H36" i="3" s="1"/>
  <c r="N40" i="4"/>
  <c r="L41" i="4"/>
  <c r="G52" i="3" s="1"/>
  <c r="M41" i="4"/>
  <c r="H52" i="3" s="1"/>
  <c r="N41" i="4"/>
  <c r="I52" i="3" s="1"/>
  <c r="L42" i="4"/>
  <c r="G70" i="3" s="1"/>
  <c r="M42" i="4"/>
  <c r="H70" i="3" s="1"/>
  <c r="N42" i="4"/>
  <c r="I70" i="3" s="1"/>
  <c r="L43" i="4"/>
  <c r="M43" i="4"/>
  <c r="N43" i="4"/>
  <c r="L44" i="4"/>
  <c r="M44" i="4"/>
  <c r="N44" i="4"/>
  <c r="L45" i="4"/>
  <c r="M45" i="4"/>
  <c r="N45" i="4"/>
  <c r="L46" i="4"/>
  <c r="M46" i="4"/>
  <c r="N46" i="4"/>
  <c r="L47" i="4"/>
  <c r="G48" i="3" s="1"/>
  <c r="M47" i="4"/>
  <c r="H48" i="3" s="1"/>
  <c r="N47" i="4"/>
  <c r="I48" i="3" s="1"/>
  <c r="L48" i="4"/>
  <c r="G47" i="3" s="1"/>
  <c r="M48" i="4"/>
  <c r="N48" i="4"/>
  <c r="L49" i="4"/>
  <c r="M49" i="4"/>
  <c r="N49" i="4"/>
  <c r="L50" i="4"/>
  <c r="G76" i="3" s="1"/>
  <c r="M50" i="4"/>
  <c r="H76" i="3" s="1"/>
  <c r="N50" i="4"/>
  <c r="I76" i="3" s="1"/>
  <c r="L51" i="4"/>
  <c r="G58" i="3" s="1"/>
  <c r="M51" i="4"/>
  <c r="H58" i="3" s="1"/>
  <c r="N51" i="4"/>
  <c r="L52" i="4"/>
  <c r="G65" i="3" s="1"/>
  <c r="M52" i="4"/>
  <c r="H65" i="3" s="1"/>
  <c r="N52" i="4"/>
  <c r="I65" i="3" s="1"/>
  <c r="L53" i="4"/>
  <c r="G64" i="3" s="1"/>
  <c r="M53" i="4"/>
  <c r="H64" i="3" s="1"/>
  <c r="N53" i="4"/>
  <c r="L54" i="4"/>
  <c r="G42" i="3" s="1"/>
  <c r="M54" i="4"/>
  <c r="H42" i="3" s="1"/>
  <c r="N54" i="4"/>
  <c r="L55" i="4"/>
  <c r="G66" i="3" s="1"/>
  <c r="M55" i="4"/>
  <c r="H66" i="3" s="1"/>
  <c r="N55" i="4"/>
  <c r="I66" i="3" s="1"/>
  <c r="L56" i="4"/>
  <c r="G60" i="3" s="1"/>
  <c r="M56" i="4"/>
  <c r="H60" i="3" s="1"/>
  <c r="N56" i="4"/>
  <c r="L57" i="4"/>
  <c r="G63" i="3" s="1"/>
  <c r="M57" i="4"/>
  <c r="H63" i="3" s="1"/>
  <c r="N57" i="4"/>
  <c r="L58" i="4"/>
  <c r="M58" i="4"/>
  <c r="H67" i="3" s="1"/>
  <c r="N58" i="4"/>
  <c r="I67" i="3" s="1"/>
  <c r="L59" i="4"/>
  <c r="M59" i="4"/>
  <c r="N59" i="4"/>
  <c r="L60" i="4"/>
  <c r="M60" i="4"/>
  <c r="N60" i="4"/>
  <c r="L61" i="4"/>
  <c r="M61" i="4"/>
  <c r="N61" i="4"/>
  <c r="L62" i="4"/>
  <c r="M62" i="4"/>
  <c r="N62" i="4"/>
  <c r="L63" i="4"/>
  <c r="M63" i="4"/>
  <c r="N63" i="4"/>
  <c r="I75" i="3" s="1"/>
  <c r="L64" i="4"/>
  <c r="G71" i="3" s="1"/>
  <c r="M64" i="4"/>
  <c r="N64" i="4"/>
  <c r="L65" i="4"/>
  <c r="G74" i="3" s="1"/>
  <c r="M65" i="4"/>
  <c r="H74" i="3" s="1"/>
  <c r="N65" i="4"/>
  <c r="L66" i="4"/>
  <c r="G72" i="3" s="1"/>
  <c r="M66" i="4"/>
  <c r="H72" i="3" s="1"/>
  <c r="N66" i="4"/>
  <c r="I72" i="3" s="1"/>
  <c r="L67" i="4"/>
  <c r="M67" i="4"/>
  <c r="N67" i="4"/>
  <c r="I59" i="3" s="1"/>
  <c r="L68" i="4"/>
  <c r="G13" i="3" s="1"/>
  <c r="M68" i="4"/>
  <c r="H13" i="3" s="1"/>
  <c r="N68" i="4"/>
  <c r="I13" i="3" s="1"/>
  <c r="L69" i="4"/>
  <c r="G61" i="3" s="1"/>
  <c r="M69" i="4"/>
  <c r="H61" i="3" s="1"/>
  <c r="N69" i="4"/>
  <c r="L70" i="4"/>
  <c r="M70" i="4"/>
  <c r="H73" i="3" s="1"/>
  <c r="N70" i="4"/>
  <c r="I73" i="3" s="1"/>
  <c r="L71" i="4"/>
  <c r="M71" i="4"/>
  <c r="N71" i="4"/>
  <c r="L72" i="4"/>
  <c r="M72" i="4"/>
  <c r="N72" i="4"/>
  <c r="L73" i="4"/>
  <c r="G46" i="3" s="1"/>
  <c r="M73" i="4"/>
  <c r="H46" i="3" s="1"/>
  <c r="N73" i="4"/>
  <c r="I46" i="3" s="1"/>
  <c r="L74" i="4"/>
  <c r="G54" i="3" s="1"/>
  <c r="M74" i="4"/>
  <c r="H54" i="3" s="1"/>
  <c r="N74" i="4"/>
  <c r="I54" i="3" s="1"/>
  <c r="L75" i="4"/>
  <c r="M75" i="4"/>
  <c r="N75" i="4"/>
  <c r="L76" i="4"/>
  <c r="M76" i="4"/>
  <c r="N76" i="4"/>
  <c r="L77" i="4"/>
  <c r="M77" i="4"/>
  <c r="N77" i="4"/>
  <c r="L78" i="4"/>
  <c r="M78" i="4"/>
  <c r="N78" i="4"/>
  <c r="I35" i="3" s="1"/>
  <c r="L79" i="4"/>
  <c r="G56" i="3" s="1"/>
  <c r="M79" i="4"/>
  <c r="H56" i="3" s="1"/>
  <c r="N79" i="4"/>
  <c r="I56" i="3" s="1"/>
  <c r="L80" i="4"/>
  <c r="G38" i="3" s="1"/>
  <c r="M80" i="4"/>
  <c r="H38" i="3" s="1"/>
  <c r="N80" i="4"/>
  <c r="L81" i="4"/>
  <c r="G39" i="3" s="1"/>
  <c r="M81" i="4"/>
  <c r="H39" i="3" s="1"/>
  <c r="N81" i="4"/>
  <c r="L82" i="4"/>
  <c r="M82" i="4"/>
  <c r="N82" i="4"/>
  <c r="L83" i="4"/>
  <c r="G24" i="3" s="1"/>
  <c r="M83" i="4"/>
  <c r="H24" i="3" s="1"/>
  <c r="N83" i="4"/>
  <c r="L84" i="4"/>
  <c r="G44" i="3" s="1"/>
  <c r="M84" i="4"/>
  <c r="H44" i="3" s="1"/>
  <c r="N84" i="4"/>
  <c r="I44" i="3" s="1"/>
  <c r="L85" i="4"/>
  <c r="G55" i="3" s="1"/>
  <c r="M85" i="4"/>
  <c r="H55" i="3" s="1"/>
  <c r="N85" i="4"/>
  <c r="L86" i="4"/>
  <c r="G32" i="3" s="1"/>
  <c r="M86" i="4"/>
  <c r="H32" i="3" s="1"/>
  <c r="N86" i="4"/>
  <c r="L87" i="4"/>
  <c r="G31" i="3" s="1"/>
  <c r="M87" i="4"/>
  <c r="H31" i="3" s="1"/>
  <c r="N87" i="4"/>
  <c r="I31" i="3" s="1"/>
  <c r="L88" i="4"/>
  <c r="G20" i="3" s="1"/>
  <c r="M88" i="4"/>
  <c r="H20" i="3" s="1"/>
  <c r="N88" i="4"/>
  <c r="L89" i="4"/>
  <c r="G23" i="3" s="1"/>
  <c r="M89" i="4"/>
  <c r="H23" i="3" s="1"/>
  <c r="N89" i="4"/>
  <c r="I23" i="3" s="1"/>
  <c r="L90" i="4"/>
  <c r="G6" i="3" s="1"/>
  <c r="M90" i="4"/>
  <c r="H6" i="3" s="1"/>
  <c r="N90" i="4"/>
  <c r="I6" i="3" s="1"/>
  <c r="L91" i="4"/>
  <c r="G22" i="3" s="1"/>
  <c r="M91" i="4"/>
  <c r="H22" i="3" s="1"/>
  <c r="N91" i="4"/>
  <c r="L92" i="4"/>
  <c r="G18" i="3" s="1"/>
  <c r="M92" i="4"/>
  <c r="H18" i="3" s="1"/>
  <c r="N92" i="4"/>
  <c r="I18" i="3" s="1"/>
  <c r="L93" i="4"/>
  <c r="G28" i="3" s="1"/>
  <c r="M93" i="4"/>
  <c r="H28" i="3" s="1"/>
  <c r="N93" i="4"/>
  <c r="L94" i="4"/>
  <c r="G8" i="3" s="1"/>
  <c r="M94" i="4"/>
  <c r="H8" i="3" s="1"/>
  <c r="N94" i="4"/>
  <c r="I8" i="3" s="1"/>
  <c r="L95" i="4"/>
  <c r="G11" i="3" s="1"/>
  <c r="M95" i="4"/>
  <c r="H11" i="3" s="1"/>
  <c r="N95" i="4"/>
  <c r="I11" i="3" s="1"/>
  <c r="L96" i="4"/>
  <c r="M96" i="4"/>
  <c r="N96" i="4"/>
  <c r="L97" i="4"/>
  <c r="M97" i="4"/>
  <c r="N97" i="4"/>
  <c r="L98" i="4"/>
  <c r="M98" i="4"/>
  <c r="N98" i="4"/>
  <c r="L99" i="4"/>
  <c r="M99" i="4"/>
  <c r="H3" i="3" s="1"/>
  <c r="N99" i="4"/>
  <c r="I3" i="3" s="1"/>
  <c r="L100" i="4"/>
  <c r="G5" i="3" s="1"/>
  <c r="M100" i="4"/>
  <c r="H5" i="3" s="1"/>
  <c r="N100" i="4"/>
  <c r="I5" i="3" s="1"/>
  <c r="L101" i="4"/>
  <c r="G7" i="3" s="1"/>
  <c r="M101" i="4"/>
  <c r="H7" i="3" s="1"/>
  <c r="N101" i="4"/>
  <c r="I7" i="3" s="1"/>
  <c r="L102" i="4"/>
  <c r="G14" i="3" s="1"/>
  <c r="M102" i="4"/>
  <c r="H14" i="3" s="1"/>
  <c r="N102" i="4"/>
  <c r="L103" i="4"/>
  <c r="G17" i="3" s="1"/>
  <c r="M103" i="4"/>
  <c r="H17" i="3" s="1"/>
  <c r="N103" i="4"/>
  <c r="I17" i="3" s="1"/>
  <c r="L104" i="4"/>
  <c r="G4" i="3" s="1"/>
  <c r="M104" i="4"/>
  <c r="H4" i="3" s="1"/>
  <c r="N104" i="4"/>
  <c r="I4" i="3" s="1"/>
  <c r="L105" i="4"/>
  <c r="G27" i="3" s="1"/>
  <c r="M105" i="4"/>
  <c r="H27" i="3" s="1"/>
  <c r="N105" i="4"/>
  <c r="I27" i="3" s="1"/>
  <c r="L106" i="4"/>
  <c r="G26" i="3" s="1"/>
  <c r="M106" i="4"/>
  <c r="H26" i="3" s="1"/>
  <c r="N106" i="4"/>
  <c r="I26" i="3" s="1"/>
  <c r="L107" i="4"/>
  <c r="G12" i="3" s="1"/>
  <c r="M107" i="4"/>
  <c r="H12" i="3" s="1"/>
  <c r="N107" i="4"/>
  <c r="I12" i="3" s="1"/>
  <c r="L108" i="4"/>
  <c r="G9" i="3" s="1"/>
  <c r="M108" i="4"/>
  <c r="H9" i="3" s="1"/>
  <c r="N108" i="4"/>
  <c r="I9" i="3" s="1"/>
  <c r="L109" i="4"/>
  <c r="G29" i="3" s="1"/>
  <c r="M109" i="4"/>
  <c r="H29" i="3" s="1"/>
  <c r="N109" i="4"/>
  <c r="I29" i="3" s="1"/>
  <c r="L110" i="4"/>
  <c r="G15" i="3" s="1"/>
  <c r="M110" i="4"/>
  <c r="H15" i="3" s="1"/>
  <c r="N110" i="4"/>
  <c r="I15" i="3" s="1"/>
  <c r="L111" i="4"/>
  <c r="G10" i="3" s="1"/>
  <c r="M111" i="4"/>
  <c r="H10" i="3" s="1"/>
  <c r="N111" i="4"/>
  <c r="I10" i="3" s="1"/>
  <c r="L112" i="4"/>
  <c r="G16" i="3" s="1"/>
  <c r="M112" i="4"/>
  <c r="H16" i="3" s="1"/>
  <c r="N112" i="4"/>
  <c r="L113" i="4"/>
  <c r="G25" i="3" s="1"/>
  <c r="M113" i="4"/>
  <c r="H25" i="3" s="1"/>
  <c r="N113" i="4"/>
  <c r="I25" i="3" s="1"/>
  <c r="L114" i="4"/>
  <c r="G30" i="3" s="1"/>
  <c r="M114" i="4"/>
  <c r="H30" i="3" s="1"/>
  <c r="N114" i="4"/>
  <c r="I30" i="3" s="1"/>
  <c r="L115" i="4"/>
  <c r="G21" i="3" s="1"/>
  <c r="M115" i="4"/>
  <c r="H21" i="3" s="1"/>
  <c r="N115" i="4"/>
  <c r="I21" i="3" s="1"/>
  <c r="L116" i="4"/>
  <c r="G19" i="3" s="1"/>
  <c r="M116" i="4"/>
  <c r="H19" i="3" s="1"/>
  <c r="N116" i="4"/>
  <c r="I19" i="3" s="1"/>
  <c r="L117" i="4"/>
  <c r="M117" i="4"/>
  <c r="N117" i="4"/>
  <c r="L118" i="4"/>
  <c r="M118" i="4"/>
  <c r="N118" i="4"/>
  <c r="L119" i="4"/>
  <c r="M119" i="4"/>
  <c r="N119" i="4"/>
  <c r="L120" i="4"/>
  <c r="M120" i="4"/>
  <c r="N120" i="4"/>
  <c r="L121" i="4"/>
  <c r="M121" i="4"/>
  <c r="N121" i="4"/>
  <c r="L122" i="4"/>
  <c r="M122" i="4"/>
  <c r="N122" i="4"/>
  <c r="L123" i="4"/>
  <c r="M123" i="4"/>
  <c r="N123" i="4"/>
  <c r="L3" i="4"/>
  <c r="M3" i="4"/>
  <c r="N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F37" i="3" s="1"/>
  <c r="K22" i="4"/>
  <c r="K23" i="4"/>
  <c r="K24" i="4"/>
  <c r="K25" i="4"/>
  <c r="K26" i="4"/>
  <c r="K27" i="4"/>
  <c r="F69" i="3" s="1"/>
  <c r="K28" i="4"/>
  <c r="F68" i="3" s="1"/>
  <c r="K29" i="4"/>
  <c r="F41" i="3" s="1"/>
  <c r="K30" i="4"/>
  <c r="K31" i="4"/>
  <c r="K32" i="4"/>
  <c r="K33" i="4"/>
  <c r="K34" i="4"/>
  <c r="F53" i="3" s="1"/>
  <c r="K35" i="4"/>
  <c r="F62" i="3" s="1"/>
  <c r="K36" i="4"/>
  <c r="F49" i="3" s="1"/>
  <c r="K37" i="4"/>
  <c r="F50" i="3" s="1"/>
  <c r="K38" i="4"/>
  <c r="K39" i="4"/>
  <c r="K40" i="4"/>
  <c r="F36" i="3" s="1"/>
  <c r="K41" i="4"/>
  <c r="F52" i="3" s="1"/>
  <c r="K42" i="4"/>
  <c r="K43" i="4"/>
  <c r="K44" i="4"/>
  <c r="K45" i="4"/>
  <c r="K46" i="4"/>
  <c r="K47" i="4"/>
  <c r="K48" i="4"/>
  <c r="F47" i="3" s="1"/>
  <c r="K49" i="4"/>
  <c r="F77" i="3" s="1"/>
  <c r="K50" i="4"/>
  <c r="F76" i="3" s="1"/>
  <c r="K51" i="4"/>
  <c r="F58" i="3" s="1"/>
  <c r="K52" i="4"/>
  <c r="F65" i="3" s="1"/>
  <c r="K53" i="4"/>
  <c r="F64" i="3" s="1"/>
  <c r="K54" i="4"/>
  <c r="K55" i="4"/>
  <c r="K56" i="4"/>
  <c r="F60" i="3" s="1"/>
  <c r="K57" i="4"/>
  <c r="F63" i="3" s="1"/>
  <c r="K58" i="4"/>
  <c r="K59" i="4"/>
  <c r="K60" i="4"/>
  <c r="K61" i="4"/>
  <c r="K62" i="4"/>
  <c r="K63" i="4"/>
  <c r="K64" i="4"/>
  <c r="F71" i="3" s="1"/>
  <c r="K65" i="4"/>
  <c r="F74" i="3" s="1"/>
  <c r="K66" i="4"/>
  <c r="K67" i="4"/>
  <c r="F59" i="3" s="1"/>
  <c r="K68" i="4"/>
  <c r="F13" i="3" s="1"/>
  <c r="K69" i="4"/>
  <c r="F61" i="3" s="1"/>
  <c r="K70" i="4"/>
  <c r="K71" i="4"/>
  <c r="K72" i="4"/>
  <c r="K73" i="4"/>
  <c r="K74" i="4"/>
  <c r="K75" i="4"/>
  <c r="F45" i="3" s="1"/>
  <c r="K76" i="4"/>
  <c r="K77" i="4"/>
  <c r="K78" i="4"/>
  <c r="K79" i="4"/>
  <c r="K80" i="4"/>
  <c r="K81" i="4"/>
  <c r="F39" i="3" s="1"/>
  <c r="K82" i="4"/>
  <c r="K83" i="4"/>
  <c r="F24" i="3" s="1"/>
  <c r="K84" i="4"/>
  <c r="F44" i="3" s="1"/>
  <c r="K85" i="4"/>
  <c r="F55" i="3" s="1"/>
  <c r="K86" i="4"/>
  <c r="K87" i="4"/>
  <c r="F31" i="3" s="1"/>
  <c r="K88" i="4"/>
  <c r="F20" i="3" s="1"/>
  <c r="K89" i="4"/>
  <c r="F23" i="3" s="1"/>
  <c r="K90" i="4"/>
  <c r="K91" i="4"/>
  <c r="F22" i="3" s="1"/>
  <c r="K92" i="4"/>
  <c r="F18" i="3" s="1"/>
  <c r="K93" i="4"/>
  <c r="F28" i="3" s="1"/>
  <c r="K94" i="4"/>
  <c r="K95" i="4"/>
  <c r="F11" i="3" s="1"/>
  <c r="K96" i="4"/>
  <c r="K97" i="4"/>
  <c r="K98" i="4"/>
  <c r="K99" i="4"/>
  <c r="F3" i="3" s="1"/>
  <c r="K100" i="4"/>
  <c r="F5" i="3" s="1"/>
  <c r="K101" i="4"/>
  <c r="F7" i="3" s="1"/>
  <c r="K102" i="4"/>
  <c r="K103" i="4"/>
  <c r="F17" i="3" s="1"/>
  <c r="K104" i="4"/>
  <c r="F4" i="3" s="1"/>
  <c r="K105" i="4"/>
  <c r="F27" i="3" s="1"/>
  <c r="K106" i="4"/>
  <c r="K107" i="4"/>
  <c r="F12" i="3" s="1"/>
  <c r="K108" i="4"/>
  <c r="F9" i="3" s="1"/>
  <c r="K109" i="4"/>
  <c r="F29" i="3" s="1"/>
  <c r="K110" i="4"/>
  <c r="F15" i="3" s="1"/>
  <c r="K111" i="4"/>
  <c r="K112" i="4"/>
  <c r="K113" i="4"/>
  <c r="F25" i="3" s="1"/>
  <c r="K114" i="4"/>
  <c r="F30" i="3" s="1"/>
  <c r="K115" i="4"/>
  <c r="F21" i="3" s="1"/>
  <c r="K116" i="4"/>
  <c r="F19" i="3" s="1"/>
  <c r="K117" i="4"/>
  <c r="K118" i="4"/>
  <c r="K119" i="4"/>
  <c r="K120" i="4"/>
  <c r="K121" i="4"/>
  <c r="K122" i="4"/>
  <c r="K123" i="4"/>
  <c r="K3" i="4"/>
  <c r="A3" i="2" a="1"/>
  <c r="H108" i="2" s="1"/>
  <c r="G493" i="2" l="1"/>
  <c r="G477" i="2"/>
  <c r="E467" i="2"/>
  <c r="F456" i="2"/>
  <c r="G445" i="2"/>
  <c r="F432" i="2"/>
  <c r="G421" i="2"/>
  <c r="E411" i="2"/>
  <c r="F400" i="2"/>
  <c r="G389" i="2"/>
  <c r="E379" i="2"/>
  <c r="E371" i="2"/>
  <c r="F360" i="2"/>
  <c r="F352" i="2"/>
  <c r="F344" i="2"/>
  <c r="E334" i="2"/>
  <c r="G304" i="2"/>
  <c r="E262" i="2"/>
  <c r="E230" i="2"/>
  <c r="F187" i="2"/>
  <c r="F155" i="2"/>
  <c r="F123" i="2"/>
  <c r="F91" i="2"/>
  <c r="F5" i="2"/>
  <c r="H279" i="2"/>
  <c r="G490" i="2"/>
  <c r="F477" i="2"/>
  <c r="F469" i="2"/>
  <c r="G458" i="2"/>
  <c r="F453" i="2"/>
  <c r="G442" i="2"/>
  <c r="F429" i="2"/>
  <c r="E501" i="2"/>
  <c r="F490" i="2"/>
  <c r="G479" i="2"/>
  <c r="E469" i="2"/>
  <c r="E461" i="2"/>
  <c r="F450" i="2"/>
  <c r="F442" i="2"/>
  <c r="F434" i="2"/>
  <c r="F426" i="2"/>
  <c r="F418" i="2"/>
  <c r="F410" i="2"/>
  <c r="E405" i="2"/>
  <c r="E397" i="2"/>
  <c r="G391" i="2"/>
  <c r="F386" i="2"/>
  <c r="E381" i="2"/>
  <c r="G375" i="2"/>
  <c r="G367" i="2"/>
  <c r="F362" i="2"/>
  <c r="F354" i="2"/>
  <c r="E349" i="2"/>
  <c r="G343" i="2"/>
  <c r="G331" i="2"/>
  <c r="F323" i="2"/>
  <c r="E302" i="2"/>
  <c r="G280" i="2"/>
  <c r="F259" i="2"/>
  <c r="E238" i="2"/>
  <c r="G88" i="2"/>
  <c r="G500" i="2"/>
  <c r="E498" i="2"/>
  <c r="G492" i="2"/>
  <c r="E490" i="2"/>
  <c r="F487" i="2"/>
  <c r="E482" i="2"/>
  <c r="G476" i="2"/>
  <c r="F471" i="2"/>
  <c r="E466" i="2"/>
  <c r="E458" i="2"/>
  <c r="G452" i="2"/>
  <c r="F447" i="2"/>
  <c r="E442" i="2"/>
  <c r="E434" i="2"/>
  <c r="E426" i="2"/>
  <c r="G420" i="2"/>
  <c r="G412" i="2"/>
  <c r="G404" i="2"/>
  <c r="F399" i="2"/>
  <c r="F391" i="2"/>
  <c r="F383" i="2"/>
  <c r="F375" i="2"/>
  <c r="E370" i="2"/>
  <c r="E362" i="2"/>
  <c r="G356" i="2"/>
  <c r="G348" i="2"/>
  <c r="F343" i="2"/>
  <c r="F331" i="2"/>
  <c r="F312" i="2"/>
  <c r="E291" i="2"/>
  <c r="F280" i="2"/>
  <c r="G269" i="2"/>
  <c r="F248" i="2"/>
  <c r="E227" i="2"/>
  <c r="F216" i="2"/>
  <c r="G205" i="2"/>
  <c r="F184" i="2"/>
  <c r="G173" i="2"/>
  <c r="E163" i="2"/>
  <c r="F152" i="2"/>
  <c r="E131" i="2"/>
  <c r="F120" i="2"/>
  <c r="G109" i="2"/>
  <c r="F88" i="2"/>
  <c r="G77" i="2"/>
  <c r="G41" i="2"/>
  <c r="I314" i="2"/>
  <c r="E503" i="2"/>
  <c r="F500" i="2"/>
  <c r="G497" i="2"/>
  <c r="E495" i="2"/>
  <c r="F492" i="2"/>
  <c r="G489" i="2"/>
  <c r="E487" i="2"/>
  <c r="F484" i="2"/>
  <c r="G481" i="2"/>
  <c r="E479" i="2"/>
  <c r="F476" i="2"/>
  <c r="G473" i="2"/>
  <c r="E471" i="2"/>
  <c r="F468" i="2"/>
  <c r="G465" i="2"/>
  <c r="E463" i="2"/>
  <c r="F460" i="2"/>
  <c r="G457" i="2"/>
  <c r="E455" i="2"/>
  <c r="F452" i="2"/>
  <c r="G449" i="2"/>
  <c r="E447" i="2"/>
  <c r="F444" i="2"/>
  <c r="G441" i="2"/>
  <c r="E439" i="2"/>
  <c r="F436" i="2"/>
  <c r="G433" i="2"/>
  <c r="E431" i="2"/>
  <c r="F428" i="2"/>
  <c r="G425" i="2"/>
  <c r="E423" i="2"/>
  <c r="F420" i="2"/>
  <c r="G417" i="2"/>
  <c r="E415" i="2"/>
  <c r="F412" i="2"/>
  <c r="G409" i="2"/>
  <c r="E407" i="2"/>
  <c r="F404" i="2"/>
  <c r="G401" i="2"/>
  <c r="E399" i="2"/>
  <c r="F396" i="2"/>
  <c r="G393" i="2"/>
  <c r="E391" i="2"/>
  <c r="F388" i="2"/>
  <c r="G385" i="2"/>
  <c r="E383" i="2"/>
  <c r="F380" i="2"/>
  <c r="G377" i="2"/>
  <c r="E375" i="2"/>
  <c r="F372" i="2"/>
  <c r="G369" i="2"/>
  <c r="E367" i="2"/>
  <c r="F364" i="2"/>
  <c r="G361" i="2"/>
  <c r="E359" i="2"/>
  <c r="F356" i="2"/>
  <c r="G353" i="2"/>
  <c r="E351" i="2"/>
  <c r="F348" i="2"/>
  <c r="G345" i="2"/>
  <c r="E343" i="2"/>
  <c r="E337" i="2"/>
  <c r="E331" i="2"/>
  <c r="G320" i="2"/>
  <c r="E310" i="2"/>
  <c r="F299" i="2"/>
  <c r="G288" i="2"/>
  <c r="E278" i="2"/>
  <c r="F267" i="2"/>
  <c r="G256" i="2"/>
  <c r="E246" i="2"/>
  <c r="F235" i="2"/>
  <c r="G224" i="2"/>
  <c r="E214" i="2"/>
  <c r="F203" i="2"/>
  <c r="G192" i="2"/>
  <c r="E182" i="2"/>
  <c r="F171" i="2"/>
  <c r="G160" i="2"/>
  <c r="E150" i="2"/>
  <c r="F139" i="2"/>
  <c r="G128" i="2"/>
  <c r="E118" i="2"/>
  <c r="F107" i="2"/>
  <c r="G96" i="2"/>
  <c r="E86" i="2"/>
  <c r="F75" i="2"/>
  <c r="E64" i="2"/>
  <c r="E34" i="2"/>
  <c r="J478" i="2"/>
  <c r="H421" i="2"/>
  <c r="I364" i="2"/>
  <c r="H308" i="2"/>
  <c r="I250" i="2"/>
  <c r="H129" i="2"/>
  <c r="G498" i="2"/>
  <c r="E488" i="2"/>
  <c r="E472" i="2"/>
  <c r="E456" i="2"/>
  <c r="E448" i="2"/>
  <c r="E424" i="2"/>
  <c r="G495" i="2"/>
  <c r="F482" i="2"/>
  <c r="F466" i="2"/>
  <c r="F458" i="2"/>
  <c r="G447" i="2"/>
  <c r="G439" i="2"/>
  <c r="G431" i="2"/>
  <c r="G423" i="2"/>
  <c r="G415" i="2"/>
  <c r="G407" i="2"/>
  <c r="F402" i="2"/>
  <c r="F394" i="2"/>
  <c r="E389" i="2"/>
  <c r="G383" i="2"/>
  <c r="F378" i="2"/>
  <c r="E373" i="2"/>
  <c r="E365" i="2"/>
  <c r="G359" i="2"/>
  <c r="E357" i="2"/>
  <c r="G351" i="2"/>
  <c r="F346" i="2"/>
  <c r="F339" i="2"/>
  <c r="G312" i="2"/>
  <c r="F291" i="2"/>
  <c r="E270" i="2"/>
  <c r="G248" i="2"/>
  <c r="F227" i="2"/>
  <c r="F99" i="2"/>
  <c r="F503" i="2"/>
  <c r="F495" i="2"/>
  <c r="G484" i="2"/>
  <c r="F479" i="2"/>
  <c r="E474" i="2"/>
  <c r="G468" i="2"/>
  <c r="F463" i="2"/>
  <c r="G460" i="2"/>
  <c r="F455" i="2"/>
  <c r="E450" i="2"/>
  <c r="G444" i="2"/>
  <c r="G436" i="2"/>
  <c r="F431" i="2"/>
  <c r="F423" i="2"/>
  <c r="F415" i="2"/>
  <c r="E410" i="2"/>
  <c r="E402" i="2"/>
  <c r="E394" i="2"/>
  <c r="G388" i="2"/>
  <c r="G380" i="2"/>
  <c r="G372" i="2"/>
  <c r="F367" i="2"/>
  <c r="F359" i="2"/>
  <c r="E354" i="2"/>
  <c r="E346" i="2"/>
  <c r="E339" i="2"/>
  <c r="G301" i="2"/>
  <c r="G237" i="2"/>
  <c r="I428" i="2"/>
  <c r="G502" i="2"/>
  <c r="E500" i="2"/>
  <c r="F497" i="2"/>
  <c r="G494" i="2"/>
  <c r="E492" i="2"/>
  <c r="F489" i="2"/>
  <c r="G486" i="2"/>
  <c r="E484" i="2"/>
  <c r="F481" i="2"/>
  <c r="G478" i="2"/>
  <c r="E476" i="2"/>
  <c r="F473" i="2"/>
  <c r="G470" i="2"/>
  <c r="E468" i="2"/>
  <c r="F465" i="2"/>
  <c r="G462" i="2"/>
  <c r="E460" i="2"/>
  <c r="F457" i="2"/>
  <c r="G454" i="2"/>
  <c r="E452" i="2"/>
  <c r="F449" i="2"/>
  <c r="G446" i="2"/>
  <c r="E444" i="2"/>
  <c r="F441" i="2"/>
  <c r="G438" i="2"/>
  <c r="E436" i="2"/>
  <c r="F433" i="2"/>
  <c r="G430" i="2"/>
  <c r="E428" i="2"/>
  <c r="F425" i="2"/>
  <c r="G422" i="2"/>
  <c r="E420" i="2"/>
  <c r="F417" i="2"/>
  <c r="G414" i="2"/>
  <c r="E412" i="2"/>
  <c r="F409" i="2"/>
  <c r="G406" i="2"/>
  <c r="E404" i="2"/>
  <c r="F401" i="2"/>
  <c r="G398" i="2"/>
  <c r="E396" i="2"/>
  <c r="F393" i="2"/>
  <c r="G390" i="2"/>
  <c r="E388" i="2"/>
  <c r="F385" i="2"/>
  <c r="G382" i="2"/>
  <c r="E380" i="2"/>
  <c r="F377" i="2"/>
  <c r="G374" i="2"/>
  <c r="E372" i="2"/>
  <c r="F369" i="2"/>
  <c r="G366" i="2"/>
  <c r="E364" i="2"/>
  <c r="F361" i="2"/>
  <c r="G358" i="2"/>
  <c r="E356" i="2"/>
  <c r="F353" i="2"/>
  <c r="G350" i="2"/>
  <c r="E348" i="2"/>
  <c r="F345" i="2"/>
  <c r="G342" i="2"/>
  <c r="G336" i="2"/>
  <c r="E329" i="2"/>
  <c r="F320" i="2"/>
  <c r="G309" i="2"/>
  <c r="E299" i="2"/>
  <c r="F288" i="2"/>
  <c r="G277" i="2"/>
  <c r="E267" i="2"/>
  <c r="F256" i="2"/>
  <c r="G245" i="2"/>
  <c r="E235" i="2"/>
  <c r="F224" i="2"/>
  <c r="G213" i="2"/>
  <c r="E203" i="2"/>
  <c r="F192" i="2"/>
  <c r="G181" i="2"/>
  <c r="E171" i="2"/>
  <c r="F160" i="2"/>
  <c r="G149" i="2"/>
  <c r="E139" i="2"/>
  <c r="F128" i="2"/>
  <c r="G117" i="2"/>
  <c r="E107" i="2"/>
  <c r="F96" i="2"/>
  <c r="G85" i="2"/>
  <c r="E75" i="2"/>
  <c r="G63" i="2"/>
  <c r="G26" i="2"/>
  <c r="H471" i="2"/>
  <c r="J414" i="2"/>
  <c r="H357" i="2"/>
  <c r="I300" i="2"/>
  <c r="J242" i="2"/>
  <c r="D169" i="2"/>
  <c r="H5" i="2"/>
  <c r="J7" i="2"/>
  <c r="I10" i="2"/>
  <c r="H13" i="2"/>
  <c r="J15" i="2"/>
  <c r="I18" i="2"/>
  <c r="H21" i="2"/>
  <c r="J23" i="2"/>
  <c r="I26" i="2"/>
  <c r="H29" i="2"/>
  <c r="J31" i="2"/>
  <c r="I34" i="2"/>
  <c r="H37" i="2"/>
  <c r="J39" i="2"/>
  <c r="I42" i="2"/>
  <c r="H45" i="2"/>
  <c r="J47" i="2"/>
  <c r="I50" i="2"/>
  <c r="H53" i="2"/>
  <c r="J55" i="2"/>
  <c r="I58" i="2"/>
  <c r="H61" i="2"/>
  <c r="J63" i="2"/>
  <c r="I66" i="2"/>
  <c r="H69" i="2"/>
  <c r="J71" i="2"/>
  <c r="I74" i="2"/>
  <c r="H77" i="2"/>
  <c r="J79" i="2"/>
  <c r="I82" i="2"/>
  <c r="H85" i="2"/>
  <c r="J87" i="2"/>
  <c r="I90" i="2"/>
  <c r="H93" i="2"/>
  <c r="J95" i="2"/>
  <c r="I98" i="2"/>
  <c r="H4" i="2"/>
  <c r="H7" i="2"/>
  <c r="H10" i="2"/>
  <c r="I13" i="2"/>
  <c r="I16" i="2"/>
  <c r="I19" i="2"/>
  <c r="I22" i="2"/>
  <c r="I25" i="2"/>
  <c r="I28" i="2"/>
  <c r="I31" i="2"/>
  <c r="J34" i="2"/>
  <c r="J37" i="2"/>
  <c r="J40" i="2"/>
  <c r="J43" i="2"/>
  <c r="J46" i="2"/>
  <c r="J49" i="2"/>
  <c r="J52" i="2"/>
  <c r="H56" i="2"/>
  <c r="H59" i="2"/>
  <c r="H62" i="2"/>
  <c r="H65" i="2"/>
  <c r="H68" i="2"/>
  <c r="H71" i="2"/>
  <c r="H74" i="2"/>
  <c r="I77" i="2"/>
  <c r="I80" i="2"/>
  <c r="I83" i="2"/>
  <c r="I86" i="2"/>
  <c r="I89" i="2"/>
  <c r="I92" i="2"/>
  <c r="I95" i="2"/>
  <c r="J98" i="2"/>
  <c r="I101" i="2"/>
  <c r="H104" i="2"/>
  <c r="J106" i="2"/>
  <c r="I109" i="2"/>
  <c r="H112" i="2"/>
  <c r="J114" i="2"/>
  <c r="I117" i="2"/>
  <c r="H120" i="2"/>
  <c r="J122" i="2"/>
  <c r="I125" i="2"/>
  <c r="H128" i="2"/>
  <c r="J130" i="2"/>
  <c r="I133" i="2"/>
  <c r="H136" i="2"/>
  <c r="J138" i="2"/>
  <c r="I141" i="2"/>
  <c r="H144" i="2"/>
  <c r="J146" i="2"/>
  <c r="I149" i="2"/>
  <c r="H152" i="2"/>
  <c r="J154" i="2"/>
  <c r="I157" i="2"/>
  <c r="H160" i="2"/>
  <c r="J162" i="2"/>
  <c r="I165" i="2"/>
  <c r="H168" i="2"/>
  <c r="J170" i="2"/>
  <c r="I173" i="2"/>
  <c r="H176" i="2"/>
  <c r="J178" i="2"/>
  <c r="I181" i="2"/>
  <c r="H184" i="2"/>
  <c r="J186" i="2"/>
  <c r="I189" i="2"/>
  <c r="H192" i="2"/>
  <c r="J194" i="2"/>
  <c r="I197" i="2"/>
  <c r="H200" i="2"/>
  <c r="J202" i="2"/>
  <c r="I205" i="2"/>
  <c r="H208" i="2"/>
  <c r="J210" i="2"/>
  <c r="I213" i="2"/>
  <c r="H216" i="2"/>
  <c r="J218" i="2"/>
  <c r="I221" i="2"/>
  <c r="H224" i="2"/>
  <c r="J226" i="2"/>
  <c r="I229" i="2"/>
  <c r="H232" i="2"/>
  <c r="J234" i="2"/>
  <c r="I4" i="2"/>
  <c r="I7" i="2"/>
  <c r="J10" i="2"/>
  <c r="J13" i="2"/>
  <c r="J16" i="2"/>
  <c r="J19" i="2"/>
  <c r="J22" i="2"/>
  <c r="J25" i="2"/>
  <c r="J28" i="2"/>
  <c r="H32" i="2"/>
  <c r="H35" i="2"/>
  <c r="H38" i="2"/>
  <c r="H41" i="2"/>
  <c r="H44" i="2"/>
  <c r="H47" i="2"/>
  <c r="H50" i="2"/>
  <c r="I53" i="2"/>
  <c r="I56" i="2"/>
  <c r="I59" i="2"/>
  <c r="I62" i="2"/>
  <c r="I65" i="2"/>
  <c r="I68" i="2"/>
  <c r="I71" i="2"/>
  <c r="J74" i="2"/>
  <c r="J77" i="2"/>
  <c r="J80" i="2"/>
  <c r="J83" i="2"/>
  <c r="J86" i="2"/>
  <c r="J89" i="2"/>
  <c r="J92" i="2"/>
  <c r="H96" i="2"/>
  <c r="H99" i="2"/>
  <c r="J101" i="2"/>
  <c r="I104" i="2"/>
  <c r="H107" i="2"/>
  <c r="J109" i="2"/>
  <c r="I112" i="2"/>
  <c r="H115" i="2"/>
  <c r="J117" i="2"/>
  <c r="I120" i="2"/>
  <c r="H123" i="2"/>
  <c r="J125" i="2"/>
  <c r="I128" i="2"/>
  <c r="H131" i="2"/>
  <c r="J133" i="2"/>
  <c r="I136" i="2"/>
  <c r="H139" i="2"/>
  <c r="J141" i="2"/>
  <c r="I144" i="2"/>
  <c r="H147" i="2"/>
  <c r="J149" i="2"/>
  <c r="I152" i="2"/>
  <c r="H155" i="2"/>
  <c r="J157" i="2"/>
  <c r="I160" i="2"/>
  <c r="H163" i="2"/>
  <c r="J165" i="2"/>
  <c r="I168" i="2"/>
  <c r="H171" i="2"/>
  <c r="J173" i="2"/>
  <c r="I176" i="2"/>
  <c r="H179" i="2"/>
  <c r="J181" i="2"/>
  <c r="I184" i="2"/>
  <c r="H187" i="2"/>
  <c r="J189" i="2"/>
  <c r="I192" i="2"/>
  <c r="H195" i="2"/>
  <c r="J197" i="2"/>
  <c r="I200" i="2"/>
  <c r="H203" i="2"/>
  <c r="J205" i="2"/>
  <c r="I208" i="2"/>
  <c r="H211" i="2"/>
  <c r="J213" i="2"/>
  <c r="I216" i="2"/>
  <c r="H219" i="2"/>
  <c r="J221" i="2"/>
  <c r="I224" i="2"/>
  <c r="H227" i="2"/>
  <c r="J229" i="2"/>
  <c r="I232" i="2"/>
  <c r="J6" i="2"/>
  <c r="J9" i="2"/>
  <c r="J12" i="2"/>
  <c r="H16" i="2"/>
  <c r="H19" i="2"/>
  <c r="H22" i="2"/>
  <c r="H25" i="2"/>
  <c r="H28" i="2"/>
  <c r="H31" i="2"/>
  <c r="H34" i="2"/>
  <c r="I37" i="2"/>
  <c r="I40" i="2"/>
  <c r="I43" i="2"/>
  <c r="I46" i="2"/>
  <c r="I49" i="2"/>
  <c r="I52" i="2"/>
  <c r="I55" i="2"/>
  <c r="J58" i="2"/>
  <c r="J61" i="2"/>
  <c r="J64" i="2"/>
  <c r="J67" i="2"/>
  <c r="J70" i="2"/>
  <c r="J73" i="2"/>
  <c r="J76" i="2"/>
  <c r="H80" i="2"/>
  <c r="H83" i="2"/>
  <c r="H86" i="2"/>
  <c r="H89" i="2"/>
  <c r="H92" i="2"/>
  <c r="H95" i="2"/>
  <c r="H98" i="2"/>
  <c r="H101" i="2"/>
  <c r="J103" i="2"/>
  <c r="I106" i="2"/>
  <c r="H109" i="2"/>
  <c r="I5" i="2"/>
  <c r="I9" i="2"/>
  <c r="J14" i="2"/>
  <c r="H20" i="2"/>
  <c r="I24" i="2"/>
  <c r="J29" i="2"/>
  <c r="J33" i="2"/>
  <c r="H39" i="2"/>
  <c r="I44" i="2"/>
  <c r="J48" i="2"/>
  <c r="H54" i="2"/>
  <c r="H58" i="2"/>
  <c r="I63" i="2"/>
  <c r="J68" i="2"/>
  <c r="H73" i="2"/>
  <c r="I78" i="2"/>
  <c r="J82" i="2"/>
  <c r="H88" i="2"/>
  <c r="I93" i="2"/>
  <c r="I97" i="2"/>
  <c r="I102" i="2"/>
  <c r="H106" i="2"/>
  <c r="J110" i="2"/>
  <c r="H114" i="2"/>
  <c r="H118" i="2"/>
  <c r="I121" i="2"/>
  <c r="J124" i="2"/>
  <c r="J128" i="2"/>
  <c r="H132" i="2"/>
  <c r="I135" i="2"/>
  <c r="I139" i="2"/>
  <c r="J142" i="2"/>
  <c r="H146" i="2"/>
  <c r="H150" i="2"/>
  <c r="I153" i="2"/>
  <c r="J156" i="2"/>
  <c r="J160" i="2"/>
  <c r="H164" i="2"/>
  <c r="I167" i="2"/>
  <c r="I171" i="2"/>
  <c r="J174" i="2"/>
  <c r="H178" i="2"/>
  <c r="H182" i="2"/>
  <c r="I185" i="2"/>
  <c r="J188" i="2"/>
  <c r="J192" i="2"/>
  <c r="H196" i="2"/>
  <c r="I199" i="2"/>
  <c r="I203" i="2"/>
  <c r="J206" i="2"/>
  <c r="H210" i="2"/>
  <c r="H214" i="2"/>
  <c r="I217" i="2"/>
  <c r="H8" i="2"/>
  <c r="H12" i="2"/>
  <c r="I17" i="2"/>
  <c r="J21" i="2"/>
  <c r="H27" i="2"/>
  <c r="I32" i="2"/>
  <c r="I36" i="2"/>
  <c r="J41" i="2"/>
  <c r="H46" i="2"/>
  <c r="I51" i="2"/>
  <c r="J56" i="2"/>
  <c r="J60" i="2"/>
  <c r="H66" i="2"/>
  <c r="I70" i="2"/>
  <c r="J75" i="2"/>
  <c r="H81" i="2"/>
  <c r="I85" i="2"/>
  <c r="J90" i="2"/>
  <c r="J94" i="2"/>
  <c r="H100" i="2"/>
  <c r="J104" i="2"/>
  <c r="I108" i="2"/>
  <c r="J112" i="2"/>
  <c r="H116" i="2"/>
  <c r="I119" i="2"/>
  <c r="I123" i="2"/>
  <c r="J126" i="2"/>
  <c r="H130" i="2"/>
  <c r="H134" i="2"/>
  <c r="I137" i="2"/>
  <c r="J140" i="2"/>
  <c r="J144" i="2"/>
  <c r="H148" i="2"/>
  <c r="I151" i="2"/>
  <c r="I155" i="2"/>
  <c r="J158" i="2"/>
  <c r="H162" i="2"/>
  <c r="H166" i="2"/>
  <c r="I169" i="2"/>
  <c r="J172" i="2"/>
  <c r="J176" i="2"/>
  <c r="H180" i="2"/>
  <c r="I183" i="2"/>
  <c r="I187" i="2"/>
  <c r="J190" i="2"/>
  <c r="H194" i="2"/>
  <c r="H198" i="2"/>
  <c r="I201" i="2"/>
  <c r="J204" i="2"/>
  <c r="J208" i="2"/>
  <c r="H212" i="2"/>
  <c r="I215" i="2"/>
  <c r="I219" i="2"/>
  <c r="J222" i="2"/>
  <c r="H226" i="2"/>
  <c r="H230" i="2"/>
  <c r="I233" i="2"/>
  <c r="I236" i="2"/>
  <c r="H239" i="2"/>
  <c r="J241" i="2"/>
  <c r="I244" i="2"/>
  <c r="H247" i="2"/>
  <c r="I8" i="2"/>
  <c r="I12" i="2"/>
  <c r="J17" i="2"/>
  <c r="H23" i="2"/>
  <c r="I27" i="2"/>
  <c r="J32" i="2"/>
  <c r="J36" i="2"/>
  <c r="H42" i="2"/>
  <c r="I47" i="2"/>
  <c r="J51" i="2"/>
  <c r="H57" i="2"/>
  <c r="I61" i="2"/>
  <c r="J66" i="2"/>
  <c r="H72" i="2"/>
  <c r="H76" i="2"/>
  <c r="I81" i="2"/>
  <c r="J85" i="2"/>
  <c r="H91" i="2"/>
  <c r="I96" i="2"/>
  <c r="I100" i="2"/>
  <c r="H105" i="2"/>
  <c r="J108" i="2"/>
  <c r="H113" i="2"/>
  <c r="I116" i="2"/>
  <c r="J119" i="2"/>
  <c r="J123" i="2"/>
  <c r="H127" i="2"/>
  <c r="I130" i="2"/>
  <c r="I134" i="2"/>
  <c r="J137" i="2"/>
  <c r="H141" i="2"/>
  <c r="H145" i="2"/>
  <c r="I148" i="2"/>
  <c r="J151" i="2"/>
  <c r="J155" i="2"/>
  <c r="H159" i="2"/>
  <c r="I162" i="2"/>
  <c r="I166" i="2"/>
  <c r="J169" i="2"/>
  <c r="H173" i="2"/>
  <c r="H177" i="2"/>
  <c r="I180" i="2"/>
  <c r="J183" i="2"/>
  <c r="J187" i="2"/>
  <c r="H191" i="2"/>
  <c r="I194" i="2"/>
  <c r="I198" i="2"/>
  <c r="J201" i="2"/>
  <c r="H205" i="2"/>
  <c r="H209" i="2"/>
  <c r="I212" i="2"/>
  <c r="J215" i="2"/>
  <c r="J219" i="2"/>
  <c r="H223" i="2"/>
  <c r="I226" i="2"/>
  <c r="I230" i="2"/>
  <c r="J233" i="2"/>
  <c r="J236" i="2"/>
  <c r="I239" i="2"/>
  <c r="H242" i="2"/>
  <c r="J244" i="2"/>
  <c r="I247" i="2"/>
  <c r="J8" i="2"/>
  <c r="H14" i="2"/>
  <c r="H18" i="2"/>
  <c r="I23" i="2"/>
  <c r="J27" i="2"/>
  <c r="H33" i="2"/>
  <c r="I38" i="2"/>
  <c r="J42" i="2"/>
  <c r="H48" i="2"/>
  <c r="H52" i="2"/>
  <c r="I57" i="2"/>
  <c r="J62" i="2"/>
  <c r="H67" i="2"/>
  <c r="I72" i="2"/>
  <c r="I76" i="2"/>
  <c r="J81" i="2"/>
  <c r="H87" i="2"/>
  <c r="I91" i="2"/>
  <c r="J96" i="2"/>
  <c r="J100" i="2"/>
  <c r="I105" i="2"/>
  <c r="H110" i="2"/>
  <c r="I113" i="2"/>
  <c r="J116" i="2"/>
  <c r="J120" i="2"/>
  <c r="H124" i="2"/>
  <c r="I127" i="2"/>
  <c r="I131" i="2"/>
  <c r="J134" i="2"/>
  <c r="H138" i="2"/>
  <c r="H142" i="2"/>
  <c r="I145" i="2"/>
  <c r="J148" i="2"/>
  <c r="J152" i="2"/>
  <c r="H156" i="2"/>
  <c r="I159" i="2"/>
  <c r="I163" i="2"/>
  <c r="J166" i="2"/>
  <c r="H170" i="2"/>
  <c r="H174" i="2"/>
  <c r="I177" i="2"/>
  <c r="J180" i="2"/>
  <c r="J184" i="2"/>
  <c r="H188" i="2"/>
  <c r="I191" i="2"/>
  <c r="I195" i="2"/>
  <c r="J198" i="2"/>
  <c r="H6" i="2"/>
  <c r="I15" i="2"/>
  <c r="H26" i="2"/>
  <c r="J35" i="2"/>
  <c r="I45" i="2"/>
  <c r="J54" i="2"/>
  <c r="I64" i="2"/>
  <c r="H75" i="2"/>
  <c r="I84" i="2"/>
  <c r="H94" i="2"/>
  <c r="H103" i="2"/>
  <c r="I111" i="2"/>
  <c r="J118" i="2"/>
  <c r="H126" i="2"/>
  <c r="J132" i="2"/>
  <c r="H140" i="2"/>
  <c r="I147" i="2"/>
  <c r="H154" i="2"/>
  <c r="I161" i="2"/>
  <c r="J168" i="2"/>
  <c r="I175" i="2"/>
  <c r="J182" i="2"/>
  <c r="H190" i="2"/>
  <c r="J196" i="2"/>
  <c r="J203" i="2"/>
  <c r="I209" i="2"/>
  <c r="J214" i="2"/>
  <c r="I220" i="2"/>
  <c r="H225" i="2"/>
  <c r="H229" i="2"/>
  <c r="I234" i="2"/>
  <c r="H238" i="2"/>
  <c r="I241" i="2"/>
  <c r="I245" i="2"/>
  <c r="J248" i="2"/>
  <c r="I251" i="2"/>
  <c r="H254" i="2"/>
  <c r="J256" i="2"/>
  <c r="I259" i="2"/>
  <c r="H262" i="2"/>
  <c r="J264" i="2"/>
  <c r="I267" i="2"/>
  <c r="H270" i="2"/>
  <c r="J272" i="2"/>
  <c r="I275" i="2"/>
  <c r="H278" i="2"/>
  <c r="J280" i="2"/>
  <c r="I283" i="2"/>
  <c r="H286" i="2"/>
  <c r="J288" i="2"/>
  <c r="I291" i="2"/>
  <c r="H294" i="2"/>
  <c r="J296" i="2"/>
  <c r="I299" i="2"/>
  <c r="H302" i="2"/>
  <c r="J304" i="2"/>
  <c r="I307" i="2"/>
  <c r="H310" i="2"/>
  <c r="J312" i="2"/>
  <c r="I315" i="2"/>
  <c r="H318" i="2"/>
  <c r="J320" i="2"/>
  <c r="I323" i="2"/>
  <c r="H326" i="2"/>
  <c r="J328" i="2"/>
  <c r="I331" i="2"/>
  <c r="H334" i="2"/>
  <c r="J336" i="2"/>
  <c r="I339" i="2"/>
  <c r="H342" i="2"/>
  <c r="J344" i="2"/>
  <c r="I347" i="2"/>
  <c r="H350" i="2"/>
  <c r="J352" i="2"/>
  <c r="I355" i="2"/>
  <c r="H358" i="2"/>
  <c r="J360" i="2"/>
  <c r="I363" i="2"/>
  <c r="H366" i="2"/>
  <c r="J368" i="2"/>
  <c r="I371" i="2"/>
  <c r="H374" i="2"/>
  <c r="J376" i="2"/>
  <c r="I379" i="2"/>
  <c r="H382" i="2"/>
  <c r="J384" i="2"/>
  <c r="I387" i="2"/>
  <c r="H390" i="2"/>
  <c r="J392" i="2"/>
  <c r="I395" i="2"/>
  <c r="H398" i="2"/>
  <c r="J400" i="2"/>
  <c r="I403" i="2"/>
  <c r="H406" i="2"/>
  <c r="J408" i="2"/>
  <c r="I411" i="2"/>
  <c r="H414" i="2"/>
  <c r="J416" i="2"/>
  <c r="I419" i="2"/>
  <c r="H422" i="2"/>
  <c r="J424" i="2"/>
  <c r="I427" i="2"/>
  <c r="H430" i="2"/>
  <c r="J432" i="2"/>
  <c r="I435" i="2"/>
  <c r="H438" i="2"/>
  <c r="J440" i="2"/>
  <c r="I443" i="2"/>
  <c r="H446" i="2"/>
  <c r="J448" i="2"/>
  <c r="I451" i="2"/>
  <c r="H454" i="2"/>
  <c r="J456" i="2"/>
  <c r="I459" i="2"/>
  <c r="H462" i="2"/>
  <c r="J464" i="2"/>
  <c r="I467" i="2"/>
  <c r="H470" i="2"/>
  <c r="J472" i="2"/>
  <c r="I475" i="2"/>
  <c r="H478" i="2"/>
  <c r="J480" i="2"/>
  <c r="I483" i="2"/>
  <c r="H486" i="2"/>
  <c r="J488" i="2"/>
  <c r="I491" i="2"/>
  <c r="H494" i="2"/>
  <c r="J496" i="2"/>
  <c r="I499" i="2"/>
  <c r="H502" i="2"/>
  <c r="F6" i="2"/>
  <c r="E9" i="2"/>
  <c r="G11" i="2"/>
  <c r="F14" i="2"/>
  <c r="E17" i="2"/>
  <c r="G19" i="2"/>
  <c r="F22" i="2"/>
  <c r="E25" i="2"/>
  <c r="G27" i="2"/>
  <c r="F30" i="2"/>
  <c r="E33" i="2"/>
  <c r="G35" i="2"/>
  <c r="F38" i="2"/>
  <c r="E41" i="2"/>
  <c r="G43" i="2"/>
  <c r="F46" i="2"/>
  <c r="E49" i="2"/>
  <c r="G51" i="2"/>
  <c r="F54" i="2"/>
  <c r="E57" i="2"/>
  <c r="G59" i="2"/>
  <c r="F62" i="2"/>
  <c r="E65" i="2"/>
  <c r="I6" i="2"/>
  <c r="H17" i="2"/>
  <c r="J26" i="2"/>
  <c r="H36" i="2"/>
  <c r="J45" i="2"/>
  <c r="H55" i="2"/>
  <c r="J65" i="2"/>
  <c r="I75" i="2"/>
  <c r="J84" i="2"/>
  <c r="I94" i="2"/>
  <c r="I103" i="2"/>
  <c r="J111" i="2"/>
  <c r="H119" i="2"/>
  <c r="I126" i="2"/>
  <c r="H133" i="2"/>
  <c r="I140" i="2"/>
  <c r="J147" i="2"/>
  <c r="I154" i="2"/>
  <c r="J161" i="2"/>
  <c r="H169" i="2"/>
  <c r="J175" i="2"/>
  <c r="H183" i="2"/>
  <c r="I190" i="2"/>
  <c r="H197" i="2"/>
  <c r="H204" i="2"/>
  <c r="J209" i="2"/>
  <c r="H215" i="2"/>
  <c r="J220" i="2"/>
  <c r="I225" i="2"/>
  <c r="J230" i="2"/>
  <c r="H235" i="2"/>
  <c r="I238" i="2"/>
  <c r="I242" i="2"/>
  <c r="J245" i="2"/>
  <c r="H249" i="2"/>
  <c r="J251" i="2"/>
  <c r="I254" i="2"/>
  <c r="H257" i="2"/>
  <c r="J259" i="2"/>
  <c r="I262" i="2"/>
  <c r="H265" i="2"/>
  <c r="J267" i="2"/>
  <c r="I270" i="2"/>
  <c r="H273" i="2"/>
  <c r="J275" i="2"/>
  <c r="I278" i="2"/>
  <c r="H281" i="2"/>
  <c r="J283" i="2"/>
  <c r="I286" i="2"/>
  <c r="H289" i="2"/>
  <c r="J291" i="2"/>
  <c r="I294" i="2"/>
  <c r="H297" i="2"/>
  <c r="J299" i="2"/>
  <c r="I302" i="2"/>
  <c r="H305" i="2"/>
  <c r="J307" i="2"/>
  <c r="I310" i="2"/>
  <c r="H313" i="2"/>
  <c r="J315" i="2"/>
  <c r="I318" i="2"/>
  <c r="H321" i="2"/>
  <c r="J323" i="2"/>
  <c r="I326" i="2"/>
  <c r="H329" i="2"/>
  <c r="J331" i="2"/>
  <c r="I334" i="2"/>
  <c r="H337" i="2"/>
  <c r="J339" i="2"/>
  <c r="I342" i="2"/>
  <c r="H345" i="2"/>
  <c r="J347" i="2"/>
  <c r="I350" i="2"/>
  <c r="H353" i="2"/>
  <c r="J355" i="2"/>
  <c r="I358" i="2"/>
  <c r="H361" i="2"/>
  <c r="J363" i="2"/>
  <c r="I366" i="2"/>
  <c r="H369" i="2"/>
  <c r="J371" i="2"/>
  <c r="I374" i="2"/>
  <c r="H377" i="2"/>
  <c r="J379" i="2"/>
  <c r="I382" i="2"/>
  <c r="H385" i="2"/>
  <c r="J387" i="2"/>
  <c r="I390" i="2"/>
  <c r="H393" i="2"/>
  <c r="J395" i="2"/>
  <c r="I398" i="2"/>
  <c r="H401" i="2"/>
  <c r="J403" i="2"/>
  <c r="I406" i="2"/>
  <c r="H409" i="2"/>
  <c r="J411" i="2"/>
  <c r="I414" i="2"/>
  <c r="H417" i="2"/>
  <c r="J419" i="2"/>
  <c r="I422" i="2"/>
  <c r="H425" i="2"/>
  <c r="J427" i="2"/>
  <c r="I430" i="2"/>
  <c r="H433" i="2"/>
  <c r="J435" i="2"/>
  <c r="I438" i="2"/>
  <c r="H441" i="2"/>
  <c r="J443" i="2"/>
  <c r="I446" i="2"/>
  <c r="H449" i="2"/>
  <c r="J451" i="2"/>
  <c r="I454" i="2"/>
  <c r="H457" i="2"/>
  <c r="J459" i="2"/>
  <c r="I462" i="2"/>
  <c r="H465" i="2"/>
  <c r="J467" i="2"/>
  <c r="I470" i="2"/>
  <c r="H473" i="2"/>
  <c r="J475" i="2"/>
  <c r="I478" i="2"/>
  <c r="H481" i="2"/>
  <c r="J483" i="2"/>
  <c r="I486" i="2"/>
  <c r="H489" i="2"/>
  <c r="J491" i="2"/>
  <c r="I494" i="2"/>
  <c r="H497" i="2"/>
  <c r="J499" i="2"/>
  <c r="I502" i="2"/>
  <c r="E4" i="2"/>
  <c r="G6" i="2"/>
  <c r="F9" i="2"/>
  <c r="E12" i="2"/>
  <c r="G14" i="2"/>
  <c r="F17" i="2"/>
  <c r="E20" i="2"/>
  <c r="G22" i="2"/>
  <c r="F25" i="2"/>
  <c r="E28" i="2"/>
  <c r="G30" i="2"/>
  <c r="F33" i="2"/>
  <c r="E36" i="2"/>
  <c r="G38" i="2"/>
  <c r="F41" i="2"/>
  <c r="E44" i="2"/>
  <c r="G46" i="2"/>
  <c r="F49" i="2"/>
  <c r="E52" i="2"/>
  <c r="G54" i="2"/>
  <c r="F57" i="2"/>
  <c r="E60" i="2"/>
  <c r="G62" i="2"/>
  <c r="F65" i="2"/>
  <c r="I11" i="2"/>
  <c r="J20" i="2"/>
  <c r="I30" i="2"/>
  <c r="H40" i="2"/>
  <c r="J50" i="2"/>
  <c r="H60" i="2"/>
  <c r="J69" i="2"/>
  <c r="H79" i="2"/>
  <c r="J88" i="2"/>
  <c r="I99" i="2"/>
  <c r="J107" i="2"/>
  <c r="I115" i="2"/>
  <c r="H122" i="2"/>
  <c r="I129" i="2"/>
  <c r="J136" i="2"/>
  <c r="I143" i="2"/>
  <c r="J150" i="2"/>
  <c r="H158" i="2"/>
  <c r="J164" i="2"/>
  <c r="H172" i="2"/>
  <c r="I179" i="2"/>
  <c r="H186" i="2"/>
  <c r="I193" i="2"/>
  <c r="J200" i="2"/>
  <c r="I206" i="2"/>
  <c r="J211" i="2"/>
  <c r="J217" i="2"/>
  <c r="I222" i="2"/>
  <c r="J227" i="2"/>
  <c r="J231" i="2"/>
  <c r="H236" i="2"/>
  <c r="H240" i="2"/>
  <c r="I243" i="2"/>
  <c r="J246" i="2"/>
  <c r="H250" i="2"/>
  <c r="J252" i="2"/>
  <c r="I255" i="2"/>
  <c r="H258" i="2"/>
  <c r="J260" i="2"/>
  <c r="I263" i="2"/>
  <c r="H266" i="2"/>
  <c r="J268" i="2"/>
  <c r="I271" i="2"/>
  <c r="H274" i="2"/>
  <c r="J276" i="2"/>
  <c r="I279" i="2"/>
  <c r="H282" i="2"/>
  <c r="J284" i="2"/>
  <c r="I287" i="2"/>
  <c r="H290" i="2"/>
  <c r="J292" i="2"/>
  <c r="I295" i="2"/>
  <c r="H298" i="2"/>
  <c r="J300" i="2"/>
  <c r="I303" i="2"/>
  <c r="H306" i="2"/>
  <c r="J308" i="2"/>
  <c r="I311" i="2"/>
  <c r="H314" i="2"/>
  <c r="J316" i="2"/>
  <c r="I319" i="2"/>
  <c r="H322" i="2"/>
  <c r="J324" i="2"/>
  <c r="I327" i="2"/>
  <c r="H330" i="2"/>
  <c r="J332" i="2"/>
  <c r="I335" i="2"/>
  <c r="H338" i="2"/>
  <c r="J340" i="2"/>
  <c r="I343" i="2"/>
  <c r="H346" i="2"/>
  <c r="J348" i="2"/>
  <c r="I351" i="2"/>
  <c r="H354" i="2"/>
  <c r="J356" i="2"/>
  <c r="I359" i="2"/>
  <c r="H362" i="2"/>
  <c r="J364" i="2"/>
  <c r="I367" i="2"/>
  <c r="H370" i="2"/>
  <c r="J372" i="2"/>
  <c r="I375" i="2"/>
  <c r="H378" i="2"/>
  <c r="J380" i="2"/>
  <c r="I383" i="2"/>
  <c r="H386" i="2"/>
  <c r="J388" i="2"/>
  <c r="I391" i="2"/>
  <c r="H394" i="2"/>
  <c r="J396" i="2"/>
  <c r="I399" i="2"/>
  <c r="H402" i="2"/>
  <c r="J404" i="2"/>
  <c r="I407" i="2"/>
  <c r="H410" i="2"/>
  <c r="J412" i="2"/>
  <c r="I415" i="2"/>
  <c r="H418" i="2"/>
  <c r="J420" i="2"/>
  <c r="I423" i="2"/>
  <c r="H426" i="2"/>
  <c r="J428" i="2"/>
  <c r="I431" i="2"/>
  <c r="H434" i="2"/>
  <c r="J436" i="2"/>
  <c r="I439" i="2"/>
  <c r="H442" i="2"/>
  <c r="J444" i="2"/>
  <c r="I447" i="2"/>
  <c r="H450" i="2"/>
  <c r="J452" i="2"/>
  <c r="I455" i="2"/>
  <c r="H458" i="2"/>
  <c r="J460" i="2"/>
  <c r="I463" i="2"/>
  <c r="H466" i="2"/>
  <c r="J468" i="2"/>
  <c r="I471" i="2"/>
  <c r="H474" i="2"/>
  <c r="J476" i="2"/>
  <c r="I479" i="2"/>
  <c r="H482" i="2"/>
  <c r="J484" i="2"/>
  <c r="I487" i="2"/>
  <c r="H490" i="2"/>
  <c r="J492" i="2"/>
  <c r="I495" i="2"/>
  <c r="H498" i="2"/>
  <c r="J500" i="2"/>
  <c r="I503" i="2"/>
  <c r="E5" i="2"/>
  <c r="G7" i="2"/>
  <c r="F10" i="2"/>
  <c r="E13" i="2"/>
  <c r="G15" i="2"/>
  <c r="F18" i="2"/>
  <c r="E21" i="2"/>
  <c r="G23" i="2"/>
  <c r="F26" i="2"/>
  <c r="E29" i="2"/>
  <c r="G31" i="2"/>
  <c r="F34" i="2"/>
  <c r="E37" i="2"/>
  <c r="G39" i="2"/>
  <c r="F42" i="2"/>
  <c r="E45" i="2"/>
  <c r="G47" i="2"/>
  <c r="F50" i="2"/>
  <c r="J4" i="2"/>
  <c r="I14" i="2"/>
  <c r="H24" i="2"/>
  <c r="I33" i="2"/>
  <c r="H43" i="2"/>
  <c r="J53" i="2"/>
  <c r="H63" i="2"/>
  <c r="J72" i="2"/>
  <c r="H82" i="2"/>
  <c r="J91" i="2"/>
  <c r="H102" i="2"/>
  <c r="I110" i="2"/>
  <c r="H117" i="2"/>
  <c r="I124" i="2"/>
  <c r="J131" i="2"/>
  <c r="I138" i="2"/>
  <c r="J145" i="2"/>
  <c r="H153" i="2"/>
  <c r="J159" i="2"/>
  <c r="H167" i="2"/>
  <c r="I174" i="2"/>
  <c r="H181" i="2"/>
  <c r="I188" i="2"/>
  <c r="J195" i="2"/>
  <c r="H202" i="2"/>
  <c r="I207" i="2"/>
  <c r="H213" i="2"/>
  <c r="I218" i="2"/>
  <c r="J223" i="2"/>
  <c r="I228" i="2"/>
  <c r="H233" i="2"/>
  <c r="I237" i="2"/>
  <c r="J240" i="2"/>
  <c r="H244" i="2"/>
  <c r="H248" i="2"/>
  <c r="J250" i="2"/>
  <c r="I253" i="2"/>
  <c r="H256" i="2"/>
  <c r="J258" i="2"/>
  <c r="I261" i="2"/>
  <c r="H264" i="2"/>
  <c r="J266" i="2"/>
  <c r="I269" i="2"/>
  <c r="H272" i="2"/>
  <c r="J274" i="2"/>
  <c r="I277" i="2"/>
  <c r="H280" i="2"/>
  <c r="J282" i="2"/>
  <c r="I285" i="2"/>
  <c r="H288" i="2"/>
  <c r="J290" i="2"/>
  <c r="I293" i="2"/>
  <c r="H296" i="2"/>
  <c r="J298" i="2"/>
  <c r="I301" i="2"/>
  <c r="H304" i="2"/>
  <c r="J306" i="2"/>
  <c r="I309" i="2"/>
  <c r="H312" i="2"/>
  <c r="J314" i="2"/>
  <c r="I317" i="2"/>
  <c r="H320" i="2"/>
  <c r="J322" i="2"/>
  <c r="I325" i="2"/>
  <c r="H328" i="2"/>
  <c r="J330" i="2"/>
  <c r="I333" i="2"/>
  <c r="H336" i="2"/>
  <c r="J338" i="2"/>
  <c r="I341" i="2"/>
  <c r="H344" i="2"/>
  <c r="J346" i="2"/>
  <c r="I349" i="2"/>
  <c r="H352" i="2"/>
  <c r="J354" i="2"/>
  <c r="I357" i="2"/>
  <c r="H360" i="2"/>
  <c r="J362" i="2"/>
  <c r="I365" i="2"/>
  <c r="H368" i="2"/>
  <c r="J370" i="2"/>
  <c r="I373" i="2"/>
  <c r="H376" i="2"/>
  <c r="J378" i="2"/>
  <c r="I381" i="2"/>
  <c r="H384" i="2"/>
  <c r="J386" i="2"/>
  <c r="I389" i="2"/>
  <c r="H392" i="2"/>
  <c r="J394" i="2"/>
  <c r="I397" i="2"/>
  <c r="H400" i="2"/>
  <c r="J402" i="2"/>
  <c r="I405" i="2"/>
  <c r="H408" i="2"/>
  <c r="J410" i="2"/>
  <c r="I413" i="2"/>
  <c r="H416" i="2"/>
  <c r="J418" i="2"/>
  <c r="I421" i="2"/>
  <c r="H424" i="2"/>
  <c r="J426" i="2"/>
  <c r="I429" i="2"/>
  <c r="H432" i="2"/>
  <c r="J434" i="2"/>
  <c r="I437" i="2"/>
  <c r="H440" i="2"/>
  <c r="J442" i="2"/>
  <c r="I445" i="2"/>
  <c r="H448" i="2"/>
  <c r="J450" i="2"/>
  <c r="I453" i="2"/>
  <c r="H456" i="2"/>
  <c r="J458" i="2"/>
  <c r="I461" i="2"/>
  <c r="H464" i="2"/>
  <c r="J466" i="2"/>
  <c r="I469" i="2"/>
  <c r="H472" i="2"/>
  <c r="J474" i="2"/>
  <c r="I477" i="2"/>
  <c r="H480" i="2"/>
  <c r="J482" i="2"/>
  <c r="I485" i="2"/>
  <c r="H488" i="2"/>
  <c r="J490" i="2"/>
  <c r="I493" i="2"/>
  <c r="H496" i="2"/>
  <c r="J498" i="2"/>
  <c r="I501" i="2"/>
  <c r="G5" i="2"/>
  <c r="F8" i="2"/>
  <c r="E11" i="2"/>
  <c r="G13" i="2"/>
  <c r="F16" i="2"/>
  <c r="E19" i="2"/>
  <c r="G21" i="2"/>
  <c r="F24" i="2"/>
  <c r="E27" i="2"/>
  <c r="G29" i="2"/>
  <c r="F32" i="2"/>
  <c r="E35" i="2"/>
  <c r="G37" i="2"/>
  <c r="F40" i="2"/>
  <c r="J5" i="2"/>
  <c r="H15" i="2"/>
  <c r="J24" i="2"/>
  <c r="I35" i="2"/>
  <c r="J44" i="2"/>
  <c r="I54" i="2"/>
  <c r="H64" i="2"/>
  <c r="I73" i="2"/>
  <c r="H84" i="2"/>
  <c r="J93" i="2"/>
  <c r="J102" i="2"/>
  <c r="H111" i="2"/>
  <c r="I118" i="2"/>
  <c r="H125" i="2"/>
  <c r="I132" i="2"/>
  <c r="J139" i="2"/>
  <c r="I146" i="2"/>
  <c r="J153" i="2"/>
  <c r="H161" i="2"/>
  <c r="J167" i="2"/>
  <c r="H175" i="2"/>
  <c r="I182" i="2"/>
  <c r="H189" i="2"/>
  <c r="I196" i="2"/>
  <c r="I202" i="2"/>
  <c r="J207" i="2"/>
  <c r="I214" i="2"/>
  <c r="H220" i="2"/>
  <c r="J224" i="2"/>
  <c r="J228" i="2"/>
  <c r="H234" i="2"/>
  <c r="J237" i="2"/>
  <c r="H241" i="2"/>
  <c r="H245" i="2"/>
  <c r="I248" i="2"/>
  <c r="H251" i="2"/>
  <c r="J253" i="2"/>
  <c r="I256" i="2"/>
  <c r="H259" i="2"/>
  <c r="J261" i="2"/>
  <c r="I264" i="2"/>
  <c r="H267" i="2"/>
  <c r="J269" i="2"/>
  <c r="I272" i="2"/>
  <c r="H275" i="2"/>
  <c r="J277" i="2"/>
  <c r="I280" i="2"/>
  <c r="H283" i="2"/>
  <c r="J285" i="2"/>
  <c r="I288" i="2"/>
  <c r="H291" i="2"/>
  <c r="J293" i="2"/>
  <c r="I296" i="2"/>
  <c r="H299" i="2"/>
  <c r="J301" i="2"/>
  <c r="I304" i="2"/>
  <c r="H307" i="2"/>
  <c r="J309" i="2"/>
  <c r="I312" i="2"/>
  <c r="H315" i="2"/>
  <c r="J317" i="2"/>
  <c r="I320" i="2"/>
  <c r="H323" i="2"/>
  <c r="J325" i="2"/>
  <c r="I328" i="2"/>
  <c r="H331" i="2"/>
  <c r="J333" i="2"/>
  <c r="I336" i="2"/>
  <c r="H339" i="2"/>
  <c r="J341" i="2"/>
  <c r="I344" i="2"/>
  <c r="H347" i="2"/>
  <c r="J349" i="2"/>
  <c r="I352" i="2"/>
  <c r="H355" i="2"/>
  <c r="J357" i="2"/>
  <c r="I360" i="2"/>
  <c r="H363" i="2"/>
  <c r="J365" i="2"/>
  <c r="I368" i="2"/>
  <c r="H371" i="2"/>
  <c r="J373" i="2"/>
  <c r="I376" i="2"/>
  <c r="H379" i="2"/>
  <c r="J381" i="2"/>
  <c r="I384" i="2"/>
  <c r="H387" i="2"/>
  <c r="J389" i="2"/>
  <c r="I392" i="2"/>
  <c r="H395" i="2"/>
  <c r="J397" i="2"/>
  <c r="I400" i="2"/>
  <c r="H403" i="2"/>
  <c r="J405" i="2"/>
  <c r="I408" i="2"/>
  <c r="H411" i="2"/>
  <c r="J413" i="2"/>
  <c r="I416" i="2"/>
  <c r="H419" i="2"/>
  <c r="J421" i="2"/>
  <c r="I424" i="2"/>
  <c r="H427" i="2"/>
  <c r="J429" i="2"/>
  <c r="I432" i="2"/>
  <c r="H435" i="2"/>
  <c r="J437" i="2"/>
  <c r="I440" i="2"/>
  <c r="H443" i="2"/>
  <c r="J445" i="2"/>
  <c r="I448" i="2"/>
  <c r="H451" i="2"/>
  <c r="J453" i="2"/>
  <c r="I456" i="2"/>
  <c r="H459" i="2"/>
  <c r="J461" i="2"/>
  <c r="I464" i="2"/>
  <c r="H467" i="2"/>
  <c r="J469" i="2"/>
  <c r="I472" i="2"/>
  <c r="H475" i="2"/>
  <c r="J477" i="2"/>
  <c r="I480" i="2"/>
  <c r="H483" i="2"/>
  <c r="J485" i="2"/>
  <c r="I488" i="2"/>
  <c r="H491" i="2"/>
  <c r="J493" i="2"/>
  <c r="I496" i="2"/>
  <c r="H499" i="2"/>
  <c r="J501" i="2"/>
  <c r="E6" i="2"/>
  <c r="G8" i="2"/>
  <c r="F11" i="2"/>
  <c r="E14" i="2"/>
  <c r="G16" i="2"/>
  <c r="F19" i="2"/>
  <c r="E22" i="2"/>
  <c r="G24" i="2"/>
  <c r="F27" i="2"/>
  <c r="E30" i="2"/>
  <c r="G32" i="2"/>
  <c r="F35" i="2"/>
  <c r="E38" i="2"/>
  <c r="G40" i="2"/>
  <c r="F43" i="2"/>
  <c r="E46" i="2"/>
  <c r="G48" i="2"/>
  <c r="F51" i="2"/>
  <c r="E54" i="2"/>
  <c r="G56" i="2"/>
  <c r="F59" i="2"/>
  <c r="I21" i="2"/>
  <c r="H49" i="2"/>
  <c r="H78" i="2"/>
  <c r="J99" i="2"/>
  <c r="J121" i="2"/>
  <c r="I142" i="2"/>
  <c r="I158" i="2"/>
  <c r="I178" i="2"/>
  <c r="H199" i="2"/>
  <c r="J212" i="2"/>
  <c r="I227" i="2"/>
  <c r="J238" i="2"/>
  <c r="J247" i="2"/>
  <c r="H255" i="2"/>
  <c r="J262" i="2"/>
  <c r="H269" i="2"/>
  <c r="I276" i="2"/>
  <c r="H284" i="2"/>
  <c r="I290" i="2"/>
  <c r="J297" i="2"/>
  <c r="I305" i="2"/>
  <c r="J311" i="2"/>
  <c r="H319" i="2"/>
  <c r="J326" i="2"/>
  <c r="H333" i="2"/>
  <c r="I340" i="2"/>
  <c r="H348" i="2"/>
  <c r="I354" i="2"/>
  <c r="J361" i="2"/>
  <c r="I369" i="2"/>
  <c r="J375" i="2"/>
  <c r="H383" i="2"/>
  <c r="J390" i="2"/>
  <c r="H397" i="2"/>
  <c r="I404" i="2"/>
  <c r="H412" i="2"/>
  <c r="I418" i="2"/>
  <c r="J425" i="2"/>
  <c r="I433" i="2"/>
  <c r="J439" i="2"/>
  <c r="H447" i="2"/>
  <c r="J454" i="2"/>
  <c r="H461" i="2"/>
  <c r="I468" i="2"/>
  <c r="H476" i="2"/>
  <c r="I482" i="2"/>
  <c r="J489" i="2"/>
  <c r="I497" i="2"/>
  <c r="J503" i="2"/>
  <c r="E10" i="2"/>
  <c r="G17" i="2"/>
  <c r="E24" i="2"/>
  <c r="F31" i="2"/>
  <c r="E39" i="2"/>
  <c r="G44" i="2"/>
  <c r="E50" i="2"/>
  <c r="E55" i="2"/>
  <c r="G58" i="2"/>
  <c r="E63" i="2"/>
  <c r="F66" i="2"/>
  <c r="E69" i="2"/>
  <c r="G71" i="2"/>
  <c r="F74" i="2"/>
  <c r="E77" i="2"/>
  <c r="G79" i="2"/>
  <c r="F82" i="2"/>
  <c r="E85" i="2"/>
  <c r="G87" i="2"/>
  <c r="F90" i="2"/>
  <c r="E93" i="2"/>
  <c r="G95" i="2"/>
  <c r="F98" i="2"/>
  <c r="E101" i="2"/>
  <c r="G103" i="2"/>
  <c r="F106" i="2"/>
  <c r="E109" i="2"/>
  <c r="G111" i="2"/>
  <c r="F114" i="2"/>
  <c r="E117" i="2"/>
  <c r="G119" i="2"/>
  <c r="F122" i="2"/>
  <c r="E125" i="2"/>
  <c r="G127" i="2"/>
  <c r="F130" i="2"/>
  <c r="E133" i="2"/>
  <c r="G135" i="2"/>
  <c r="F138" i="2"/>
  <c r="E141" i="2"/>
  <c r="G143" i="2"/>
  <c r="F146" i="2"/>
  <c r="E149" i="2"/>
  <c r="G151" i="2"/>
  <c r="F154" i="2"/>
  <c r="E157" i="2"/>
  <c r="G159" i="2"/>
  <c r="F162" i="2"/>
  <c r="E165" i="2"/>
  <c r="G167" i="2"/>
  <c r="F170" i="2"/>
  <c r="E173" i="2"/>
  <c r="G175" i="2"/>
  <c r="F178" i="2"/>
  <c r="E181" i="2"/>
  <c r="G183" i="2"/>
  <c r="F186" i="2"/>
  <c r="E189" i="2"/>
  <c r="G191" i="2"/>
  <c r="F194" i="2"/>
  <c r="E197" i="2"/>
  <c r="G199" i="2"/>
  <c r="F202" i="2"/>
  <c r="E205" i="2"/>
  <c r="G207" i="2"/>
  <c r="F210" i="2"/>
  <c r="E213" i="2"/>
  <c r="G215" i="2"/>
  <c r="F218" i="2"/>
  <c r="E221" i="2"/>
  <c r="G223" i="2"/>
  <c r="F226" i="2"/>
  <c r="E229" i="2"/>
  <c r="G231" i="2"/>
  <c r="F234" i="2"/>
  <c r="E237" i="2"/>
  <c r="G239" i="2"/>
  <c r="F242" i="2"/>
  <c r="E245" i="2"/>
  <c r="G247" i="2"/>
  <c r="F250" i="2"/>
  <c r="E253" i="2"/>
  <c r="G255" i="2"/>
  <c r="F258" i="2"/>
  <c r="E261" i="2"/>
  <c r="G263" i="2"/>
  <c r="F266" i="2"/>
  <c r="E269" i="2"/>
  <c r="G271" i="2"/>
  <c r="F274" i="2"/>
  <c r="E277" i="2"/>
  <c r="G279" i="2"/>
  <c r="F282" i="2"/>
  <c r="E285" i="2"/>
  <c r="G287" i="2"/>
  <c r="F290" i="2"/>
  <c r="E293" i="2"/>
  <c r="G295" i="2"/>
  <c r="F298" i="2"/>
  <c r="E301" i="2"/>
  <c r="G303" i="2"/>
  <c r="F306" i="2"/>
  <c r="E309" i="2"/>
  <c r="G311" i="2"/>
  <c r="F314" i="2"/>
  <c r="E317" i="2"/>
  <c r="G319" i="2"/>
  <c r="F322" i="2"/>
  <c r="E325" i="2"/>
  <c r="G327" i="2"/>
  <c r="F330" i="2"/>
  <c r="E333" i="2"/>
  <c r="G335" i="2"/>
  <c r="F338" i="2"/>
  <c r="E341" i="2"/>
  <c r="I29" i="2"/>
  <c r="H51" i="2"/>
  <c r="J78" i="2"/>
  <c r="J105" i="2"/>
  <c r="I122" i="2"/>
  <c r="H143" i="2"/>
  <c r="J163" i="2"/>
  <c r="J179" i="2"/>
  <c r="J199" i="2"/>
  <c r="J216" i="2"/>
  <c r="H228" i="2"/>
  <c r="J239" i="2"/>
  <c r="I249" i="2"/>
  <c r="J255" i="2"/>
  <c r="H263" i="2"/>
  <c r="J270" i="2"/>
  <c r="H277" i="2"/>
  <c r="I284" i="2"/>
  <c r="H292" i="2"/>
  <c r="I298" i="2"/>
  <c r="J305" i="2"/>
  <c r="I313" i="2"/>
  <c r="J319" i="2"/>
  <c r="H327" i="2"/>
  <c r="J334" i="2"/>
  <c r="H341" i="2"/>
  <c r="I348" i="2"/>
  <c r="H356" i="2"/>
  <c r="I362" i="2"/>
  <c r="J369" i="2"/>
  <c r="I377" i="2"/>
  <c r="J383" i="2"/>
  <c r="H391" i="2"/>
  <c r="J398" i="2"/>
  <c r="H405" i="2"/>
  <c r="I412" i="2"/>
  <c r="H420" i="2"/>
  <c r="I426" i="2"/>
  <c r="J433" i="2"/>
  <c r="I441" i="2"/>
  <c r="J447" i="2"/>
  <c r="H455" i="2"/>
  <c r="J462" i="2"/>
  <c r="H469" i="2"/>
  <c r="I476" i="2"/>
  <c r="H484" i="2"/>
  <c r="I490" i="2"/>
  <c r="J497" i="2"/>
  <c r="F4" i="2"/>
  <c r="G10" i="2"/>
  <c r="E18" i="2"/>
  <c r="G25" i="2"/>
  <c r="E32" i="2"/>
  <c r="F39" i="2"/>
  <c r="F45" i="2"/>
  <c r="G50" i="2"/>
  <c r="F55" i="2"/>
  <c r="E59" i="2"/>
  <c r="F63" i="2"/>
  <c r="G66" i="2"/>
  <c r="F69" i="2"/>
  <c r="E72" i="2"/>
  <c r="G74" i="2"/>
  <c r="F77" i="2"/>
  <c r="E80" i="2"/>
  <c r="G82" i="2"/>
  <c r="F85" i="2"/>
  <c r="E88" i="2"/>
  <c r="G90" i="2"/>
  <c r="F93" i="2"/>
  <c r="E96" i="2"/>
  <c r="G98" i="2"/>
  <c r="F101" i="2"/>
  <c r="E104" i="2"/>
  <c r="G106" i="2"/>
  <c r="F109" i="2"/>
  <c r="E112" i="2"/>
  <c r="G114" i="2"/>
  <c r="F117" i="2"/>
  <c r="E120" i="2"/>
  <c r="G122" i="2"/>
  <c r="F125" i="2"/>
  <c r="E128" i="2"/>
  <c r="G130" i="2"/>
  <c r="F133" i="2"/>
  <c r="E136" i="2"/>
  <c r="G138" i="2"/>
  <c r="F141" i="2"/>
  <c r="E144" i="2"/>
  <c r="G146" i="2"/>
  <c r="F149" i="2"/>
  <c r="E152" i="2"/>
  <c r="G154" i="2"/>
  <c r="F157" i="2"/>
  <c r="E160" i="2"/>
  <c r="G162" i="2"/>
  <c r="F165" i="2"/>
  <c r="E168" i="2"/>
  <c r="G170" i="2"/>
  <c r="F173" i="2"/>
  <c r="E176" i="2"/>
  <c r="G178" i="2"/>
  <c r="F181" i="2"/>
  <c r="E184" i="2"/>
  <c r="G186" i="2"/>
  <c r="F189" i="2"/>
  <c r="E192" i="2"/>
  <c r="G194" i="2"/>
  <c r="F197" i="2"/>
  <c r="E200" i="2"/>
  <c r="G202" i="2"/>
  <c r="F205" i="2"/>
  <c r="E208" i="2"/>
  <c r="G210" i="2"/>
  <c r="F213" i="2"/>
  <c r="E216" i="2"/>
  <c r="G218" i="2"/>
  <c r="F221" i="2"/>
  <c r="E224" i="2"/>
  <c r="G226" i="2"/>
  <c r="F229" i="2"/>
  <c r="E232" i="2"/>
  <c r="G234" i="2"/>
  <c r="F237" i="2"/>
  <c r="E240" i="2"/>
  <c r="G242" i="2"/>
  <c r="F245" i="2"/>
  <c r="E248" i="2"/>
  <c r="G250" i="2"/>
  <c r="F253" i="2"/>
  <c r="E256" i="2"/>
  <c r="G258" i="2"/>
  <c r="F261" i="2"/>
  <c r="E264" i="2"/>
  <c r="G266" i="2"/>
  <c r="F269" i="2"/>
  <c r="E272" i="2"/>
  <c r="G274" i="2"/>
  <c r="F277" i="2"/>
  <c r="E280" i="2"/>
  <c r="G282" i="2"/>
  <c r="F285" i="2"/>
  <c r="E288" i="2"/>
  <c r="G290" i="2"/>
  <c r="F293" i="2"/>
  <c r="E296" i="2"/>
  <c r="G298" i="2"/>
  <c r="F301" i="2"/>
  <c r="E304" i="2"/>
  <c r="G306" i="2"/>
  <c r="F309" i="2"/>
  <c r="E312" i="2"/>
  <c r="G314" i="2"/>
  <c r="F317" i="2"/>
  <c r="E320" i="2"/>
  <c r="G322" i="2"/>
  <c r="F325" i="2"/>
  <c r="E328" i="2"/>
  <c r="G330" i="2"/>
  <c r="F333" i="2"/>
  <c r="E336" i="2"/>
  <c r="G338" i="2"/>
  <c r="F341" i="2"/>
  <c r="H30" i="2"/>
  <c r="J57" i="2"/>
  <c r="I79" i="2"/>
  <c r="I107" i="2"/>
  <c r="J127" i="2"/>
  <c r="J143" i="2"/>
  <c r="I164" i="2"/>
  <c r="H185" i="2"/>
  <c r="H201" i="2"/>
  <c r="H217" i="2"/>
  <c r="H231" i="2"/>
  <c r="I240" i="2"/>
  <c r="J249" i="2"/>
  <c r="I257" i="2"/>
  <c r="J263" i="2"/>
  <c r="H271" i="2"/>
  <c r="J278" i="2"/>
  <c r="H285" i="2"/>
  <c r="I292" i="2"/>
  <c r="H300" i="2"/>
  <c r="I306" i="2"/>
  <c r="J313" i="2"/>
  <c r="I321" i="2"/>
  <c r="J327" i="2"/>
  <c r="H335" i="2"/>
  <c r="J342" i="2"/>
  <c r="H349" i="2"/>
  <c r="I356" i="2"/>
  <c r="H364" i="2"/>
  <c r="I370" i="2"/>
  <c r="J377" i="2"/>
  <c r="I385" i="2"/>
  <c r="J391" i="2"/>
  <c r="H399" i="2"/>
  <c r="J406" i="2"/>
  <c r="H413" i="2"/>
  <c r="I420" i="2"/>
  <c r="H428" i="2"/>
  <c r="I434" i="2"/>
  <c r="J441" i="2"/>
  <c r="I449" i="2"/>
  <c r="J455" i="2"/>
  <c r="H463" i="2"/>
  <c r="J470" i="2"/>
  <c r="H477" i="2"/>
  <c r="I484" i="2"/>
  <c r="H492" i="2"/>
  <c r="I498" i="2"/>
  <c r="G4" i="2"/>
  <c r="F12" i="2"/>
  <c r="G18" i="2"/>
  <c r="E26" i="2"/>
  <c r="G33" i="2"/>
  <c r="E40" i="2"/>
  <c r="G45" i="2"/>
  <c r="E51" i="2"/>
  <c r="G55" i="2"/>
  <c r="H11" i="2"/>
  <c r="J38" i="2"/>
  <c r="I60" i="2"/>
  <c r="I88" i="2"/>
  <c r="J113" i="2"/>
  <c r="J129" i="2"/>
  <c r="I150" i="2"/>
  <c r="I170" i="2"/>
  <c r="I186" i="2"/>
  <c r="H206" i="2"/>
  <c r="H221" i="2"/>
  <c r="J232" i="2"/>
  <c r="H243" i="2"/>
  <c r="H252" i="2"/>
  <c r="I258" i="2"/>
  <c r="J265" i="2"/>
  <c r="I273" i="2"/>
  <c r="J279" i="2"/>
  <c r="H287" i="2"/>
  <c r="J294" i="2"/>
  <c r="H301" i="2"/>
  <c r="I308" i="2"/>
  <c r="H316" i="2"/>
  <c r="I322" i="2"/>
  <c r="J329" i="2"/>
  <c r="I337" i="2"/>
  <c r="J343" i="2"/>
  <c r="H351" i="2"/>
  <c r="J358" i="2"/>
  <c r="H365" i="2"/>
  <c r="I372" i="2"/>
  <c r="H380" i="2"/>
  <c r="I386" i="2"/>
  <c r="J393" i="2"/>
  <c r="I401" i="2"/>
  <c r="J407" i="2"/>
  <c r="H415" i="2"/>
  <c r="J422" i="2"/>
  <c r="H429" i="2"/>
  <c r="I436" i="2"/>
  <c r="H444" i="2"/>
  <c r="I450" i="2"/>
  <c r="J457" i="2"/>
  <c r="I465" i="2"/>
  <c r="J471" i="2"/>
  <c r="H479" i="2"/>
  <c r="J486" i="2"/>
  <c r="H493" i="2"/>
  <c r="I500" i="2"/>
  <c r="E7" i="2"/>
  <c r="F13" i="2"/>
  <c r="G20" i="2"/>
  <c r="F28" i="2"/>
  <c r="G34" i="2"/>
  <c r="E42" i="2"/>
  <c r="F47" i="2"/>
  <c r="G52" i="2"/>
  <c r="F56" i="2"/>
  <c r="E61" i="2"/>
  <c r="F64" i="2"/>
  <c r="G67" i="2"/>
  <c r="F70" i="2"/>
  <c r="E73" i="2"/>
  <c r="G75" i="2"/>
  <c r="F78" i="2"/>
  <c r="E81" i="2"/>
  <c r="G83" i="2"/>
  <c r="F86" i="2"/>
  <c r="E89" i="2"/>
  <c r="G91" i="2"/>
  <c r="F94" i="2"/>
  <c r="E97" i="2"/>
  <c r="G99" i="2"/>
  <c r="F102" i="2"/>
  <c r="E105" i="2"/>
  <c r="G107" i="2"/>
  <c r="F110" i="2"/>
  <c r="E113" i="2"/>
  <c r="G115" i="2"/>
  <c r="F118" i="2"/>
  <c r="E121" i="2"/>
  <c r="G123" i="2"/>
  <c r="F126" i="2"/>
  <c r="E129" i="2"/>
  <c r="G131" i="2"/>
  <c r="F134" i="2"/>
  <c r="E137" i="2"/>
  <c r="G139" i="2"/>
  <c r="F142" i="2"/>
  <c r="E145" i="2"/>
  <c r="G147" i="2"/>
  <c r="F150" i="2"/>
  <c r="E153" i="2"/>
  <c r="G155" i="2"/>
  <c r="F158" i="2"/>
  <c r="E161" i="2"/>
  <c r="G163" i="2"/>
  <c r="F166" i="2"/>
  <c r="E169" i="2"/>
  <c r="G171" i="2"/>
  <c r="F174" i="2"/>
  <c r="E177" i="2"/>
  <c r="G179" i="2"/>
  <c r="F182" i="2"/>
  <c r="E185" i="2"/>
  <c r="G187" i="2"/>
  <c r="F190" i="2"/>
  <c r="E193" i="2"/>
  <c r="G195" i="2"/>
  <c r="F198" i="2"/>
  <c r="E201" i="2"/>
  <c r="G203" i="2"/>
  <c r="F206" i="2"/>
  <c r="E209" i="2"/>
  <c r="G211" i="2"/>
  <c r="F214" i="2"/>
  <c r="E217" i="2"/>
  <c r="G219" i="2"/>
  <c r="F222" i="2"/>
  <c r="E225" i="2"/>
  <c r="G227" i="2"/>
  <c r="F230" i="2"/>
  <c r="E233" i="2"/>
  <c r="G235" i="2"/>
  <c r="F238" i="2"/>
  <c r="E241" i="2"/>
  <c r="G243" i="2"/>
  <c r="F246" i="2"/>
  <c r="E249" i="2"/>
  <c r="G251" i="2"/>
  <c r="F254" i="2"/>
  <c r="E257" i="2"/>
  <c r="G259" i="2"/>
  <c r="F262" i="2"/>
  <c r="E265" i="2"/>
  <c r="G267" i="2"/>
  <c r="F270" i="2"/>
  <c r="E273" i="2"/>
  <c r="G275" i="2"/>
  <c r="F278" i="2"/>
  <c r="E281" i="2"/>
  <c r="G283" i="2"/>
  <c r="F286" i="2"/>
  <c r="E289" i="2"/>
  <c r="G291" i="2"/>
  <c r="F294" i="2"/>
  <c r="E297" i="2"/>
  <c r="G299" i="2"/>
  <c r="F302" i="2"/>
  <c r="E305" i="2"/>
  <c r="G307" i="2"/>
  <c r="F310" i="2"/>
  <c r="E313" i="2"/>
  <c r="G315" i="2"/>
  <c r="F318" i="2"/>
  <c r="E321" i="2"/>
  <c r="G323" i="2"/>
  <c r="F326" i="2"/>
  <c r="J11" i="2"/>
  <c r="I39" i="2"/>
  <c r="I67" i="2"/>
  <c r="H90" i="2"/>
  <c r="I114" i="2"/>
  <c r="H135" i="2"/>
  <c r="H151" i="2"/>
  <c r="J171" i="2"/>
  <c r="J191" i="2"/>
  <c r="H207" i="2"/>
  <c r="H222" i="2"/>
  <c r="I235" i="2"/>
  <c r="J243" i="2"/>
  <c r="I252" i="2"/>
  <c r="H260" i="2"/>
  <c r="I266" i="2"/>
  <c r="J273" i="2"/>
  <c r="I281" i="2"/>
  <c r="J287" i="2"/>
  <c r="H295" i="2"/>
  <c r="J302" i="2"/>
  <c r="H309" i="2"/>
  <c r="I316" i="2"/>
  <c r="H324" i="2"/>
  <c r="I330" i="2"/>
  <c r="J337" i="2"/>
  <c r="I345" i="2"/>
  <c r="J351" i="2"/>
  <c r="H359" i="2"/>
  <c r="J366" i="2"/>
  <c r="H373" i="2"/>
  <c r="I380" i="2"/>
  <c r="H388" i="2"/>
  <c r="I394" i="2"/>
  <c r="J401" i="2"/>
  <c r="I409" i="2"/>
  <c r="J415" i="2"/>
  <c r="H423" i="2"/>
  <c r="J430" i="2"/>
  <c r="H437" i="2"/>
  <c r="I444" i="2"/>
  <c r="H452" i="2"/>
  <c r="I458" i="2"/>
  <c r="J465" i="2"/>
  <c r="I473" i="2"/>
  <c r="J479" i="2"/>
  <c r="H487" i="2"/>
  <c r="J494" i="2"/>
  <c r="H501" i="2"/>
  <c r="F7" i="2"/>
  <c r="E15" i="2"/>
  <c r="F21" i="2"/>
  <c r="G28" i="2"/>
  <c r="F36" i="2"/>
  <c r="G42" i="2"/>
  <c r="E48" i="2"/>
  <c r="E53" i="2"/>
  <c r="G57" i="2"/>
  <c r="F61" i="2"/>
  <c r="G64" i="2"/>
  <c r="E68" i="2"/>
  <c r="G70" i="2"/>
  <c r="F73" i="2"/>
  <c r="E76" i="2"/>
  <c r="G78" i="2"/>
  <c r="F81" i="2"/>
  <c r="E84" i="2"/>
  <c r="G86" i="2"/>
  <c r="F89" i="2"/>
  <c r="E92" i="2"/>
  <c r="G94" i="2"/>
  <c r="F97" i="2"/>
  <c r="E100" i="2"/>
  <c r="G102" i="2"/>
  <c r="F105" i="2"/>
  <c r="E108" i="2"/>
  <c r="G110" i="2"/>
  <c r="F113" i="2"/>
  <c r="E116" i="2"/>
  <c r="G118" i="2"/>
  <c r="F121" i="2"/>
  <c r="E124" i="2"/>
  <c r="G126" i="2"/>
  <c r="F129" i="2"/>
  <c r="E132" i="2"/>
  <c r="G134" i="2"/>
  <c r="F137" i="2"/>
  <c r="E140" i="2"/>
  <c r="G142" i="2"/>
  <c r="F145" i="2"/>
  <c r="E148" i="2"/>
  <c r="G150" i="2"/>
  <c r="F153" i="2"/>
  <c r="E156" i="2"/>
  <c r="G158" i="2"/>
  <c r="F161" i="2"/>
  <c r="E164" i="2"/>
  <c r="G166" i="2"/>
  <c r="F169" i="2"/>
  <c r="E172" i="2"/>
  <c r="G174" i="2"/>
  <c r="F177" i="2"/>
  <c r="E180" i="2"/>
  <c r="G182" i="2"/>
  <c r="F185" i="2"/>
  <c r="E188" i="2"/>
  <c r="G190" i="2"/>
  <c r="F193" i="2"/>
  <c r="E196" i="2"/>
  <c r="G198" i="2"/>
  <c r="F201" i="2"/>
  <c r="E204" i="2"/>
  <c r="G206" i="2"/>
  <c r="F209" i="2"/>
  <c r="E212" i="2"/>
  <c r="G214" i="2"/>
  <c r="F217" i="2"/>
  <c r="E220" i="2"/>
  <c r="G222" i="2"/>
  <c r="F225" i="2"/>
  <c r="E228" i="2"/>
  <c r="G230" i="2"/>
  <c r="F233" i="2"/>
  <c r="E236" i="2"/>
  <c r="G238" i="2"/>
  <c r="F241" i="2"/>
  <c r="E244" i="2"/>
  <c r="G246" i="2"/>
  <c r="F249" i="2"/>
  <c r="E252" i="2"/>
  <c r="G254" i="2"/>
  <c r="F257" i="2"/>
  <c r="E260" i="2"/>
  <c r="G262" i="2"/>
  <c r="F265" i="2"/>
  <c r="E268" i="2"/>
  <c r="G270" i="2"/>
  <c r="F273" i="2"/>
  <c r="E276" i="2"/>
  <c r="G278" i="2"/>
  <c r="F281" i="2"/>
  <c r="E284" i="2"/>
  <c r="G286" i="2"/>
  <c r="F289" i="2"/>
  <c r="E292" i="2"/>
  <c r="G294" i="2"/>
  <c r="F297" i="2"/>
  <c r="E300" i="2"/>
  <c r="G302" i="2"/>
  <c r="F305" i="2"/>
  <c r="E308" i="2"/>
  <c r="G310" i="2"/>
  <c r="F313" i="2"/>
  <c r="E316" i="2"/>
  <c r="G318" i="2"/>
  <c r="F321" i="2"/>
  <c r="E324" i="2"/>
  <c r="G326" i="2"/>
  <c r="F329" i="2"/>
  <c r="E332" i="2"/>
  <c r="G334" i="2"/>
  <c r="F337" i="2"/>
  <c r="E340" i="2"/>
  <c r="J18" i="2"/>
  <c r="I41" i="2"/>
  <c r="I69" i="2"/>
  <c r="H97" i="2"/>
  <c r="J115" i="2"/>
  <c r="J135" i="2"/>
  <c r="I156" i="2"/>
  <c r="I172" i="2"/>
  <c r="H193" i="2"/>
  <c r="I210" i="2"/>
  <c r="I223" i="2"/>
  <c r="J235" i="2"/>
  <c r="H246" i="2"/>
  <c r="H253" i="2"/>
  <c r="I260" i="2"/>
  <c r="H268" i="2"/>
  <c r="I274" i="2"/>
  <c r="J281" i="2"/>
  <c r="I289" i="2"/>
  <c r="J295" i="2"/>
  <c r="H303" i="2"/>
  <c r="J310" i="2"/>
  <c r="H317" i="2"/>
  <c r="I324" i="2"/>
  <c r="H332" i="2"/>
  <c r="I338" i="2"/>
  <c r="J345" i="2"/>
  <c r="I353" i="2"/>
  <c r="J359" i="2"/>
  <c r="H367" i="2"/>
  <c r="J374" i="2"/>
  <c r="H381" i="2"/>
  <c r="I388" i="2"/>
  <c r="H396" i="2"/>
  <c r="I402" i="2"/>
  <c r="J409" i="2"/>
  <c r="I417" i="2"/>
  <c r="J423" i="2"/>
  <c r="H431" i="2"/>
  <c r="J438" i="2"/>
  <c r="H445" i="2"/>
  <c r="I452" i="2"/>
  <c r="H460" i="2"/>
  <c r="I466" i="2"/>
  <c r="J473" i="2"/>
  <c r="I481" i="2"/>
  <c r="J487" i="2"/>
  <c r="H495" i="2"/>
  <c r="J502" i="2"/>
  <c r="E8" i="2"/>
  <c r="F15" i="2"/>
  <c r="E23" i="2"/>
  <c r="F29" i="2"/>
  <c r="G36" i="2"/>
  <c r="E43" i="2"/>
  <c r="F48" i="2"/>
  <c r="F53" i="2"/>
  <c r="E58" i="2"/>
  <c r="G61" i="2"/>
  <c r="G65" i="2"/>
  <c r="F68" i="2"/>
  <c r="E71" i="2"/>
  <c r="G73" i="2"/>
  <c r="F76" i="2"/>
  <c r="E79" i="2"/>
  <c r="G81" i="2"/>
  <c r="F84" i="2"/>
  <c r="E87" i="2"/>
  <c r="G89" i="2"/>
  <c r="F92" i="2"/>
  <c r="E95" i="2"/>
  <c r="G97" i="2"/>
  <c r="F100" i="2"/>
  <c r="E103" i="2"/>
  <c r="G105" i="2"/>
  <c r="F108" i="2"/>
  <c r="E111" i="2"/>
  <c r="G113" i="2"/>
  <c r="F116" i="2"/>
  <c r="E119" i="2"/>
  <c r="G121" i="2"/>
  <c r="F124" i="2"/>
  <c r="E127" i="2"/>
  <c r="G129" i="2"/>
  <c r="F132" i="2"/>
  <c r="E135" i="2"/>
  <c r="G137" i="2"/>
  <c r="F140" i="2"/>
  <c r="E143" i="2"/>
  <c r="G145" i="2"/>
  <c r="F148" i="2"/>
  <c r="E151" i="2"/>
  <c r="G153" i="2"/>
  <c r="F156" i="2"/>
  <c r="E159" i="2"/>
  <c r="G161" i="2"/>
  <c r="F164" i="2"/>
  <c r="E167" i="2"/>
  <c r="G169" i="2"/>
  <c r="F172" i="2"/>
  <c r="E175" i="2"/>
  <c r="G177" i="2"/>
  <c r="F180" i="2"/>
  <c r="E183" i="2"/>
  <c r="G185" i="2"/>
  <c r="F188" i="2"/>
  <c r="E191" i="2"/>
  <c r="G193" i="2"/>
  <c r="F196" i="2"/>
  <c r="E199" i="2"/>
  <c r="G201" i="2"/>
  <c r="F204" i="2"/>
  <c r="E207" i="2"/>
  <c r="G209" i="2"/>
  <c r="F212" i="2"/>
  <c r="E215" i="2"/>
  <c r="G217" i="2"/>
  <c r="F220" i="2"/>
  <c r="E223" i="2"/>
  <c r="G225" i="2"/>
  <c r="F228" i="2"/>
  <c r="E231" i="2"/>
  <c r="G233" i="2"/>
  <c r="F236" i="2"/>
  <c r="E239" i="2"/>
  <c r="G241" i="2"/>
  <c r="F244" i="2"/>
  <c r="E247" i="2"/>
  <c r="G249" i="2"/>
  <c r="F252" i="2"/>
  <c r="E255" i="2"/>
  <c r="G257" i="2"/>
  <c r="F260" i="2"/>
  <c r="E263" i="2"/>
  <c r="G265" i="2"/>
  <c r="F268" i="2"/>
  <c r="E271" i="2"/>
  <c r="G273" i="2"/>
  <c r="F276" i="2"/>
  <c r="E279" i="2"/>
  <c r="G281" i="2"/>
  <c r="F284" i="2"/>
  <c r="E287" i="2"/>
  <c r="G289" i="2"/>
  <c r="F292" i="2"/>
  <c r="E295" i="2"/>
  <c r="G297" i="2"/>
  <c r="F300" i="2"/>
  <c r="E303" i="2"/>
  <c r="G305" i="2"/>
  <c r="F308" i="2"/>
  <c r="E311" i="2"/>
  <c r="G313" i="2"/>
  <c r="F316" i="2"/>
  <c r="E319" i="2"/>
  <c r="G321" i="2"/>
  <c r="F324" i="2"/>
  <c r="E327" i="2"/>
  <c r="G329" i="2"/>
  <c r="F332" i="2"/>
  <c r="E335" i="2"/>
  <c r="G337" i="2"/>
  <c r="F340" i="2"/>
  <c r="I20" i="2"/>
  <c r="I48" i="2"/>
  <c r="H70" i="2"/>
  <c r="J97" i="2"/>
  <c r="H121" i="2"/>
  <c r="H137" i="2"/>
  <c r="H157" i="2"/>
  <c r="J177" i="2"/>
  <c r="J193" i="2"/>
  <c r="I211" i="2"/>
  <c r="J225" i="2"/>
  <c r="H237" i="2"/>
  <c r="I246" i="2"/>
  <c r="J254" i="2"/>
  <c r="H261" i="2"/>
  <c r="I268" i="2"/>
  <c r="H276" i="2"/>
  <c r="I282" i="2"/>
  <c r="J289" i="2"/>
  <c r="I297" i="2"/>
  <c r="J303" i="2"/>
  <c r="H311" i="2"/>
  <c r="J318" i="2"/>
  <c r="H325" i="2"/>
  <c r="I332" i="2"/>
  <c r="H340" i="2"/>
  <c r="I346" i="2"/>
  <c r="J353" i="2"/>
  <c r="I361" i="2"/>
  <c r="J367" i="2"/>
  <c r="H375" i="2"/>
  <c r="J382" i="2"/>
  <c r="H389" i="2"/>
  <c r="I396" i="2"/>
  <c r="H404" i="2"/>
  <c r="I410" i="2"/>
  <c r="J417" i="2"/>
  <c r="I425" i="2"/>
  <c r="J431" i="2"/>
  <c r="H439" i="2"/>
  <c r="J446" i="2"/>
  <c r="H453" i="2"/>
  <c r="I460" i="2"/>
  <c r="H468" i="2"/>
  <c r="I474" i="2"/>
  <c r="J481" i="2"/>
  <c r="I489" i="2"/>
  <c r="J495" i="2"/>
  <c r="H503" i="2"/>
  <c r="G9" i="2"/>
  <c r="E16" i="2"/>
  <c r="F23" i="2"/>
  <c r="E31" i="2"/>
  <c r="F37" i="2"/>
  <c r="F44" i="2"/>
  <c r="G49" i="2"/>
  <c r="G53" i="2"/>
  <c r="F58" i="2"/>
  <c r="E62" i="2"/>
  <c r="E66" i="2"/>
  <c r="G68" i="2"/>
  <c r="F71" i="2"/>
  <c r="E74" i="2"/>
  <c r="G76" i="2"/>
  <c r="F79" i="2"/>
  <c r="E82" i="2"/>
  <c r="G84" i="2"/>
  <c r="F87" i="2"/>
  <c r="E90" i="2"/>
  <c r="G92" i="2"/>
  <c r="F95" i="2"/>
  <c r="E98" i="2"/>
  <c r="G100" i="2"/>
  <c r="F103" i="2"/>
  <c r="E106" i="2"/>
  <c r="G108" i="2"/>
  <c r="F111" i="2"/>
  <c r="E114" i="2"/>
  <c r="G116" i="2"/>
  <c r="F119" i="2"/>
  <c r="E122" i="2"/>
  <c r="G124" i="2"/>
  <c r="F127" i="2"/>
  <c r="E130" i="2"/>
  <c r="G132" i="2"/>
  <c r="F135" i="2"/>
  <c r="E138" i="2"/>
  <c r="G140" i="2"/>
  <c r="F143" i="2"/>
  <c r="E146" i="2"/>
  <c r="G148" i="2"/>
  <c r="F151" i="2"/>
  <c r="E154" i="2"/>
  <c r="G156" i="2"/>
  <c r="F159" i="2"/>
  <c r="E162" i="2"/>
  <c r="G164" i="2"/>
  <c r="F167" i="2"/>
  <c r="E170" i="2"/>
  <c r="G172" i="2"/>
  <c r="F175" i="2"/>
  <c r="E178" i="2"/>
  <c r="G180" i="2"/>
  <c r="F183" i="2"/>
  <c r="E186" i="2"/>
  <c r="G188" i="2"/>
  <c r="F191" i="2"/>
  <c r="E194" i="2"/>
  <c r="G196" i="2"/>
  <c r="F199" i="2"/>
  <c r="E202" i="2"/>
  <c r="G204" i="2"/>
  <c r="F207" i="2"/>
  <c r="E210" i="2"/>
  <c r="G212" i="2"/>
  <c r="F215" i="2"/>
  <c r="E218" i="2"/>
  <c r="G220" i="2"/>
  <c r="F223" i="2"/>
  <c r="E226" i="2"/>
  <c r="G228" i="2"/>
  <c r="F231" i="2"/>
  <c r="E234" i="2"/>
  <c r="G236" i="2"/>
  <c r="F239" i="2"/>
  <c r="E242" i="2"/>
  <c r="G244" i="2"/>
  <c r="F247" i="2"/>
  <c r="E250" i="2"/>
  <c r="G252" i="2"/>
  <c r="F255" i="2"/>
  <c r="E258" i="2"/>
  <c r="G260" i="2"/>
  <c r="F263" i="2"/>
  <c r="E266" i="2"/>
  <c r="G268" i="2"/>
  <c r="F271" i="2"/>
  <c r="E274" i="2"/>
  <c r="G276" i="2"/>
  <c r="F279" i="2"/>
  <c r="E282" i="2"/>
  <c r="G284" i="2"/>
  <c r="F287" i="2"/>
  <c r="E290" i="2"/>
  <c r="G292" i="2"/>
  <c r="F295" i="2"/>
  <c r="E298" i="2"/>
  <c r="G300" i="2"/>
  <c r="F303" i="2"/>
  <c r="E306" i="2"/>
  <c r="G308" i="2"/>
  <c r="F311" i="2"/>
  <c r="E314" i="2"/>
  <c r="G316" i="2"/>
  <c r="F319" i="2"/>
  <c r="E322" i="2"/>
  <c r="G324" i="2"/>
  <c r="F327" i="2"/>
  <c r="E330" i="2"/>
  <c r="G332" i="2"/>
  <c r="F335" i="2"/>
  <c r="E338" i="2"/>
  <c r="G340" i="2"/>
  <c r="F502" i="2"/>
  <c r="G499" i="2"/>
  <c r="E497" i="2"/>
  <c r="F494" i="2"/>
  <c r="G491" i="2"/>
  <c r="E489" i="2"/>
  <c r="F486" i="2"/>
  <c r="G483" i="2"/>
  <c r="E481" i="2"/>
  <c r="F478" i="2"/>
  <c r="G475" i="2"/>
  <c r="E473" i="2"/>
  <c r="F470" i="2"/>
  <c r="G467" i="2"/>
  <c r="E465" i="2"/>
  <c r="F462" i="2"/>
  <c r="G459" i="2"/>
  <c r="E457" i="2"/>
  <c r="F454" i="2"/>
  <c r="G451" i="2"/>
  <c r="E449" i="2"/>
  <c r="F446" i="2"/>
  <c r="G443" i="2"/>
  <c r="E441" i="2"/>
  <c r="F438" i="2"/>
  <c r="G435" i="2"/>
  <c r="E433" i="2"/>
  <c r="F430" i="2"/>
  <c r="G427" i="2"/>
  <c r="E425" i="2"/>
  <c r="F422" i="2"/>
  <c r="G419" i="2"/>
  <c r="E417" i="2"/>
  <c r="F414" i="2"/>
  <c r="G411" i="2"/>
  <c r="E409" i="2"/>
  <c r="F406" i="2"/>
  <c r="G403" i="2"/>
  <c r="E401" i="2"/>
  <c r="F398" i="2"/>
  <c r="G395" i="2"/>
  <c r="E393" i="2"/>
  <c r="F390" i="2"/>
  <c r="G387" i="2"/>
  <c r="E385" i="2"/>
  <c r="F382" i="2"/>
  <c r="G379" i="2"/>
  <c r="E377" i="2"/>
  <c r="F374" i="2"/>
  <c r="G371" i="2"/>
  <c r="E369" i="2"/>
  <c r="F366" i="2"/>
  <c r="G363" i="2"/>
  <c r="E361" i="2"/>
  <c r="F358" i="2"/>
  <c r="G355" i="2"/>
  <c r="E353" i="2"/>
  <c r="F350" i="2"/>
  <c r="G347" i="2"/>
  <c r="E345" i="2"/>
  <c r="F342" i="2"/>
  <c r="F336" i="2"/>
  <c r="G328" i="2"/>
  <c r="E318" i="2"/>
  <c r="F307" i="2"/>
  <c r="G296" i="2"/>
  <c r="E286" i="2"/>
  <c r="F275" i="2"/>
  <c r="G264" i="2"/>
  <c r="E254" i="2"/>
  <c r="F243" i="2"/>
  <c r="G232" i="2"/>
  <c r="E222" i="2"/>
  <c r="F211" i="2"/>
  <c r="G200" i="2"/>
  <c r="E190" i="2"/>
  <c r="F179" i="2"/>
  <c r="G168" i="2"/>
  <c r="E158" i="2"/>
  <c r="F147" i="2"/>
  <c r="G136" i="2"/>
  <c r="E126" i="2"/>
  <c r="F115" i="2"/>
  <c r="G104" i="2"/>
  <c r="E94" i="2"/>
  <c r="F83" i="2"/>
  <c r="G72" i="2"/>
  <c r="G60" i="2"/>
  <c r="F20" i="2"/>
  <c r="J463" i="2"/>
  <c r="H407" i="2"/>
  <c r="J350" i="2"/>
  <c r="H293" i="2"/>
  <c r="I231" i="2"/>
  <c r="I87" i="2"/>
  <c r="E443" i="2"/>
  <c r="E496" i="2"/>
  <c r="G482" i="2"/>
  <c r="G466" i="2"/>
  <c r="F437" i="2"/>
  <c r="G418" i="2"/>
  <c r="F498" i="2"/>
  <c r="G487" i="2"/>
  <c r="E477" i="2"/>
  <c r="G471" i="2"/>
  <c r="E453" i="2"/>
  <c r="E502" i="2"/>
  <c r="F499" i="2"/>
  <c r="G496" i="2"/>
  <c r="E494" i="2"/>
  <c r="F491" i="2"/>
  <c r="G488" i="2"/>
  <c r="E486" i="2"/>
  <c r="F483" i="2"/>
  <c r="G480" i="2"/>
  <c r="E478" i="2"/>
  <c r="F475" i="2"/>
  <c r="G472" i="2"/>
  <c r="E470" i="2"/>
  <c r="F467" i="2"/>
  <c r="G464" i="2"/>
  <c r="E462" i="2"/>
  <c r="F459" i="2"/>
  <c r="G456" i="2"/>
  <c r="E454" i="2"/>
  <c r="F451" i="2"/>
  <c r="G448" i="2"/>
  <c r="E446" i="2"/>
  <c r="F443" i="2"/>
  <c r="G440" i="2"/>
  <c r="E438" i="2"/>
  <c r="F435" i="2"/>
  <c r="G432" i="2"/>
  <c r="E430" i="2"/>
  <c r="F427" i="2"/>
  <c r="G424" i="2"/>
  <c r="E422" i="2"/>
  <c r="F419" i="2"/>
  <c r="G416" i="2"/>
  <c r="E414" i="2"/>
  <c r="F411" i="2"/>
  <c r="G408" i="2"/>
  <c r="E406" i="2"/>
  <c r="F403" i="2"/>
  <c r="G400" i="2"/>
  <c r="E398" i="2"/>
  <c r="F395" i="2"/>
  <c r="G392" i="2"/>
  <c r="E390" i="2"/>
  <c r="F387" i="2"/>
  <c r="G384" i="2"/>
  <c r="E382" i="2"/>
  <c r="F379" i="2"/>
  <c r="G376" i="2"/>
  <c r="E374" i="2"/>
  <c r="F371" i="2"/>
  <c r="G368" i="2"/>
  <c r="E366" i="2"/>
  <c r="F363" i="2"/>
  <c r="G360" i="2"/>
  <c r="E358" i="2"/>
  <c r="F355" i="2"/>
  <c r="G352" i="2"/>
  <c r="E350" i="2"/>
  <c r="F347" i="2"/>
  <c r="G344" i="2"/>
  <c r="E342" i="2"/>
  <c r="F334" i="2"/>
  <c r="F328" i="2"/>
  <c r="G317" i="2"/>
  <c r="E307" i="2"/>
  <c r="F296" i="2"/>
  <c r="G285" i="2"/>
  <c r="E275" i="2"/>
  <c r="F264" i="2"/>
  <c r="G253" i="2"/>
  <c r="E243" i="2"/>
  <c r="F232" i="2"/>
  <c r="G221" i="2"/>
  <c r="E211" i="2"/>
  <c r="F200" i="2"/>
  <c r="G189" i="2"/>
  <c r="E179" i="2"/>
  <c r="F168" i="2"/>
  <c r="G157" i="2"/>
  <c r="E147" i="2"/>
  <c r="F136" i="2"/>
  <c r="G125" i="2"/>
  <c r="E115" i="2"/>
  <c r="F104" i="2"/>
  <c r="G93" i="2"/>
  <c r="E83" i="2"/>
  <c r="F72" i="2"/>
  <c r="F60" i="2"/>
  <c r="G12" i="2"/>
  <c r="I457" i="2"/>
  <c r="J399" i="2"/>
  <c r="H343" i="2"/>
  <c r="J286" i="2"/>
  <c r="H218" i="2"/>
  <c r="J59" i="2"/>
  <c r="G501" i="2"/>
  <c r="E491" i="2"/>
  <c r="G485" i="2"/>
  <c r="E475" i="2"/>
  <c r="F464" i="2"/>
  <c r="G453" i="2"/>
  <c r="G437" i="2"/>
  <c r="E427" i="2"/>
  <c r="F416" i="2"/>
  <c r="G405" i="2"/>
  <c r="E395" i="2"/>
  <c r="F384" i="2"/>
  <c r="F368" i="2"/>
  <c r="E294" i="2"/>
  <c r="F501" i="2"/>
  <c r="E480" i="2"/>
  <c r="F461" i="2"/>
  <c r="F445" i="2"/>
  <c r="G434" i="2"/>
  <c r="E432" i="2"/>
  <c r="F421" i="2"/>
  <c r="E416" i="2"/>
  <c r="F413" i="2"/>
  <c r="G410" i="2"/>
  <c r="E408" i="2"/>
  <c r="F405" i="2"/>
  <c r="G402" i="2"/>
  <c r="E400" i="2"/>
  <c r="F397" i="2"/>
  <c r="G394" i="2"/>
  <c r="E392" i="2"/>
  <c r="F389" i="2"/>
  <c r="G386" i="2"/>
  <c r="E384" i="2"/>
  <c r="F381" i="2"/>
  <c r="G378" i="2"/>
  <c r="E376" i="2"/>
  <c r="F373" i="2"/>
  <c r="G370" i="2"/>
  <c r="E368" i="2"/>
  <c r="F365" i="2"/>
  <c r="G362" i="2"/>
  <c r="E360" i="2"/>
  <c r="F357" i="2"/>
  <c r="G354" i="2"/>
  <c r="E352" i="2"/>
  <c r="F349" i="2"/>
  <c r="G346" i="2"/>
  <c r="E344" i="2"/>
  <c r="G339" i="2"/>
  <c r="G333" i="2"/>
  <c r="G325" i="2"/>
  <c r="E315" i="2"/>
  <c r="F304" i="2"/>
  <c r="G293" i="2"/>
  <c r="E283" i="2"/>
  <c r="F272" i="2"/>
  <c r="G261" i="2"/>
  <c r="E251" i="2"/>
  <c r="F240" i="2"/>
  <c r="G229" i="2"/>
  <c r="E219" i="2"/>
  <c r="F208" i="2"/>
  <c r="G197" i="2"/>
  <c r="E187" i="2"/>
  <c r="F176" i="2"/>
  <c r="G165" i="2"/>
  <c r="E155" i="2"/>
  <c r="F144" i="2"/>
  <c r="G133" i="2"/>
  <c r="E123" i="2"/>
  <c r="F112" i="2"/>
  <c r="G101" i="2"/>
  <c r="E91" i="2"/>
  <c r="F80" i="2"/>
  <c r="G69" i="2"/>
  <c r="F52" i="2"/>
  <c r="H500" i="2"/>
  <c r="I442" i="2"/>
  <c r="J385" i="2"/>
  <c r="I329" i="2"/>
  <c r="J271" i="2"/>
  <c r="J185" i="2"/>
  <c r="H9" i="2"/>
  <c r="F496" i="2"/>
  <c r="E483" i="2"/>
  <c r="F472" i="2"/>
  <c r="G461" i="2"/>
  <c r="E451" i="2"/>
  <c r="F440" i="2"/>
  <c r="G429" i="2"/>
  <c r="E419" i="2"/>
  <c r="F408" i="2"/>
  <c r="G397" i="2"/>
  <c r="E387" i="2"/>
  <c r="F376" i="2"/>
  <c r="G365" i="2"/>
  <c r="G357" i="2"/>
  <c r="G349" i="2"/>
  <c r="G341" i="2"/>
  <c r="F315" i="2"/>
  <c r="G272" i="2"/>
  <c r="G240" i="2"/>
  <c r="G208" i="2"/>
  <c r="G176" i="2"/>
  <c r="G144" i="2"/>
  <c r="G112" i="2"/>
  <c r="E70" i="2"/>
  <c r="J449" i="2"/>
  <c r="I204" i="2"/>
  <c r="G216" i="2"/>
  <c r="E206" i="2"/>
  <c r="F195" i="2"/>
  <c r="G184" i="2"/>
  <c r="E174" i="2"/>
  <c r="F163" i="2"/>
  <c r="G152" i="2"/>
  <c r="E142" i="2"/>
  <c r="F131" i="2"/>
  <c r="G120" i="2"/>
  <c r="E110" i="2"/>
  <c r="E78" i="2"/>
  <c r="F67" i="2"/>
  <c r="E47" i="2"/>
  <c r="I492" i="2"/>
  <c r="H436" i="2"/>
  <c r="I378" i="2"/>
  <c r="J321" i="2"/>
  <c r="I265" i="2"/>
  <c r="H165" i="2"/>
  <c r="E499" i="2"/>
  <c r="F488" i="2"/>
  <c r="F480" i="2"/>
  <c r="G469" i="2"/>
  <c r="E459" i="2"/>
  <c r="F448" i="2"/>
  <c r="E435" i="2"/>
  <c r="F424" i="2"/>
  <c r="G413" i="2"/>
  <c r="E403" i="2"/>
  <c r="F392" i="2"/>
  <c r="G381" i="2"/>
  <c r="G373" i="2"/>
  <c r="E363" i="2"/>
  <c r="E355" i="2"/>
  <c r="E347" i="2"/>
  <c r="E326" i="2"/>
  <c r="F283" i="2"/>
  <c r="F251" i="2"/>
  <c r="F219" i="2"/>
  <c r="E198" i="2"/>
  <c r="E166" i="2"/>
  <c r="E134" i="2"/>
  <c r="E102" i="2"/>
  <c r="G80" i="2"/>
  <c r="E56" i="2"/>
  <c r="I393" i="2"/>
  <c r="J335" i="2"/>
  <c r="J30" i="2"/>
  <c r="F493" i="2"/>
  <c r="F485" i="2"/>
  <c r="G474" i="2"/>
  <c r="E464" i="2"/>
  <c r="G450" i="2"/>
  <c r="E440" i="2"/>
  <c r="G426" i="2"/>
  <c r="G503" i="2"/>
  <c r="E493" i="2"/>
  <c r="E485" i="2"/>
  <c r="F474" i="2"/>
  <c r="G463" i="2"/>
  <c r="G455" i="2"/>
  <c r="E445" i="2"/>
  <c r="E437" i="2"/>
  <c r="E429" i="2"/>
  <c r="E421" i="2"/>
  <c r="E413" i="2"/>
  <c r="G399" i="2"/>
  <c r="F370" i="2"/>
  <c r="F439" i="2"/>
  <c r="G428" i="2"/>
  <c r="E418" i="2"/>
  <c r="F407" i="2"/>
  <c r="G396" i="2"/>
  <c r="E386" i="2"/>
  <c r="E378" i="2"/>
  <c r="G364" i="2"/>
  <c r="F351" i="2"/>
  <c r="E323" i="2"/>
  <c r="E259" i="2"/>
  <c r="E195" i="2"/>
  <c r="G141" i="2"/>
  <c r="E99" i="2"/>
  <c r="E67" i="2"/>
  <c r="H485" i="2"/>
  <c r="H372" i="2"/>
  <c r="J257" i="2"/>
  <c r="H149" i="2"/>
  <c r="B477" i="2"/>
  <c r="B427" i="2"/>
  <c r="B332" i="2"/>
  <c r="B245" i="2"/>
  <c r="B142" i="2"/>
  <c r="C415" i="2"/>
  <c r="C252" i="2"/>
  <c r="B501" i="2"/>
  <c r="B463" i="2"/>
  <c r="B393" i="2"/>
  <c r="B329" i="2"/>
  <c r="B265" i="2"/>
  <c r="B141" i="2"/>
  <c r="C250" i="2"/>
  <c r="B500" i="2"/>
  <c r="B461" i="2"/>
  <c r="B423" i="2"/>
  <c r="B359" i="2"/>
  <c r="B284" i="2"/>
  <c r="B197" i="2"/>
  <c r="B30" i="2"/>
  <c r="C125" i="2"/>
  <c r="B473" i="2"/>
  <c r="B435" i="2"/>
  <c r="B421" i="2"/>
  <c r="B405" i="2"/>
  <c r="B389" i="2"/>
  <c r="B373" i="2"/>
  <c r="B357" i="2"/>
  <c r="B341" i="2"/>
  <c r="B324" i="2"/>
  <c r="B301" i="2"/>
  <c r="B281" i="2"/>
  <c r="B260" i="2"/>
  <c r="B237" i="2"/>
  <c r="B217" i="2"/>
  <c r="B195" i="2"/>
  <c r="B168" i="2"/>
  <c r="B129" i="2"/>
  <c r="B86" i="2"/>
  <c r="B29" i="2"/>
  <c r="C466" i="2"/>
  <c r="C396" i="2"/>
  <c r="C314" i="2"/>
  <c r="C230" i="2"/>
  <c r="C122" i="2"/>
  <c r="D471" i="2"/>
  <c r="D310" i="2"/>
  <c r="B491" i="2"/>
  <c r="B439" i="2"/>
  <c r="B380" i="2"/>
  <c r="B309" i="2"/>
  <c r="B225" i="2"/>
  <c r="B98" i="2"/>
  <c r="C337" i="2"/>
  <c r="D359" i="2"/>
  <c r="B489" i="2"/>
  <c r="B437" i="2"/>
  <c r="B361" i="2"/>
  <c r="B308" i="2"/>
  <c r="B221" i="2"/>
  <c r="B97" i="2"/>
  <c r="C336" i="2"/>
  <c r="D358" i="2"/>
  <c r="B449" i="2"/>
  <c r="B375" i="2"/>
  <c r="B325" i="2"/>
  <c r="B241" i="2"/>
  <c r="B88" i="2"/>
  <c r="C316" i="2"/>
  <c r="D319" i="2"/>
  <c r="B460" i="2"/>
  <c r="B484" i="2"/>
  <c r="B445" i="2"/>
  <c r="B433" i="2"/>
  <c r="B420" i="2"/>
  <c r="B404" i="2"/>
  <c r="B388" i="2"/>
  <c r="B372" i="2"/>
  <c r="B356" i="2"/>
  <c r="B340" i="2"/>
  <c r="B321" i="2"/>
  <c r="B300" i="2"/>
  <c r="B277" i="2"/>
  <c r="B257" i="2"/>
  <c r="B236" i="2"/>
  <c r="B213" i="2"/>
  <c r="B192" i="2"/>
  <c r="B160" i="2"/>
  <c r="B120" i="2"/>
  <c r="B74" i="2"/>
  <c r="B14" i="2"/>
  <c r="C451" i="2"/>
  <c r="C378" i="2"/>
  <c r="C295" i="2"/>
  <c r="C209" i="2"/>
  <c r="C84" i="2"/>
  <c r="D435" i="2"/>
  <c r="D262" i="2"/>
  <c r="B503" i="2"/>
  <c r="B452" i="2"/>
  <c r="B396" i="2"/>
  <c r="B364" i="2"/>
  <c r="B289" i="2"/>
  <c r="B204" i="2"/>
  <c r="B46" i="2"/>
  <c r="C164" i="2"/>
  <c r="B476" i="2"/>
  <c r="B425" i="2"/>
  <c r="B377" i="2"/>
  <c r="B285" i="2"/>
  <c r="B201" i="2"/>
  <c r="B45" i="2"/>
  <c r="C414" i="2"/>
  <c r="C6" i="2"/>
  <c r="B475" i="2"/>
  <c r="B436" i="2"/>
  <c r="B391" i="2"/>
  <c r="B305" i="2"/>
  <c r="B220" i="2"/>
  <c r="B130" i="2"/>
  <c r="C397" i="2"/>
  <c r="D473" i="2"/>
  <c r="B485" i="2"/>
  <c r="B497" i="2"/>
  <c r="B471" i="2"/>
  <c r="B495" i="2"/>
  <c r="B469" i="2"/>
  <c r="B457" i="2"/>
  <c r="B444" i="2"/>
  <c r="B431" i="2"/>
  <c r="B417" i="2"/>
  <c r="B401" i="2"/>
  <c r="B385" i="2"/>
  <c r="B369" i="2"/>
  <c r="B353" i="2"/>
  <c r="B337" i="2"/>
  <c r="B317" i="2"/>
  <c r="B297" i="2"/>
  <c r="B276" i="2"/>
  <c r="B253" i="2"/>
  <c r="B233" i="2"/>
  <c r="B212" i="2"/>
  <c r="B187" i="2"/>
  <c r="B159" i="2"/>
  <c r="B119" i="2"/>
  <c r="B73" i="2"/>
  <c r="B13" i="2"/>
  <c r="C450" i="2"/>
  <c r="C377" i="2"/>
  <c r="C294" i="2"/>
  <c r="C208" i="2"/>
  <c r="C83" i="2"/>
  <c r="D431" i="2"/>
  <c r="D249" i="2"/>
  <c r="B465" i="2"/>
  <c r="B412" i="2"/>
  <c r="B348" i="2"/>
  <c r="B268" i="2"/>
  <c r="B178" i="2"/>
  <c r="C483" i="2"/>
  <c r="C12" i="2"/>
  <c r="B451" i="2"/>
  <c r="B409" i="2"/>
  <c r="B345" i="2"/>
  <c r="B244" i="2"/>
  <c r="B177" i="2"/>
  <c r="C482" i="2"/>
  <c r="C156" i="2"/>
  <c r="B487" i="2"/>
  <c r="B407" i="2"/>
  <c r="B343" i="2"/>
  <c r="B261" i="2"/>
  <c r="B169" i="2"/>
  <c r="C467" i="2"/>
  <c r="C231" i="2"/>
  <c r="B499" i="2"/>
  <c r="B447" i="2"/>
  <c r="B459" i="2"/>
  <c r="B483" i="2"/>
  <c r="B493" i="2"/>
  <c r="B481" i="2"/>
  <c r="B468" i="2"/>
  <c r="B455" i="2"/>
  <c r="B443" i="2"/>
  <c r="B429" i="2"/>
  <c r="B415" i="2"/>
  <c r="B399" i="2"/>
  <c r="B383" i="2"/>
  <c r="B367" i="2"/>
  <c r="B351" i="2"/>
  <c r="B335" i="2"/>
  <c r="B316" i="2"/>
  <c r="B293" i="2"/>
  <c r="B273" i="2"/>
  <c r="B252" i="2"/>
  <c r="B229" i="2"/>
  <c r="B209" i="2"/>
  <c r="B186" i="2"/>
  <c r="B151" i="2"/>
  <c r="B110" i="2"/>
  <c r="B62" i="2"/>
  <c r="C499" i="2"/>
  <c r="C433" i="2"/>
  <c r="C359" i="2"/>
  <c r="C273" i="2"/>
  <c r="C188" i="2"/>
  <c r="C50" i="2"/>
  <c r="D400" i="2"/>
  <c r="A3" i="2"/>
  <c r="D11" i="2"/>
  <c r="D19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307" i="2"/>
  <c r="D4" i="2"/>
  <c r="D12" i="2"/>
  <c r="D20" i="2"/>
  <c r="D28" i="2"/>
  <c r="D36" i="2"/>
  <c r="D44" i="2"/>
  <c r="D52" i="2"/>
  <c r="D60" i="2"/>
  <c r="D68" i="2"/>
  <c r="D76" i="2"/>
  <c r="D84" i="2"/>
  <c r="D92" i="2"/>
  <c r="D100" i="2"/>
  <c r="D108" i="2"/>
  <c r="D116" i="2"/>
  <c r="D124" i="2"/>
  <c r="D132" i="2"/>
  <c r="D140" i="2"/>
  <c r="D148" i="2"/>
  <c r="D156" i="2"/>
  <c r="D164" i="2"/>
  <c r="D172" i="2"/>
  <c r="D180" i="2"/>
  <c r="D188" i="2"/>
  <c r="D196" i="2"/>
  <c r="D204" i="2"/>
  <c r="D212" i="2"/>
  <c r="D220" i="2"/>
  <c r="D228" i="2"/>
  <c r="D236" i="2"/>
  <c r="D244" i="2"/>
  <c r="D252" i="2"/>
  <c r="D260" i="2"/>
  <c r="D268" i="2"/>
  <c r="D276" i="2"/>
  <c r="D284" i="2"/>
  <c r="D292" i="2"/>
  <c r="D300" i="2"/>
  <c r="D308" i="2"/>
  <c r="D316" i="2"/>
  <c r="D324" i="2"/>
  <c r="D332" i="2"/>
  <c r="D340" i="2"/>
  <c r="D348" i="2"/>
  <c r="D356" i="2"/>
  <c r="D364" i="2"/>
  <c r="D372" i="2"/>
  <c r="D380" i="2"/>
  <c r="D388" i="2"/>
  <c r="D396" i="2"/>
  <c r="D404" i="2"/>
  <c r="D412" i="2"/>
  <c r="D420" i="2"/>
  <c r="D428" i="2"/>
  <c r="D436" i="2"/>
  <c r="D444" i="2"/>
  <c r="D452" i="2"/>
  <c r="D460" i="2"/>
  <c r="D468" i="2"/>
  <c r="D476" i="2"/>
  <c r="D484" i="2"/>
  <c r="D492" i="2"/>
  <c r="D500" i="2"/>
  <c r="C7" i="2"/>
  <c r="C15" i="2"/>
  <c r="C23" i="2"/>
  <c r="C31" i="2"/>
  <c r="C39" i="2"/>
  <c r="C47" i="2"/>
  <c r="C55" i="2"/>
  <c r="C63" i="2"/>
  <c r="C71" i="2"/>
  <c r="C79" i="2"/>
  <c r="C87" i="2"/>
  <c r="C95" i="2"/>
  <c r="C103" i="2"/>
  <c r="C111" i="2"/>
  <c r="C119" i="2"/>
  <c r="C127" i="2"/>
  <c r="C135" i="2"/>
  <c r="C143" i="2"/>
  <c r="C151" i="2"/>
  <c r="C159" i="2"/>
  <c r="D5" i="2"/>
  <c r="D13" i="2"/>
  <c r="D21" i="2"/>
  <c r="D29" i="2"/>
  <c r="D37" i="2"/>
  <c r="D45" i="2"/>
  <c r="D53" i="2"/>
  <c r="D61" i="2"/>
  <c r="D69" i="2"/>
  <c r="D77" i="2"/>
  <c r="D85" i="2"/>
  <c r="D93" i="2"/>
  <c r="D101" i="2"/>
  <c r="D109" i="2"/>
  <c r="D117" i="2"/>
  <c r="D125" i="2"/>
  <c r="D133" i="2"/>
  <c r="D141" i="2"/>
  <c r="D149" i="2"/>
  <c r="D157" i="2"/>
  <c r="D165" i="2"/>
  <c r="D173" i="2"/>
  <c r="D181" i="2"/>
  <c r="D189" i="2"/>
  <c r="D197" i="2"/>
  <c r="D205" i="2"/>
  <c r="D213" i="2"/>
  <c r="D221" i="2"/>
  <c r="D229" i="2"/>
  <c r="D237" i="2"/>
  <c r="D245" i="2"/>
  <c r="D253" i="2"/>
  <c r="D261" i="2"/>
  <c r="D269" i="2"/>
  <c r="D277" i="2"/>
  <c r="D285" i="2"/>
  <c r="D293" i="2"/>
  <c r="D301" i="2"/>
  <c r="D309" i="2"/>
  <c r="D317" i="2"/>
  <c r="D325" i="2"/>
  <c r="D333" i="2"/>
  <c r="D341" i="2"/>
  <c r="D349" i="2"/>
  <c r="D357" i="2"/>
  <c r="D365" i="2"/>
  <c r="D373" i="2"/>
  <c r="D381" i="2"/>
  <c r="D389" i="2"/>
  <c r="D397" i="2"/>
  <c r="D405" i="2"/>
  <c r="D413" i="2"/>
  <c r="D421" i="2"/>
  <c r="D429" i="2"/>
  <c r="D437" i="2"/>
  <c r="D445" i="2"/>
  <c r="D453" i="2"/>
  <c r="D461" i="2"/>
  <c r="D469" i="2"/>
  <c r="D477" i="2"/>
  <c r="D485" i="2"/>
  <c r="D493" i="2"/>
  <c r="D501" i="2"/>
  <c r="C8" i="2"/>
  <c r="C16" i="2"/>
  <c r="C24" i="2"/>
  <c r="C32" i="2"/>
  <c r="C40" i="2"/>
  <c r="C48" i="2"/>
  <c r="C56" i="2"/>
  <c r="C64" i="2"/>
  <c r="C72" i="2"/>
  <c r="C80" i="2"/>
  <c r="C88" i="2"/>
  <c r="C96" i="2"/>
  <c r="C104" i="2"/>
  <c r="C112" i="2"/>
  <c r="C120" i="2"/>
  <c r="C128" i="2"/>
  <c r="C136" i="2"/>
  <c r="C144" i="2"/>
  <c r="C152" i="2"/>
  <c r="C160" i="2"/>
  <c r="C168" i="2"/>
  <c r="C176" i="2"/>
  <c r="D7" i="2"/>
  <c r="D15" i="2"/>
  <c r="D23" i="2"/>
  <c r="D31" i="2"/>
  <c r="D39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152" i="2"/>
  <c r="D160" i="2"/>
  <c r="D168" i="2"/>
  <c r="D176" i="2"/>
  <c r="D184" i="2"/>
  <c r="D192" i="2"/>
  <c r="D200" i="2"/>
  <c r="D208" i="2"/>
  <c r="D216" i="2"/>
  <c r="D224" i="2"/>
  <c r="D232" i="2"/>
  <c r="D240" i="2"/>
  <c r="D248" i="2"/>
  <c r="D256" i="2"/>
  <c r="D264" i="2"/>
  <c r="D272" i="2"/>
  <c r="D280" i="2"/>
  <c r="D288" i="2"/>
  <c r="D296" i="2"/>
  <c r="D304" i="2"/>
  <c r="D312" i="2"/>
  <c r="D320" i="2"/>
  <c r="D328" i="2"/>
  <c r="D336" i="2"/>
  <c r="D344" i="2"/>
  <c r="D6" i="2"/>
  <c r="D26" i="2"/>
  <c r="D49" i="2"/>
  <c r="D70" i="2"/>
  <c r="D90" i="2"/>
  <c r="D113" i="2"/>
  <c r="D134" i="2"/>
  <c r="D154" i="2"/>
  <c r="D170" i="2"/>
  <c r="D186" i="2"/>
  <c r="D202" i="2"/>
  <c r="D218" i="2"/>
  <c r="D234" i="2"/>
  <c r="D250" i="2"/>
  <c r="D266" i="2"/>
  <c r="D282" i="2"/>
  <c r="D298" i="2"/>
  <c r="D314" i="2"/>
  <c r="D327" i="2"/>
  <c r="D339" i="2"/>
  <c r="D352" i="2"/>
  <c r="D362" i="2"/>
  <c r="D374" i="2"/>
  <c r="D384" i="2"/>
  <c r="D394" i="2"/>
  <c r="D406" i="2"/>
  <c r="D416" i="2"/>
  <c r="D426" i="2"/>
  <c r="D438" i="2"/>
  <c r="D448" i="2"/>
  <c r="D458" i="2"/>
  <c r="D470" i="2"/>
  <c r="D480" i="2"/>
  <c r="D490" i="2"/>
  <c r="D502" i="2"/>
  <c r="C11" i="2"/>
  <c r="C21" i="2"/>
  <c r="C33" i="2"/>
  <c r="C43" i="2"/>
  <c r="C53" i="2"/>
  <c r="C65" i="2"/>
  <c r="C75" i="2"/>
  <c r="C85" i="2"/>
  <c r="C97" i="2"/>
  <c r="C107" i="2"/>
  <c r="C117" i="2"/>
  <c r="C129" i="2"/>
  <c r="C139" i="2"/>
  <c r="C149" i="2"/>
  <c r="C161" i="2"/>
  <c r="C170" i="2"/>
  <c r="C179" i="2"/>
  <c r="C187" i="2"/>
  <c r="C195" i="2"/>
  <c r="C203" i="2"/>
  <c r="C211" i="2"/>
  <c r="C219" i="2"/>
  <c r="C227" i="2"/>
  <c r="C235" i="2"/>
  <c r="C243" i="2"/>
  <c r="C251" i="2"/>
  <c r="C259" i="2"/>
  <c r="C267" i="2"/>
  <c r="C275" i="2"/>
  <c r="C283" i="2"/>
  <c r="C291" i="2"/>
  <c r="C299" i="2"/>
  <c r="C307" i="2"/>
  <c r="C315" i="2"/>
  <c r="C323" i="2"/>
  <c r="C331" i="2"/>
  <c r="C339" i="2"/>
  <c r="C347" i="2"/>
  <c r="C355" i="2"/>
  <c r="C363" i="2"/>
  <c r="C371" i="2"/>
  <c r="C379" i="2"/>
  <c r="C387" i="2"/>
  <c r="C395" i="2"/>
  <c r="C403" i="2"/>
  <c r="C411" i="2"/>
  <c r="C419" i="2"/>
  <c r="C427" i="2"/>
  <c r="C435" i="2"/>
  <c r="C443" i="2"/>
  <c r="D9" i="2"/>
  <c r="D30" i="2"/>
  <c r="D50" i="2"/>
  <c r="D73" i="2"/>
  <c r="D94" i="2"/>
  <c r="D114" i="2"/>
  <c r="D137" i="2"/>
  <c r="D158" i="2"/>
  <c r="D174" i="2"/>
  <c r="D190" i="2"/>
  <c r="D206" i="2"/>
  <c r="D222" i="2"/>
  <c r="D238" i="2"/>
  <c r="D254" i="2"/>
  <c r="D270" i="2"/>
  <c r="D10" i="2"/>
  <c r="D33" i="2"/>
  <c r="D54" i="2"/>
  <c r="D74" i="2"/>
  <c r="D97" i="2"/>
  <c r="D118" i="2"/>
  <c r="D138" i="2"/>
  <c r="D159" i="2"/>
  <c r="D175" i="2"/>
  <c r="D191" i="2"/>
  <c r="D207" i="2"/>
  <c r="D223" i="2"/>
  <c r="D239" i="2"/>
  <c r="D255" i="2"/>
  <c r="D271" i="2"/>
  <c r="D287" i="2"/>
  <c r="D303" i="2"/>
  <c r="D318" i="2"/>
  <c r="D330" i="2"/>
  <c r="D343" i="2"/>
  <c r="D354" i="2"/>
  <c r="D366" i="2"/>
  <c r="D376" i="2"/>
  <c r="D386" i="2"/>
  <c r="D398" i="2"/>
  <c r="D408" i="2"/>
  <c r="D418" i="2"/>
  <c r="D430" i="2"/>
  <c r="D440" i="2"/>
  <c r="D450" i="2"/>
  <c r="D462" i="2"/>
  <c r="D472" i="2"/>
  <c r="D482" i="2"/>
  <c r="D494" i="2"/>
  <c r="C13" i="2"/>
  <c r="C25" i="2"/>
  <c r="C35" i="2"/>
  <c r="C45" i="2"/>
  <c r="C57" i="2"/>
  <c r="C67" i="2"/>
  <c r="C77" i="2"/>
  <c r="C89" i="2"/>
  <c r="C99" i="2"/>
  <c r="C109" i="2"/>
  <c r="C121" i="2"/>
  <c r="C131" i="2"/>
  <c r="C141" i="2"/>
  <c r="C153" i="2"/>
  <c r="C163" i="2"/>
  <c r="C172" i="2"/>
  <c r="C181" i="2"/>
  <c r="C189" i="2"/>
  <c r="C197" i="2"/>
  <c r="C205" i="2"/>
  <c r="C213" i="2"/>
  <c r="C221" i="2"/>
  <c r="C229" i="2"/>
  <c r="C237" i="2"/>
  <c r="C245" i="2"/>
  <c r="C253" i="2"/>
  <c r="C261" i="2"/>
  <c r="C269" i="2"/>
  <c r="C277" i="2"/>
  <c r="C285" i="2"/>
  <c r="C293" i="2"/>
  <c r="C301" i="2"/>
  <c r="C309" i="2"/>
  <c r="C317" i="2"/>
  <c r="C325" i="2"/>
  <c r="C333" i="2"/>
  <c r="C341" i="2"/>
  <c r="C349" i="2"/>
  <c r="C357" i="2"/>
  <c r="C365" i="2"/>
  <c r="D17" i="2"/>
  <c r="D38" i="2"/>
  <c r="D58" i="2"/>
  <c r="D81" i="2"/>
  <c r="D102" i="2"/>
  <c r="D122" i="2"/>
  <c r="D145" i="2"/>
  <c r="D162" i="2"/>
  <c r="D178" i="2"/>
  <c r="D194" i="2"/>
  <c r="D210" i="2"/>
  <c r="D18" i="2"/>
  <c r="D41" i="2"/>
  <c r="D62" i="2"/>
  <c r="D82" i="2"/>
  <c r="D105" i="2"/>
  <c r="D126" i="2"/>
  <c r="D146" i="2"/>
  <c r="D166" i="2"/>
  <c r="D182" i="2"/>
  <c r="D198" i="2"/>
  <c r="D14" i="2"/>
  <c r="D66" i="2"/>
  <c r="D129" i="2"/>
  <c r="D177" i="2"/>
  <c r="D215" i="2"/>
  <c r="D242" i="2"/>
  <c r="D265" i="2"/>
  <c r="D290" i="2"/>
  <c r="D311" i="2"/>
  <c r="D329" i="2"/>
  <c r="D346" i="2"/>
  <c r="D360" i="2"/>
  <c r="D375" i="2"/>
  <c r="D390" i="2"/>
  <c r="D402" i="2"/>
  <c r="D417" i="2"/>
  <c r="D432" i="2"/>
  <c r="D446" i="2"/>
  <c r="D459" i="2"/>
  <c r="D474" i="2"/>
  <c r="D488" i="2"/>
  <c r="D503" i="2"/>
  <c r="C17" i="2"/>
  <c r="C29" i="2"/>
  <c r="C44" i="2"/>
  <c r="C59" i="2"/>
  <c r="C73" i="2"/>
  <c r="C86" i="2"/>
  <c r="C101" i="2"/>
  <c r="C115" i="2"/>
  <c r="C130" i="2"/>
  <c r="C145" i="2"/>
  <c r="C157" i="2"/>
  <c r="C171" i="2"/>
  <c r="C183" i="2"/>
  <c r="C193" i="2"/>
  <c r="C204" i="2"/>
  <c r="C215" i="2"/>
  <c r="C225" i="2"/>
  <c r="C236" i="2"/>
  <c r="C247" i="2"/>
  <c r="C257" i="2"/>
  <c r="C268" i="2"/>
  <c r="C279" i="2"/>
  <c r="C289" i="2"/>
  <c r="C300" i="2"/>
  <c r="C311" i="2"/>
  <c r="C321" i="2"/>
  <c r="C332" i="2"/>
  <c r="C343" i="2"/>
  <c r="C353" i="2"/>
  <c r="C364" i="2"/>
  <c r="C374" i="2"/>
  <c r="C383" i="2"/>
  <c r="C392" i="2"/>
  <c r="C401" i="2"/>
  <c r="C410" i="2"/>
  <c r="C420" i="2"/>
  <c r="C429" i="2"/>
  <c r="C438" i="2"/>
  <c r="C447" i="2"/>
  <c r="C455" i="2"/>
  <c r="C463" i="2"/>
  <c r="C471" i="2"/>
  <c r="C479" i="2"/>
  <c r="C487" i="2"/>
  <c r="C495" i="2"/>
  <c r="C503" i="2"/>
  <c r="B10" i="2"/>
  <c r="B18" i="2"/>
  <c r="B26" i="2"/>
  <c r="B34" i="2"/>
  <c r="B42" i="2"/>
  <c r="B50" i="2"/>
  <c r="B58" i="2"/>
  <c r="D22" i="2"/>
  <c r="D78" i="2"/>
  <c r="D130" i="2"/>
  <c r="D183" i="2"/>
  <c r="D217" i="2"/>
  <c r="D246" i="2"/>
  <c r="D273" i="2"/>
  <c r="D294" i="2"/>
  <c r="D313" i="2"/>
  <c r="D331" i="2"/>
  <c r="D347" i="2"/>
  <c r="D361" i="2"/>
  <c r="D377" i="2"/>
  <c r="D391" i="2"/>
  <c r="D403" i="2"/>
  <c r="D419" i="2"/>
  <c r="D433" i="2"/>
  <c r="D447" i="2"/>
  <c r="D463" i="2"/>
  <c r="D475" i="2"/>
  <c r="D489" i="2"/>
  <c r="C4" i="2"/>
  <c r="C18" i="2"/>
  <c r="C30" i="2"/>
  <c r="C46" i="2"/>
  <c r="C60" i="2"/>
  <c r="C74" i="2"/>
  <c r="C90" i="2"/>
  <c r="C102" i="2"/>
  <c r="C116" i="2"/>
  <c r="C132" i="2"/>
  <c r="C146" i="2"/>
  <c r="C158" i="2"/>
  <c r="C173" i="2"/>
  <c r="C184" i="2"/>
  <c r="C194" i="2"/>
  <c r="C206" i="2"/>
  <c r="C216" i="2"/>
  <c r="C226" i="2"/>
  <c r="C238" i="2"/>
  <c r="C248" i="2"/>
  <c r="C258" i="2"/>
  <c r="C270" i="2"/>
  <c r="C280" i="2"/>
  <c r="C290" i="2"/>
  <c r="C302" i="2"/>
  <c r="C312" i="2"/>
  <c r="C322" i="2"/>
  <c r="C334" i="2"/>
  <c r="C344" i="2"/>
  <c r="C354" i="2"/>
  <c r="C366" i="2"/>
  <c r="C375" i="2"/>
  <c r="C384" i="2"/>
  <c r="C393" i="2"/>
  <c r="C402" i="2"/>
  <c r="C412" i="2"/>
  <c r="C421" i="2"/>
  <c r="C430" i="2"/>
  <c r="C439" i="2"/>
  <c r="C448" i="2"/>
  <c r="C456" i="2"/>
  <c r="C464" i="2"/>
  <c r="C472" i="2"/>
  <c r="C480" i="2"/>
  <c r="C488" i="2"/>
  <c r="C496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D25" i="2"/>
  <c r="D86" i="2"/>
  <c r="D142" i="2"/>
  <c r="D185" i="2"/>
  <c r="D225" i="2"/>
  <c r="D247" i="2"/>
  <c r="D274" i="2"/>
  <c r="D295" i="2"/>
  <c r="D315" i="2"/>
  <c r="D334" i="2"/>
  <c r="D350" i="2"/>
  <c r="D363" i="2"/>
  <c r="D378" i="2"/>
  <c r="D392" i="2"/>
  <c r="D407" i="2"/>
  <c r="D422" i="2"/>
  <c r="D434" i="2"/>
  <c r="D449" i="2"/>
  <c r="D464" i="2"/>
  <c r="D478" i="2"/>
  <c r="D491" i="2"/>
  <c r="C5" i="2"/>
  <c r="C19" i="2"/>
  <c r="C34" i="2"/>
  <c r="C49" i="2"/>
  <c r="C61" i="2"/>
  <c r="C76" i="2"/>
  <c r="C91" i="2"/>
  <c r="C105" i="2"/>
  <c r="C118" i="2"/>
  <c r="C133" i="2"/>
  <c r="C147" i="2"/>
  <c r="C162" i="2"/>
  <c r="C174" i="2"/>
  <c r="C185" i="2"/>
  <c r="C196" i="2"/>
  <c r="C207" i="2"/>
  <c r="C217" i="2"/>
  <c r="C228" i="2"/>
  <c r="C239" i="2"/>
  <c r="C249" i="2"/>
  <c r="C260" i="2"/>
  <c r="C271" i="2"/>
  <c r="C281" i="2"/>
  <c r="C292" i="2"/>
  <c r="C303" i="2"/>
  <c r="C313" i="2"/>
  <c r="C324" i="2"/>
  <c r="C335" i="2"/>
  <c r="C345" i="2"/>
  <c r="C356" i="2"/>
  <c r="C367" i="2"/>
  <c r="C376" i="2"/>
  <c r="C385" i="2"/>
  <c r="C394" i="2"/>
  <c r="C404" i="2"/>
  <c r="C413" i="2"/>
  <c r="C422" i="2"/>
  <c r="C431" i="2"/>
  <c r="C440" i="2"/>
  <c r="C449" i="2"/>
  <c r="C457" i="2"/>
  <c r="C465" i="2"/>
  <c r="C473" i="2"/>
  <c r="C481" i="2"/>
  <c r="C489" i="2"/>
  <c r="C497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D34" i="2"/>
  <c r="D42" i="2"/>
  <c r="D98" i="2"/>
  <c r="D153" i="2"/>
  <c r="D199" i="2"/>
  <c r="D230" i="2"/>
  <c r="D257" i="2"/>
  <c r="D279" i="2"/>
  <c r="D302" i="2"/>
  <c r="D321" i="2"/>
  <c r="D337" i="2"/>
  <c r="D353" i="2"/>
  <c r="D368" i="2"/>
  <c r="D382" i="2"/>
  <c r="D395" i="2"/>
  <c r="D410" i="2"/>
  <c r="D424" i="2"/>
  <c r="D439" i="2"/>
  <c r="D454" i="2"/>
  <c r="D466" i="2"/>
  <c r="D481" i="2"/>
  <c r="D496" i="2"/>
  <c r="C9" i="2"/>
  <c r="C22" i="2"/>
  <c r="C37" i="2"/>
  <c r="C51" i="2"/>
  <c r="C66" i="2"/>
  <c r="C81" i="2"/>
  <c r="C93" i="2"/>
  <c r="C108" i="2"/>
  <c r="C123" i="2"/>
  <c r="C137" i="2"/>
  <c r="C150" i="2"/>
  <c r="C165" i="2"/>
  <c r="D46" i="2"/>
  <c r="D106" i="2"/>
  <c r="D161" i="2"/>
  <c r="D201" i="2"/>
  <c r="D231" i="2"/>
  <c r="D258" i="2"/>
  <c r="D281" i="2"/>
  <c r="D305" i="2"/>
  <c r="D322" i="2"/>
  <c r="D338" i="2"/>
  <c r="D355" i="2"/>
  <c r="D369" i="2"/>
  <c r="D383" i="2"/>
  <c r="D399" i="2"/>
  <c r="D411" i="2"/>
  <c r="D425" i="2"/>
  <c r="D441" i="2"/>
  <c r="D455" i="2"/>
  <c r="D467" i="2"/>
  <c r="D483" i="2"/>
  <c r="D497" i="2"/>
  <c r="C10" i="2"/>
  <c r="C26" i="2"/>
  <c r="C38" i="2"/>
  <c r="C52" i="2"/>
  <c r="C68" i="2"/>
  <c r="C82" i="2"/>
  <c r="C94" i="2"/>
  <c r="C110" i="2"/>
  <c r="C124" i="2"/>
  <c r="C138" i="2"/>
  <c r="C154" i="2"/>
  <c r="C166" i="2"/>
  <c r="C178" i="2"/>
  <c r="C190" i="2"/>
  <c r="C200" i="2"/>
  <c r="C210" i="2"/>
  <c r="C222" i="2"/>
  <c r="C232" i="2"/>
  <c r="C242" i="2"/>
  <c r="C254" i="2"/>
  <c r="C264" i="2"/>
  <c r="C274" i="2"/>
  <c r="C286" i="2"/>
  <c r="C296" i="2"/>
  <c r="C306" i="2"/>
  <c r="C318" i="2"/>
  <c r="C328" i="2"/>
  <c r="C338" i="2"/>
  <c r="C350" i="2"/>
  <c r="C360" i="2"/>
  <c r="C370" i="2"/>
  <c r="C380" i="2"/>
  <c r="C389" i="2"/>
  <c r="C398" i="2"/>
  <c r="C407" i="2"/>
  <c r="C416" i="2"/>
  <c r="C425" i="2"/>
  <c r="C434" i="2"/>
  <c r="C444" i="2"/>
  <c r="C452" i="2"/>
  <c r="C460" i="2"/>
  <c r="C468" i="2"/>
  <c r="C476" i="2"/>
  <c r="C484" i="2"/>
  <c r="C492" i="2"/>
  <c r="C500" i="2"/>
  <c r="B7" i="2"/>
  <c r="B15" i="2"/>
  <c r="B23" i="2"/>
  <c r="B31" i="2"/>
  <c r="B39" i="2"/>
  <c r="B47" i="2"/>
  <c r="B55" i="2"/>
  <c r="B63" i="2"/>
  <c r="B71" i="2"/>
  <c r="B79" i="2"/>
  <c r="B87" i="2"/>
  <c r="D57" i="2"/>
  <c r="D193" i="2"/>
  <c r="D263" i="2"/>
  <c r="D323" i="2"/>
  <c r="D367" i="2"/>
  <c r="D401" i="2"/>
  <c r="D442" i="2"/>
  <c r="D479" i="2"/>
  <c r="C14" i="2"/>
  <c r="C54" i="2"/>
  <c r="C92" i="2"/>
  <c r="C126" i="2"/>
  <c r="C167" i="2"/>
  <c r="C191" i="2"/>
  <c r="C212" i="2"/>
  <c r="C233" i="2"/>
  <c r="C255" i="2"/>
  <c r="C276" i="2"/>
  <c r="C297" i="2"/>
  <c r="C319" i="2"/>
  <c r="C340" i="2"/>
  <c r="C361" i="2"/>
  <c r="C381" i="2"/>
  <c r="C399" i="2"/>
  <c r="C417" i="2"/>
  <c r="C436" i="2"/>
  <c r="C453" i="2"/>
  <c r="C469" i="2"/>
  <c r="C485" i="2"/>
  <c r="C501" i="2"/>
  <c r="B16" i="2"/>
  <c r="B32" i="2"/>
  <c r="B48" i="2"/>
  <c r="B64" i="2"/>
  <c r="B77" i="2"/>
  <c r="B89" i="2"/>
  <c r="B101" i="2"/>
  <c r="B111" i="2"/>
  <c r="B121" i="2"/>
  <c r="B133" i="2"/>
  <c r="B143" i="2"/>
  <c r="B152" i="2"/>
  <c r="B161" i="2"/>
  <c r="B170" i="2"/>
  <c r="B179" i="2"/>
  <c r="B189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390" i="2"/>
  <c r="B398" i="2"/>
  <c r="B406" i="2"/>
  <c r="B414" i="2"/>
  <c r="B422" i="2"/>
  <c r="B430" i="2"/>
  <c r="B438" i="2"/>
  <c r="B446" i="2"/>
  <c r="B454" i="2"/>
  <c r="B462" i="2"/>
  <c r="B470" i="2"/>
  <c r="B478" i="2"/>
  <c r="B486" i="2"/>
  <c r="B494" i="2"/>
  <c r="B502" i="2"/>
  <c r="D65" i="2"/>
  <c r="D209" i="2"/>
  <c r="D278" i="2"/>
  <c r="D326" i="2"/>
  <c r="D370" i="2"/>
  <c r="D409" i="2"/>
  <c r="D443" i="2"/>
  <c r="D486" i="2"/>
  <c r="C20" i="2"/>
  <c r="C58" i="2"/>
  <c r="C98" i="2"/>
  <c r="C134" i="2"/>
  <c r="C169" i="2"/>
  <c r="C192" i="2"/>
  <c r="C214" i="2"/>
  <c r="C234" i="2"/>
  <c r="C256" i="2"/>
  <c r="C278" i="2"/>
  <c r="C298" i="2"/>
  <c r="C320" i="2"/>
  <c r="C342" i="2"/>
  <c r="C362" i="2"/>
  <c r="C382" i="2"/>
  <c r="C400" i="2"/>
  <c r="C418" i="2"/>
  <c r="C437" i="2"/>
  <c r="C454" i="2"/>
  <c r="C470" i="2"/>
  <c r="C486" i="2"/>
  <c r="C502" i="2"/>
  <c r="B17" i="2"/>
  <c r="B33" i="2"/>
  <c r="B49" i="2"/>
  <c r="B65" i="2"/>
  <c r="B78" i="2"/>
  <c r="B90" i="2"/>
  <c r="B102" i="2"/>
  <c r="B112" i="2"/>
  <c r="B122" i="2"/>
  <c r="B134" i="2"/>
  <c r="B144" i="2"/>
  <c r="B153" i="2"/>
  <c r="B162" i="2"/>
  <c r="B171" i="2"/>
  <c r="B181" i="2"/>
  <c r="B190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311" i="2"/>
  <c r="B319" i="2"/>
  <c r="B327" i="2"/>
  <c r="D89" i="2"/>
  <c r="D214" i="2"/>
  <c r="D286" i="2"/>
  <c r="D335" i="2"/>
  <c r="D371" i="2"/>
  <c r="D414" i="2"/>
  <c r="D451" i="2"/>
  <c r="D487" i="2"/>
  <c r="C27" i="2"/>
  <c r="C62" i="2"/>
  <c r="C100" i="2"/>
  <c r="C140" i="2"/>
  <c r="C175" i="2"/>
  <c r="C198" i="2"/>
  <c r="C218" i="2"/>
  <c r="C240" i="2"/>
  <c r="C262" i="2"/>
  <c r="C282" i="2"/>
  <c r="C304" i="2"/>
  <c r="C326" i="2"/>
  <c r="C346" i="2"/>
  <c r="C368" i="2"/>
  <c r="C386" i="2"/>
  <c r="C405" i="2"/>
  <c r="C423" i="2"/>
  <c r="C441" i="2"/>
  <c r="C458" i="2"/>
  <c r="C474" i="2"/>
  <c r="C490" i="2"/>
  <c r="B5" i="2"/>
  <c r="B21" i="2"/>
  <c r="B37" i="2"/>
  <c r="B53" i="2"/>
  <c r="B66" i="2"/>
  <c r="B80" i="2"/>
  <c r="B93" i="2"/>
  <c r="B103" i="2"/>
  <c r="B113" i="2"/>
  <c r="B125" i="2"/>
  <c r="B135" i="2"/>
  <c r="B145" i="2"/>
  <c r="B154" i="2"/>
  <c r="B163" i="2"/>
  <c r="B173" i="2"/>
  <c r="B182" i="2"/>
  <c r="B191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384" i="2"/>
  <c r="B392" i="2"/>
  <c r="B400" i="2"/>
  <c r="B408" i="2"/>
  <c r="B416" i="2"/>
  <c r="B424" i="2"/>
  <c r="B432" i="2"/>
  <c r="B440" i="2"/>
  <c r="B448" i="2"/>
  <c r="B456" i="2"/>
  <c r="B464" i="2"/>
  <c r="B472" i="2"/>
  <c r="B480" i="2"/>
  <c r="B488" i="2"/>
  <c r="B496" i="2"/>
  <c r="D110" i="2"/>
  <c r="D226" i="2"/>
  <c r="D289" i="2"/>
  <c r="D342" i="2"/>
  <c r="D379" i="2"/>
  <c r="D415" i="2"/>
  <c r="D456" i="2"/>
  <c r="D495" i="2"/>
  <c r="C28" i="2"/>
  <c r="C69" i="2"/>
  <c r="C106" i="2"/>
  <c r="C142" i="2"/>
  <c r="C177" i="2"/>
  <c r="C199" i="2"/>
  <c r="C220" i="2"/>
  <c r="C241" i="2"/>
  <c r="C263" i="2"/>
  <c r="C284" i="2"/>
  <c r="C305" i="2"/>
  <c r="C327" i="2"/>
  <c r="C348" i="2"/>
  <c r="C369" i="2"/>
  <c r="C388" i="2"/>
  <c r="C406" i="2"/>
  <c r="C424" i="2"/>
  <c r="C442" i="2"/>
  <c r="C459" i="2"/>
  <c r="C475" i="2"/>
  <c r="C491" i="2"/>
  <c r="B6" i="2"/>
  <c r="B22" i="2"/>
  <c r="B38" i="2"/>
  <c r="B54" i="2"/>
  <c r="B69" i="2"/>
  <c r="B81" i="2"/>
  <c r="B94" i="2"/>
  <c r="B104" i="2"/>
  <c r="B114" i="2"/>
  <c r="B126" i="2"/>
  <c r="B136" i="2"/>
  <c r="B146" i="2"/>
  <c r="B155" i="2"/>
  <c r="B165" i="2"/>
  <c r="B174" i="2"/>
  <c r="D121" i="2"/>
  <c r="D233" i="2"/>
  <c r="D297" i="2"/>
  <c r="D345" i="2"/>
  <c r="D385" i="2"/>
  <c r="D423" i="2"/>
  <c r="D457" i="2"/>
  <c r="D498" i="2"/>
  <c r="C36" i="2"/>
  <c r="C70" i="2"/>
  <c r="C113" i="2"/>
  <c r="C148" i="2"/>
  <c r="C180" i="2"/>
  <c r="C201" i="2"/>
  <c r="C223" i="2"/>
  <c r="C244" i="2"/>
  <c r="C265" i="2"/>
  <c r="C287" i="2"/>
  <c r="C308" i="2"/>
  <c r="C329" i="2"/>
  <c r="C351" i="2"/>
  <c r="C372" i="2"/>
  <c r="C390" i="2"/>
  <c r="C408" i="2"/>
  <c r="C426" i="2"/>
  <c r="C445" i="2"/>
  <c r="C461" i="2"/>
  <c r="C477" i="2"/>
  <c r="C493" i="2"/>
  <c r="B8" i="2"/>
  <c r="B24" i="2"/>
  <c r="B40" i="2"/>
  <c r="B56" i="2"/>
  <c r="B70" i="2"/>
  <c r="B82" i="2"/>
  <c r="B95" i="2"/>
  <c r="B105" i="2"/>
  <c r="B117" i="2"/>
  <c r="B127" i="2"/>
  <c r="B137" i="2"/>
  <c r="B147" i="2"/>
  <c r="B157" i="2"/>
  <c r="B166" i="2"/>
  <c r="B175" i="2"/>
  <c r="B184" i="2"/>
  <c r="B193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346" i="2"/>
  <c r="B354" i="2"/>
  <c r="B362" i="2"/>
  <c r="B370" i="2"/>
  <c r="B378" i="2"/>
  <c r="B386" i="2"/>
  <c r="B394" i="2"/>
  <c r="B402" i="2"/>
  <c r="B410" i="2"/>
  <c r="B418" i="2"/>
  <c r="B426" i="2"/>
  <c r="B434" i="2"/>
  <c r="B442" i="2"/>
  <c r="B450" i="2"/>
  <c r="B458" i="2"/>
  <c r="B466" i="2"/>
  <c r="B474" i="2"/>
  <c r="B482" i="2"/>
  <c r="B490" i="2"/>
  <c r="B498" i="2"/>
  <c r="B419" i="2"/>
  <c r="D150" i="2"/>
  <c r="D241" i="2"/>
  <c r="D306" i="2"/>
  <c r="D351" i="2"/>
  <c r="D387" i="2"/>
  <c r="D427" i="2"/>
  <c r="D465" i="2"/>
  <c r="D499" i="2"/>
  <c r="C41" i="2"/>
  <c r="C78" i="2"/>
  <c r="C114" i="2"/>
  <c r="C155" i="2"/>
  <c r="C182" i="2"/>
  <c r="C202" i="2"/>
  <c r="C224" i="2"/>
  <c r="C246" i="2"/>
  <c r="C266" i="2"/>
  <c r="C288" i="2"/>
  <c r="C310" i="2"/>
  <c r="C330" i="2"/>
  <c r="C352" i="2"/>
  <c r="C373" i="2"/>
  <c r="C391" i="2"/>
  <c r="C409" i="2"/>
  <c r="C428" i="2"/>
  <c r="C446" i="2"/>
  <c r="C462" i="2"/>
  <c r="C478" i="2"/>
  <c r="C494" i="2"/>
  <c r="B9" i="2"/>
  <c r="B25" i="2"/>
  <c r="B41" i="2"/>
  <c r="B57" i="2"/>
  <c r="B72" i="2"/>
  <c r="B85" i="2"/>
  <c r="B96" i="2"/>
  <c r="B106" i="2"/>
  <c r="B118" i="2"/>
  <c r="B128" i="2"/>
  <c r="B138" i="2"/>
  <c r="B149" i="2"/>
  <c r="B158" i="2"/>
  <c r="B167" i="2"/>
  <c r="B176" i="2"/>
  <c r="B185" i="2"/>
  <c r="B194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387" i="2"/>
  <c r="B395" i="2"/>
  <c r="B403" i="2"/>
  <c r="B411" i="2"/>
  <c r="B492" i="2"/>
  <c r="B479" i="2"/>
  <c r="B467" i="2"/>
  <c r="B453" i="2"/>
  <c r="B441" i="2"/>
  <c r="B428" i="2"/>
  <c r="B413" i="2"/>
  <c r="B397" i="2"/>
  <c r="B381" i="2"/>
  <c r="B365" i="2"/>
  <c r="B349" i="2"/>
  <c r="B333" i="2"/>
  <c r="B313" i="2"/>
  <c r="B292" i="2"/>
  <c r="B269" i="2"/>
  <c r="B249" i="2"/>
  <c r="B228" i="2"/>
  <c r="B205" i="2"/>
  <c r="B183" i="2"/>
  <c r="B150" i="2"/>
  <c r="B109" i="2"/>
  <c r="B61" i="2"/>
  <c r="C498" i="2"/>
  <c r="C432" i="2"/>
  <c r="C358" i="2"/>
  <c r="C272" i="2"/>
  <c r="C186" i="2"/>
  <c r="C42" i="2"/>
  <c r="D393" i="2"/>
  <c r="D167" i="2"/>
  <c r="H3" i="2" l="1"/>
  <c r="I3" i="2"/>
  <c r="J3" i="2"/>
  <c r="E3" i="2"/>
  <c r="G3" i="2"/>
  <c r="F3" i="2"/>
  <c r="D3" i="2"/>
  <c r="C3" i="2"/>
  <c r="N3" i="2" s="1" a="1"/>
  <c r="B3" i="2"/>
  <c r="N3" i="2" l="1"/>
  <c r="AR6" i="2"/>
  <c r="AS6" i="2"/>
  <c r="AR9" i="2"/>
  <c r="AT11" i="2"/>
  <c r="AS14" i="2"/>
  <c r="AR17" i="2"/>
  <c r="AT19" i="2"/>
  <c r="AS22" i="2"/>
  <c r="AR25" i="2"/>
  <c r="AT27" i="2"/>
  <c r="AS30" i="2"/>
  <c r="AR33" i="2"/>
  <c r="AT35" i="2"/>
  <c r="AS38" i="2"/>
  <c r="AR41" i="2"/>
  <c r="AT43" i="2"/>
  <c r="AS46" i="2"/>
  <c r="AR49" i="2"/>
  <c r="AT51" i="2"/>
  <c r="AS54" i="2"/>
  <c r="AR57" i="2"/>
  <c r="AT59" i="2"/>
  <c r="AS62" i="2"/>
  <c r="AR65" i="2"/>
  <c r="AT67" i="2"/>
  <c r="AS70" i="2"/>
  <c r="AR73" i="2"/>
  <c r="AT75" i="2"/>
  <c r="AQ10" i="2"/>
  <c r="AQ18" i="2"/>
  <c r="AQ26" i="2"/>
  <c r="AQ34" i="2"/>
  <c r="AQ42" i="2"/>
  <c r="AQ50" i="2"/>
  <c r="AQ58" i="2"/>
  <c r="AQ66" i="2"/>
  <c r="AQ74" i="2"/>
  <c r="AF5" i="2"/>
  <c r="AH7" i="2"/>
  <c r="AG10" i="2"/>
  <c r="AF13" i="2"/>
  <c r="AH15" i="2"/>
  <c r="AG18" i="2"/>
  <c r="AF21" i="2"/>
  <c r="AH23" i="2"/>
  <c r="AG26" i="2"/>
  <c r="AF29" i="2"/>
  <c r="AH31" i="2"/>
  <c r="AR5" i="2"/>
  <c r="AS8" i="2"/>
  <c r="AS11" i="2"/>
  <c r="AT14" i="2"/>
  <c r="AT17" i="2"/>
  <c r="AT20" i="2"/>
  <c r="AT23" i="2"/>
  <c r="AT5" i="2"/>
  <c r="AS9" i="2"/>
  <c r="AS12" i="2"/>
  <c r="AS15" i="2"/>
  <c r="AS18" i="2"/>
  <c r="AS21" i="2"/>
  <c r="AS24" i="2"/>
  <c r="AS27" i="2"/>
  <c r="AT30" i="2"/>
  <c r="AT33" i="2"/>
  <c r="AT36" i="2"/>
  <c r="AT39" i="2"/>
  <c r="AT42" i="2"/>
  <c r="AT45" i="2"/>
  <c r="AT48" i="2"/>
  <c r="AR52" i="2"/>
  <c r="AR55" i="2"/>
  <c r="AR58" i="2"/>
  <c r="AR61" i="2"/>
  <c r="AT6" i="2"/>
  <c r="AR4" i="2"/>
  <c r="AS7" i="2"/>
  <c r="AS10" i="2"/>
  <c r="AS13" i="2"/>
  <c r="AS16" i="2"/>
  <c r="AS19" i="2"/>
  <c r="AT22" i="2"/>
  <c r="AT25" i="2"/>
  <c r="AT28" i="2"/>
  <c r="AT31" i="2"/>
  <c r="AT34" i="2"/>
  <c r="AT37" i="2"/>
  <c r="AT40" i="2"/>
  <c r="AR44" i="2"/>
  <c r="AR47" i="2"/>
  <c r="AR50" i="2"/>
  <c r="AR53" i="2"/>
  <c r="AR56" i="2"/>
  <c r="AR59" i="2"/>
  <c r="AR62" i="2"/>
  <c r="AS65" i="2"/>
  <c r="AS68" i="2"/>
  <c r="AS71" i="2"/>
  <c r="AS74" i="2"/>
  <c r="AS77" i="2"/>
  <c r="AQ8" i="2"/>
  <c r="AQ17" i="2"/>
  <c r="AQ27" i="2"/>
  <c r="AQ36" i="2"/>
  <c r="AQ45" i="2"/>
  <c r="AQ54" i="2"/>
  <c r="AQ63" i="2"/>
  <c r="AQ72" i="2"/>
  <c r="AH4" i="2"/>
  <c r="AF8" i="2"/>
  <c r="AF11" i="2"/>
  <c r="AF14" i="2"/>
  <c r="AF17" i="2"/>
  <c r="AF20" i="2"/>
  <c r="AF23" i="2"/>
  <c r="AF26" i="2"/>
  <c r="AG29" i="2"/>
  <c r="AG32" i="2"/>
  <c r="AF35" i="2"/>
  <c r="AH37" i="2"/>
  <c r="AG40" i="2"/>
  <c r="AF43" i="2"/>
  <c r="AH45" i="2"/>
  <c r="AG48" i="2"/>
  <c r="AF51" i="2"/>
  <c r="AH53" i="2"/>
  <c r="AG56" i="2"/>
  <c r="AF59" i="2"/>
  <c r="AH61" i="2"/>
  <c r="AG64" i="2"/>
  <c r="AF67" i="2"/>
  <c r="AH69" i="2"/>
  <c r="AG72" i="2"/>
  <c r="AS4" i="2"/>
  <c r="AT7" i="2"/>
  <c r="AT10" i="2"/>
  <c r="AT13" i="2"/>
  <c r="AT16" i="2"/>
  <c r="AR20" i="2"/>
  <c r="AR23" i="2"/>
  <c r="AR26" i="2"/>
  <c r="AR29" i="2"/>
  <c r="AR32" i="2"/>
  <c r="AR35" i="2"/>
  <c r="AR38" i="2"/>
  <c r="AS41" i="2"/>
  <c r="AS44" i="2"/>
  <c r="AS47" i="2"/>
  <c r="AS50" i="2"/>
  <c r="AS53" i="2"/>
  <c r="AS56" i="2"/>
  <c r="AS59" i="2"/>
  <c r="AT62" i="2"/>
  <c r="AT65" i="2"/>
  <c r="AT68" i="2"/>
  <c r="AT71" i="2"/>
  <c r="AT74" i="2"/>
  <c r="AT77" i="2"/>
  <c r="AQ9" i="2"/>
  <c r="AQ19" i="2"/>
  <c r="AQ28" i="2"/>
  <c r="AQ37" i="2"/>
  <c r="AQ46" i="2"/>
  <c r="AQ55" i="2"/>
  <c r="AQ64" i="2"/>
  <c r="AQ73" i="2"/>
  <c r="AG5" i="2"/>
  <c r="AG8" i="2"/>
  <c r="AG11" i="2"/>
  <c r="AG14" i="2"/>
  <c r="AG17" i="2"/>
  <c r="AG20" i="2"/>
  <c r="AG23" i="2"/>
  <c r="AH26" i="2"/>
  <c r="AH29" i="2"/>
  <c r="AH32" i="2"/>
  <c r="AG35" i="2"/>
  <c r="AF38" i="2"/>
  <c r="AH40" i="2"/>
  <c r="AG43" i="2"/>
  <c r="AF46" i="2"/>
  <c r="AT4" i="2"/>
  <c r="AR8" i="2"/>
  <c r="AR11" i="2"/>
  <c r="AR14" i="2"/>
  <c r="AS17" i="2"/>
  <c r="AS20" i="2"/>
  <c r="AS23" i="2"/>
  <c r="AS26" i="2"/>
  <c r="AS29" i="2"/>
  <c r="AS32" i="2"/>
  <c r="AS35" i="2"/>
  <c r="AT38" i="2"/>
  <c r="AT41" i="2"/>
  <c r="AT44" i="2"/>
  <c r="AT47" i="2"/>
  <c r="AT50" i="2"/>
  <c r="AT53" i="2"/>
  <c r="AT56" i="2"/>
  <c r="AR60" i="2"/>
  <c r="AR63" i="2"/>
  <c r="AR66" i="2"/>
  <c r="AR69" i="2"/>
  <c r="AR72" i="2"/>
  <c r="AR75" i="2"/>
  <c r="AQ11" i="2"/>
  <c r="AQ20" i="2"/>
  <c r="AQ29" i="2"/>
  <c r="AQ38" i="2"/>
  <c r="AQ47" i="2"/>
  <c r="AQ56" i="2"/>
  <c r="AQ65" i="2"/>
  <c r="AQ75" i="2"/>
  <c r="AH5" i="2"/>
  <c r="AH8" i="2"/>
  <c r="AH11" i="2"/>
  <c r="AH14" i="2"/>
  <c r="AH17" i="2"/>
  <c r="AH20" i="2"/>
  <c r="AF24" i="2"/>
  <c r="AF27" i="2"/>
  <c r="AF30" i="2"/>
  <c r="AF33" i="2"/>
  <c r="AH35" i="2"/>
  <c r="AG38" i="2"/>
  <c r="AF41" i="2"/>
  <c r="AH43" i="2"/>
  <c r="AG46" i="2"/>
  <c r="AF49" i="2"/>
  <c r="AH51" i="2"/>
  <c r="AG54" i="2"/>
  <c r="AF57" i="2"/>
  <c r="AH59" i="2"/>
  <c r="AG62" i="2"/>
  <c r="AF65" i="2"/>
  <c r="AH67" i="2"/>
  <c r="AG70" i="2"/>
  <c r="AF73" i="2"/>
  <c r="AT8" i="2"/>
  <c r="AR16" i="2"/>
  <c r="AT24" i="2"/>
  <c r="AR31" i="2"/>
  <c r="AR37" i="2"/>
  <c r="AR43" i="2"/>
  <c r="AS49" i="2"/>
  <c r="AS55" i="2"/>
  <c r="AS61" i="2"/>
  <c r="AT66" i="2"/>
  <c r="AR71" i="2"/>
  <c r="AS76" i="2"/>
  <c r="AQ12" i="2"/>
  <c r="AQ24" i="2"/>
  <c r="AQ40" i="2"/>
  <c r="AQ53" i="2"/>
  <c r="AQ69" i="2"/>
  <c r="AF6" i="2"/>
  <c r="AF10" i="2"/>
  <c r="AG15" i="2"/>
  <c r="AH19" i="2"/>
  <c r="AF25" i="2"/>
  <c r="AG30" i="2"/>
  <c r="AG34" i="2"/>
  <c r="AF39" i="2"/>
  <c r="AH42" i="2"/>
  <c r="AG47" i="2"/>
  <c r="AH50" i="2"/>
  <c r="AH54" i="2"/>
  <c r="AF58" i="2"/>
  <c r="AG61" i="2"/>
  <c r="AG65" i="2"/>
  <c r="AH68" i="2"/>
  <c r="AF72" i="2"/>
  <c r="AG75" i="2"/>
  <c r="AE9" i="2"/>
  <c r="AE17" i="2"/>
  <c r="AE25" i="2"/>
  <c r="AE33" i="2"/>
  <c r="AE41" i="2"/>
  <c r="AE49" i="2"/>
  <c r="AE57" i="2"/>
  <c r="AE65" i="2"/>
  <c r="AE73" i="2"/>
  <c r="V4" i="2"/>
  <c r="U7" i="2"/>
  <c r="T10" i="2"/>
  <c r="V12" i="2"/>
  <c r="U15" i="2"/>
  <c r="T18" i="2"/>
  <c r="V20" i="2"/>
  <c r="U23" i="2"/>
  <c r="T26" i="2"/>
  <c r="V28" i="2"/>
  <c r="U31" i="2"/>
  <c r="T34" i="2"/>
  <c r="V36" i="2"/>
  <c r="U39" i="2"/>
  <c r="T42" i="2"/>
  <c r="V44" i="2"/>
  <c r="U47" i="2"/>
  <c r="T50" i="2"/>
  <c r="V52" i="2"/>
  <c r="U55" i="2"/>
  <c r="T58" i="2"/>
  <c r="V60" i="2"/>
  <c r="U63" i="2"/>
  <c r="AT9" i="2"/>
  <c r="AR18" i="2"/>
  <c r="AS25" i="2"/>
  <c r="AS31" i="2"/>
  <c r="AS37" i="2"/>
  <c r="AS43" i="2"/>
  <c r="AT49" i="2"/>
  <c r="AT55" i="2"/>
  <c r="AT61" i="2"/>
  <c r="AR67" i="2"/>
  <c r="AS72" i="2"/>
  <c r="AT76" i="2"/>
  <c r="AQ13" i="2"/>
  <c r="AQ25" i="2"/>
  <c r="AQ41" i="2"/>
  <c r="AQ57" i="2"/>
  <c r="AQ70" i="2"/>
  <c r="AG6" i="2"/>
  <c r="AH10" i="2"/>
  <c r="AF16" i="2"/>
  <c r="AG21" i="2"/>
  <c r="AG25" i="2"/>
  <c r="AH30" i="2"/>
  <c r="AH34" i="2"/>
  <c r="AG39" i="2"/>
  <c r="AF44" i="2"/>
  <c r="AH47" i="2"/>
  <c r="AG51" i="2"/>
  <c r="AF55" i="2"/>
  <c r="AG58" i="2"/>
  <c r="AF62" i="2"/>
  <c r="AH65" i="2"/>
  <c r="AF69" i="2"/>
  <c r="AH72" i="2"/>
  <c r="AH75" i="2"/>
  <c r="AE10" i="2"/>
  <c r="AE18" i="2"/>
  <c r="AE26" i="2"/>
  <c r="AE34" i="2"/>
  <c r="AE42" i="2"/>
  <c r="AE50" i="2"/>
  <c r="AE58" i="2"/>
  <c r="AE66" i="2"/>
  <c r="AE74" i="2"/>
  <c r="T5" i="2"/>
  <c r="V7" i="2"/>
  <c r="U10" i="2"/>
  <c r="T13" i="2"/>
  <c r="V15" i="2"/>
  <c r="U18" i="2"/>
  <c r="T21" i="2"/>
  <c r="V23" i="2"/>
  <c r="U26" i="2"/>
  <c r="T29" i="2"/>
  <c r="V31" i="2"/>
  <c r="U34" i="2"/>
  <c r="T37" i="2"/>
  <c r="V39" i="2"/>
  <c r="U42" i="2"/>
  <c r="T45" i="2"/>
  <c r="V47" i="2"/>
  <c r="U50" i="2"/>
  <c r="T53" i="2"/>
  <c r="V55" i="2"/>
  <c r="U58" i="2"/>
  <c r="T61" i="2"/>
  <c r="V63" i="2"/>
  <c r="U66" i="2"/>
  <c r="T69" i="2"/>
  <c r="V71" i="2"/>
  <c r="U74" i="2"/>
  <c r="T77" i="2"/>
  <c r="S6" i="2"/>
  <c r="S14" i="2"/>
  <c r="S22" i="2"/>
  <c r="S30" i="2"/>
  <c r="S38" i="2"/>
  <c r="AR10" i="2"/>
  <c r="AT18" i="2"/>
  <c r="AT26" i="2"/>
  <c r="AT32" i="2"/>
  <c r="AR39" i="2"/>
  <c r="AR45" i="2"/>
  <c r="AR51" i="2"/>
  <c r="AS57" i="2"/>
  <c r="AS63" i="2"/>
  <c r="AS67" i="2"/>
  <c r="AT72" i="2"/>
  <c r="AR77" i="2"/>
  <c r="AQ14" i="2"/>
  <c r="AQ30" i="2"/>
  <c r="AQ43" i="2"/>
  <c r="AQ59" i="2"/>
  <c r="AQ71" i="2"/>
  <c r="AH6" i="2"/>
  <c r="AF12" i="2"/>
  <c r="AG16" i="2"/>
  <c r="AH21" i="2"/>
  <c r="AH25" i="2"/>
  <c r="AF31" i="2"/>
  <c r="AF36" i="2"/>
  <c r="AH39" i="2"/>
  <c r="AG44" i="2"/>
  <c r="AF48" i="2"/>
  <c r="AF52" i="2"/>
  <c r="AG55" i="2"/>
  <c r="AH58" i="2"/>
  <c r="AH62" i="2"/>
  <c r="AF66" i="2"/>
  <c r="AG69" i="2"/>
  <c r="AG73" i="2"/>
  <c r="AF76" i="2"/>
  <c r="AE11" i="2"/>
  <c r="AE19" i="2"/>
  <c r="AE27" i="2"/>
  <c r="AE35" i="2"/>
  <c r="AE43" i="2"/>
  <c r="AE51" i="2"/>
  <c r="AE59" i="2"/>
  <c r="AE67" i="2"/>
  <c r="AE75" i="2"/>
  <c r="U5" i="2"/>
  <c r="T8" i="2"/>
  <c r="V10" i="2"/>
  <c r="U13" i="2"/>
  <c r="T16" i="2"/>
  <c r="V18" i="2"/>
  <c r="U21" i="2"/>
  <c r="T24" i="2"/>
  <c r="V26" i="2"/>
  <c r="U29" i="2"/>
  <c r="T32" i="2"/>
  <c r="V34" i="2"/>
  <c r="U37" i="2"/>
  <c r="T40" i="2"/>
  <c r="V42" i="2"/>
  <c r="U45" i="2"/>
  <c r="T48" i="2"/>
  <c r="V50" i="2"/>
  <c r="U53" i="2"/>
  <c r="T56" i="2"/>
  <c r="AR12" i="2"/>
  <c r="AR19" i="2"/>
  <c r="AR27" i="2"/>
  <c r="AS33" i="2"/>
  <c r="AS39" i="2"/>
  <c r="AS45" i="2"/>
  <c r="AS51" i="2"/>
  <c r="AT57" i="2"/>
  <c r="AT63" i="2"/>
  <c r="AR68" i="2"/>
  <c r="AS73" i="2"/>
  <c r="AQ15" i="2"/>
  <c r="AQ31" i="2"/>
  <c r="AQ44" i="2"/>
  <c r="AQ60" i="2"/>
  <c r="AQ76" i="2"/>
  <c r="AF7" i="2"/>
  <c r="AG12" i="2"/>
  <c r="AH16" i="2"/>
  <c r="AF22" i="2"/>
  <c r="AG27" i="2"/>
  <c r="AG31" i="2"/>
  <c r="AG36" i="2"/>
  <c r="AF40" i="2"/>
  <c r="AH44" i="2"/>
  <c r="AH48" i="2"/>
  <c r="AG52" i="2"/>
  <c r="AH55" i="2"/>
  <c r="AG59" i="2"/>
  <c r="AF63" i="2"/>
  <c r="AG66" i="2"/>
  <c r="AF70" i="2"/>
  <c r="AH73" i="2"/>
  <c r="AG76" i="2"/>
  <c r="AE4" i="2"/>
  <c r="AE12" i="2"/>
  <c r="AE20" i="2"/>
  <c r="AE28" i="2"/>
  <c r="AE36" i="2"/>
  <c r="AE44" i="2"/>
  <c r="AE52" i="2"/>
  <c r="AE60" i="2"/>
  <c r="AE68" i="2"/>
  <c r="AE76" i="2"/>
  <c r="V5" i="2"/>
  <c r="U8" i="2"/>
  <c r="T11" i="2"/>
  <c r="V13" i="2"/>
  <c r="U16" i="2"/>
  <c r="T19" i="2"/>
  <c r="V21" i="2"/>
  <c r="U24" i="2"/>
  <c r="T27" i="2"/>
  <c r="V29" i="2"/>
  <c r="U32" i="2"/>
  <c r="T35" i="2"/>
  <c r="V37" i="2"/>
  <c r="U40" i="2"/>
  <c r="T43" i="2"/>
  <c r="V45" i="2"/>
  <c r="U48" i="2"/>
  <c r="T51" i="2"/>
  <c r="V53" i="2"/>
  <c r="U56" i="2"/>
  <c r="T59" i="2"/>
  <c r="V61" i="2"/>
  <c r="U64" i="2"/>
  <c r="T67" i="2"/>
  <c r="V69" i="2"/>
  <c r="U72" i="2"/>
  <c r="T75" i="2"/>
  <c r="V77" i="2"/>
  <c r="S8" i="2"/>
  <c r="S16" i="2"/>
  <c r="S24" i="2"/>
  <c r="S32" i="2"/>
  <c r="S40" i="2"/>
  <c r="AT12" i="2"/>
  <c r="AR21" i="2"/>
  <c r="AR28" i="2"/>
  <c r="AR34" i="2"/>
  <c r="AR40" i="2"/>
  <c r="AR46" i="2"/>
  <c r="AS52" i="2"/>
  <c r="AS58" i="2"/>
  <c r="AR64" i="2"/>
  <c r="AS69" i="2"/>
  <c r="AT73" i="2"/>
  <c r="AQ4" i="2"/>
  <c r="AQ16" i="2"/>
  <c r="AQ32" i="2"/>
  <c r="AQ48" i="2"/>
  <c r="AQ61" i="2"/>
  <c r="AQ77" i="2"/>
  <c r="AG7" i="2"/>
  <c r="AH12" i="2"/>
  <c r="AF18" i="2"/>
  <c r="AG22" i="2"/>
  <c r="AH27" i="2"/>
  <c r="AF32" i="2"/>
  <c r="AH36" i="2"/>
  <c r="AG41" i="2"/>
  <c r="AF45" i="2"/>
  <c r="AG49" i="2"/>
  <c r="AH52" i="2"/>
  <c r="AF56" i="2"/>
  <c r="AF60" i="2"/>
  <c r="AG63" i="2"/>
  <c r="AH66" i="2"/>
  <c r="AH70" i="2"/>
  <c r="AF74" i="2"/>
  <c r="AH76" i="2"/>
  <c r="AE5" i="2"/>
  <c r="AE13" i="2"/>
  <c r="AE21" i="2"/>
  <c r="AE29" i="2"/>
  <c r="AE37" i="2"/>
  <c r="AE45" i="2"/>
  <c r="AE53" i="2"/>
  <c r="AE61" i="2"/>
  <c r="AE69" i="2"/>
  <c r="AI69" i="2" s="1"/>
  <c r="AE77" i="2"/>
  <c r="T6" i="2"/>
  <c r="V8" i="2"/>
  <c r="U11" i="2"/>
  <c r="T14" i="2"/>
  <c r="V16" i="2"/>
  <c r="U19" i="2"/>
  <c r="T22" i="2"/>
  <c r="V24" i="2"/>
  <c r="U27" i="2"/>
  <c r="T30" i="2"/>
  <c r="V32" i="2"/>
  <c r="U35" i="2"/>
  <c r="T38" i="2"/>
  <c r="V40" i="2"/>
  <c r="U43" i="2"/>
  <c r="T46" i="2"/>
  <c r="V48" i="2"/>
  <c r="U51" i="2"/>
  <c r="T54" i="2"/>
  <c r="V56" i="2"/>
  <c r="U59" i="2"/>
  <c r="T62" i="2"/>
  <c r="V64" i="2"/>
  <c r="U67" i="2"/>
  <c r="T70" i="2"/>
  <c r="V72" i="2"/>
  <c r="U75" i="2"/>
  <c r="S9" i="2"/>
  <c r="S17" i="2"/>
  <c r="S25" i="2"/>
  <c r="S33" i="2"/>
  <c r="S41" i="2"/>
  <c r="AS5" i="2"/>
  <c r="AR15" i="2"/>
  <c r="AR22" i="2"/>
  <c r="AT29" i="2"/>
  <c r="AR36" i="2"/>
  <c r="AR42" i="2"/>
  <c r="AR48" i="2"/>
  <c r="AR54" i="2"/>
  <c r="AS60" i="2"/>
  <c r="AT64" i="2"/>
  <c r="AR70" i="2"/>
  <c r="AS75" i="2"/>
  <c r="AQ6" i="2"/>
  <c r="AQ22" i="2"/>
  <c r="AQ35" i="2"/>
  <c r="AU35" i="2" s="1"/>
  <c r="AQ51" i="2"/>
  <c r="AQ67" i="2"/>
  <c r="AF4" i="2"/>
  <c r="AG9" i="2"/>
  <c r="AH13" i="2"/>
  <c r="AF19" i="2"/>
  <c r="AG24" i="2"/>
  <c r="AG28" i="2"/>
  <c r="AH33" i="2"/>
  <c r="AG37" i="2"/>
  <c r="AF42" i="2"/>
  <c r="AH46" i="2"/>
  <c r="AF50" i="2"/>
  <c r="AG53" i="2"/>
  <c r="AG57" i="2"/>
  <c r="AH60" i="2"/>
  <c r="AF64" i="2"/>
  <c r="AF68" i="2"/>
  <c r="AG71" i="2"/>
  <c r="AH74" i="2"/>
  <c r="AG77" i="2"/>
  <c r="AE7" i="2"/>
  <c r="AE15" i="2"/>
  <c r="AE23" i="2"/>
  <c r="AE31" i="2"/>
  <c r="AE39" i="2"/>
  <c r="AE47" i="2"/>
  <c r="AE55" i="2"/>
  <c r="AE63" i="2"/>
  <c r="AE71" i="2"/>
  <c r="T4" i="2"/>
  <c r="V6" i="2"/>
  <c r="U9" i="2"/>
  <c r="T12" i="2"/>
  <c r="V14" i="2"/>
  <c r="U17" i="2"/>
  <c r="T20" i="2"/>
  <c r="V22" i="2"/>
  <c r="U25" i="2"/>
  <c r="T28" i="2"/>
  <c r="V30" i="2"/>
  <c r="U33" i="2"/>
  <c r="T36" i="2"/>
  <c r="V38" i="2"/>
  <c r="U41" i="2"/>
  <c r="T44" i="2"/>
  <c r="V46" i="2"/>
  <c r="U49" i="2"/>
  <c r="T52" i="2"/>
  <c r="V54" i="2"/>
  <c r="U57" i="2"/>
  <c r="T60" i="2"/>
  <c r="V62" i="2"/>
  <c r="U65" i="2"/>
  <c r="T68" i="2"/>
  <c r="V70" i="2"/>
  <c r="U73" i="2"/>
  <c r="T76" i="2"/>
  <c r="S11" i="2"/>
  <c r="S19" i="2"/>
  <c r="S27" i="2"/>
  <c r="S35" i="2"/>
  <c r="S43" i="2"/>
  <c r="AT21" i="2"/>
  <c r="AT46" i="2"/>
  <c r="AT69" i="2"/>
  <c r="AQ33" i="2"/>
  <c r="AF9" i="2"/>
  <c r="AF28" i="2"/>
  <c r="AG45" i="2"/>
  <c r="AG60" i="2"/>
  <c r="AG74" i="2"/>
  <c r="AK74" i="2" s="1"/>
  <c r="AE22" i="2"/>
  <c r="AE54" i="2"/>
  <c r="U6" i="2"/>
  <c r="T17" i="2"/>
  <c r="V27" i="2"/>
  <c r="U38" i="2"/>
  <c r="T49" i="2"/>
  <c r="V58" i="2"/>
  <c r="V65" i="2"/>
  <c r="T71" i="2"/>
  <c r="U76" i="2"/>
  <c r="S12" i="2"/>
  <c r="S28" i="2"/>
  <c r="S44" i="2"/>
  <c r="S52" i="2"/>
  <c r="S60" i="2"/>
  <c r="S68" i="2"/>
  <c r="S76" i="2"/>
  <c r="AR24" i="2"/>
  <c r="AS48" i="2"/>
  <c r="AT70" i="2"/>
  <c r="AQ39" i="2"/>
  <c r="AH9" i="2"/>
  <c r="AH28" i="2"/>
  <c r="AF47" i="2"/>
  <c r="AF61" i="2"/>
  <c r="AF75" i="2"/>
  <c r="AE24" i="2"/>
  <c r="AE56" i="2"/>
  <c r="T7" i="2"/>
  <c r="V17" i="2"/>
  <c r="U28" i="2"/>
  <c r="T39" i="2"/>
  <c r="V49" i="2"/>
  <c r="V59" i="2"/>
  <c r="T66" i="2"/>
  <c r="U71" i="2"/>
  <c r="V76" i="2"/>
  <c r="S13" i="2"/>
  <c r="S29" i="2"/>
  <c r="S45" i="2"/>
  <c r="S53" i="2"/>
  <c r="S61" i="2"/>
  <c r="S69" i="2"/>
  <c r="S77" i="2"/>
  <c r="AS28" i="2"/>
  <c r="AT52" i="2"/>
  <c r="AR74" i="2"/>
  <c r="AQ49" i="2"/>
  <c r="AG13" i="2"/>
  <c r="AG33" i="2"/>
  <c r="AH49" i="2"/>
  <c r="AH63" i="2"/>
  <c r="AF77" i="2"/>
  <c r="AE30" i="2"/>
  <c r="AE62" i="2"/>
  <c r="T9" i="2"/>
  <c r="V19" i="2"/>
  <c r="U30" i="2"/>
  <c r="T41" i="2"/>
  <c r="V51" i="2"/>
  <c r="U60" i="2"/>
  <c r="V66" i="2"/>
  <c r="T72" i="2"/>
  <c r="U77" i="2"/>
  <c r="S15" i="2"/>
  <c r="S31" i="2"/>
  <c r="S46" i="2"/>
  <c r="S54" i="2"/>
  <c r="S62" i="2"/>
  <c r="S70" i="2"/>
  <c r="AR30" i="2"/>
  <c r="AT54" i="2"/>
  <c r="AR76" i="2"/>
  <c r="AQ52" i="2"/>
  <c r="AF15" i="2"/>
  <c r="AF34" i="2"/>
  <c r="AG50" i="2"/>
  <c r="AH64" i="2"/>
  <c r="AH77" i="2"/>
  <c r="AE32" i="2"/>
  <c r="AE64" i="2"/>
  <c r="V9" i="2"/>
  <c r="U20" i="2"/>
  <c r="T31" i="2"/>
  <c r="V41" i="2"/>
  <c r="U52" i="2"/>
  <c r="U61" i="2"/>
  <c r="V67" i="2"/>
  <c r="T73" i="2"/>
  <c r="S18" i="2"/>
  <c r="S34" i="2"/>
  <c r="S47" i="2"/>
  <c r="S55" i="2"/>
  <c r="S63" i="2"/>
  <c r="S71" i="2"/>
  <c r="AS34" i="2"/>
  <c r="AT58" i="2"/>
  <c r="AQ5" i="2"/>
  <c r="AQ62" i="2"/>
  <c r="AH18" i="2"/>
  <c r="AF37" i="2"/>
  <c r="AF53" i="2"/>
  <c r="AG67" i="2"/>
  <c r="AE6" i="2"/>
  <c r="AE38" i="2"/>
  <c r="AE70" i="2"/>
  <c r="V11" i="2"/>
  <c r="U22" i="2"/>
  <c r="T33" i="2"/>
  <c r="V43" i="2"/>
  <c r="U54" i="2"/>
  <c r="U62" i="2"/>
  <c r="U68" i="2"/>
  <c r="V73" i="2"/>
  <c r="S4" i="2"/>
  <c r="S20" i="2"/>
  <c r="S36" i="2"/>
  <c r="S48" i="2"/>
  <c r="S56" i="2"/>
  <c r="S64" i="2"/>
  <c r="S72" i="2"/>
  <c r="AR7" i="2"/>
  <c r="AS36" i="2"/>
  <c r="AT60" i="2"/>
  <c r="AQ7" i="2"/>
  <c r="AQ68" i="2"/>
  <c r="AG19" i="2"/>
  <c r="AH38" i="2"/>
  <c r="AF54" i="2"/>
  <c r="AG68" i="2"/>
  <c r="AE8" i="2"/>
  <c r="AE40" i="2"/>
  <c r="AE72" i="2"/>
  <c r="U12" i="2"/>
  <c r="T23" i="2"/>
  <c r="V33" i="2"/>
  <c r="U44" i="2"/>
  <c r="T55" i="2"/>
  <c r="T63" i="2"/>
  <c r="V68" i="2"/>
  <c r="T74" i="2"/>
  <c r="S5" i="2"/>
  <c r="S21" i="2"/>
  <c r="S37" i="2"/>
  <c r="S49" i="2"/>
  <c r="S57" i="2"/>
  <c r="S65" i="2"/>
  <c r="S73" i="2"/>
  <c r="AR13" i="2"/>
  <c r="AS40" i="2"/>
  <c r="AS64" i="2"/>
  <c r="AQ21" i="2"/>
  <c r="AH22" i="2"/>
  <c r="AH41" i="2"/>
  <c r="AH56" i="2"/>
  <c r="AF71" i="2"/>
  <c r="AE14" i="2"/>
  <c r="AE46" i="2"/>
  <c r="U14" i="2"/>
  <c r="T25" i="2"/>
  <c r="V35" i="2"/>
  <c r="U46" i="2"/>
  <c r="T57" i="2"/>
  <c r="T64" i="2"/>
  <c r="U69" i="2"/>
  <c r="V74" i="2"/>
  <c r="S7" i="2"/>
  <c r="S23" i="2"/>
  <c r="S39" i="2"/>
  <c r="S50" i="2"/>
  <c r="S58" i="2"/>
  <c r="S66" i="2"/>
  <c r="S74" i="2"/>
  <c r="AT15" i="2"/>
  <c r="AS42" i="2"/>
  <c r="AS66" i="2"/>
  <c r="AQ23" i="2"/>
  <c r="AG4" i="2"/>
  <c r="AH24" i="2"/>
  <c r="AG42" i="2"/>
  <c r="AH57" i="2"/>
  <c r="AH71" i="2"/>
  <c r="AE16" i="2"/>
  <c r="AE48" i="2"/>
  <c r="U4" i="2"/>
  <c r="T15" i="2"/>
  <c r="V25" i="2"/>
  <c r="U36" i="2"/>
  <c r="T47" i="2"/>
  <c r="V57" i="2"/>
  <c r="T65" i="2"/>
  <c r="U70" i="2"/>
  <c r="V75" i="2"/>
  <c r="S10" i="2"/>
  <c r="S26" i="2"/>
  <c r="S42" i="2"/>
  <c r="S51" i="2"/>
  <c r="S59" i="2"/>
  <c r="S67" i="2"/>
  <c r="W67" i="2" s="1"/>
  <c r="S75" i="2"/>
  <c r="AO4" i="2"/>
  <c r="AW4" i="2" s="1"/>
  <c r="AN7" i="2"/>
  <c r="AV7" i="2" s="1"/>
  <c r="AP9" i="2"/>
  <c r="AX9" i="2" s="1"/>
  <c r="AO12" i="2"/>
  <c r="AW12" i="2" s="1"/>
  <c r="AN15" i="2"/>
  <c r="AV15" i="2" s="1"/>
  <c r="AP17" i="2"/>
  <c r="AX17" i="2" s="1"/>
  <c r="AO20" i="2"/>
  <c r="AW20" i="2" s="1"/>
  <c r="AN23" i="2"/>
  <c r="AV23" i="2" s="1"/>
  <c r="AP25" i="2"/>
  <c r="AX25" i="2" s="1"/>
  <c r="AO28" i="2"/>
  <c r="AW28" i="2" s="1"/>
  <c r="AN31" i="2"/>
  <c r="AV31" i="2" s="1"/>
  <c r="AP33" i="2"/>
  <c r="AX33" i="2" s="1"/>
  <c r="AO36" i="2"/>
  <c r="AW36" i="2" s="1"/>
  <c r="AN39" i="2"/>
  <c r="AV39" i="2" s="1"/>
  <c r="AP41" i="2"/>
  <c r="AX41" i="2" s="1"/>
  <c r="AO44" i="2"/>
  <c r="AW44" i="2" s="1"/>
  <c r="AN47" i="2"/>
  <c r="AV47" i="2" s="1"/>
  <c r="AP49" i="2"/>
  <c r="AX49" i="2" s="1"/>
  <c r="AO52" i="2"/>
  <c r="AW52" i="2" s="1"/>
  <c r="AN55" i="2"/>
  <c r="AV55" i="2" s="1"/>
  <c r="AP57" i="2"/>
  <c r="AX57" i="2" s="1"/>
  <c r="AO60" i="2"/>
  <c r="AW60" i="2" s="1"/>
  <c r="AN63" i="2"/>
  <c r="AV63" i="2" s="1"/>
  <c r="AP65" i="2"/>
  <c r="AX65" i="2" s="1"/>
  <c r="AO68" i="2"/>
  <c r="AW68" i="2" s="1"/>
  <c r="AN71" i="2"/>
  <c r="AV71" i="2" s="1"/>
  <c r="AP73" i="2"/>
  <c r="AX73" i="2" s="1"/>
  <c r="AO76" i="2"/>
  <c r="AM4" i="2"/>
  <c r="AM12" i="2"/>
  <c r="AU12" i="2" s="1"/>
  <c r="AM20" i="2"/>
  <c r="AU20" i="2" s="1"/>
  <c r="AM28" i="2"/>
  <c r="AU28" i="2" s="1"/>
  <c r="AM36" i="2"/>
  <c r="AU36" i="2" s="1"/>
  <c r="AM44" i="2"/>
  <c r="AU44" i="2" s="1"/>
  <c r="AM52" i="2"/>
  <c r="AU52" i="2" s="1"/>
  <c r="AM60" i="2"/>
  <c r="AU60" i="2" s="1"/>
  <c r="AM68" i="2"/>
  <c r="AU68" i="2" s="1"/>
  <c r="AM76" i="2"/>
  <c r="AU76" i="2" s="1"/>
  <c r="AD4" i="2"/>
  <c r="AL4" i="2" s="1"/>
  <c r="AC7" i="2"/>
  <c r="AK7" i="2" s="1"/>
  <c r="AB10" i="2"/>
  <c r="AJ10" i="2" s="1"/>
  <c r="AD12" i="2"/>
  <c r="AL12" i="2" s="1"/>
  <c r="AC15" i="2"/>
  <c r="AK15" i="2" s="1"/>
  <c r="AB18" i="2"/>
  <c r="AD20" i="2"/>
  <c r="AL20" i="2" s="1"/>
  <c r="AC23" i="2"/>
  <c r="AK23" i="2" s="1"/>
  <c r="AB26" i="2"/>
  <c r="AJ26" i="2" s="1"/>
  <c r="AD28" i="2"/>
  <c r="AC31" i="2"/>
  <c r="AK31" i="2" s="1"/>
  <c r="AB34" i="2"/>
  <c r="AJ34" i="2" s="1"/>
  <c r="AD36" i="2"/>
  <c r="AL36" i="2" s="1"/>
  <c r="AC39" i="2"/>
  <c r="AK39" i="2" s="1"/>
  <c r="AB42" i="2"/>
  <c r="AJ42" i="2" s="1"/>
  <c r="AD44" i="2"/>
  <c r="AC47" i="2"/>
  <c r="AK47" i="2" s="1"/>
  <c r="AB50" i="2"/>
  <c r="AJ50" i="2" s="1"/>
  <c r="AD52" i="2"/>
  <c r="AC55" i="2"/>
  <c r="AK55" i="2" s="1"/>
  <c r="AB58" i="2"/>
  <c r="AJ58" i="2" s="1"/>
  <c r="AD60" i="2"/>
  <c r="AC63" i="2"/>
  <c r="AK63" i="2" s="1"/>
  <c r="AB66" i="2"/>
  <c r="AJ66" i="2" s="1"/>
  <c r="AD68" i="2"/>
  <c r="AL68" i="2" s="1"/>
  <c r="AC71" i="2"/>
  <c r="AK71" i="2" s="1"/>
  <c r="AB74" i="2"/>
  <c r="AJ74" i="2" s="1"/>
  <c r="AD76" i="2"/>
  <c r="AL76" i="2" s="1"/>
  <c r="AA5" i="2"/>
  <c r="AA13" i="2"/>
  <c r="AI13" i="2" s="1"/>
  <c r="AA21" i="2"/>
  <c r="AI21" i="2" s="1"/>
  <c r="AA29" i="2"/>
  <c r="AI29" i="2" s="1"/>
  <c r="AA37" i="2"/>
  <c r="AI37" i="2" s="1"/>
  <c r="AA45" i="2"/>
  <c r="AI45" i="2" s="1"/>
  <c r="AA53" i="2"/>
  <c r="AI53" i="2" s="1"/>
  <c r="AA61" i="2"/>
  <c r="AI61" i="2" s="1"/>
  <c r="AA69" i="2"/>
  <c r="AA77" i="2"/>
  <c r="AP4" i="2"/>
  <c r="AX4" i="2" s="1"/>
  <c r="AO7" i="2"/>
  <c r="AW7" i="2" s="1"/>
  <c r="AN10" i="2"/>
  <c r="AV10" i="2" s="1"/>
  <c r="AP12" i="2"/>
  <c r="AX12" i="2" s="1"/>
  <c r="AO15" i="2"/>
  <c r="AW15" i="2" s="1"/>
  <c r="AN18" i="2"/>
  <c r="AV18" i="2" s="1"/>
  <c r="AP20" i="2"/>
  <c r="AX20" i="2" s="1"/>
  <c r="AO23" i="2"/>
  <c r="AW23" i="2" s="1"/>
  <c r="AN26" i="2"/>
  <c r="AV26" i="2" s="1"/>
  <c r="AP28" i="2"/>
  <c r="AX28" i="2" s="1"/>
  <c r="AO31" i="2"/>
  <c r="AW31" i="2" s="1"/>
  <c r="AN34" i="2"/>
  <c r="AP36" i="2"/>
  <c r="AX36" i="2" s="1"/>
  <c r="AO39" i="2"/>
  <c r="AW39" i="2" s="1"/>
  <c r="AN42" i="2"/>
  <c r="AV42" i="2" s="1"/>
  <c r="AP44" i="2"/>
  <c r="AX44" i="2" s="1"/>
  <c r="AO47" i="2"/>
  <c r="AW47" i="2" s="1"/>
  <c r="AN50" i="2"/>
  <c r="AV50" i="2" s="1"/>
  <c r="AP52" i="2"/>
  <c r="AX52" i="2" s="1"/>
  <c r="AO55" i="2"/>
  <c r="AW55" i="2" s="1"/>
  <c r="AN58" i="2"/>
  <c r="AV58" i="2" s="1"/>
  <c r="AP60" i="2"/>
  <c r="AX60" i="2" s="1"/>
  <c r="AO63" i="2"/>
  <c r="AN66" i="2"/>
  <c r="AV66" i="2" s="1"/>
  <c r="AP68" i="2"/>
  <c r="AO71" i="2"/>
  <c r="AW71" i="2" s="1"/>
  <c r="AN74" i="2"/>
  <c r="AV74" i="2" s="1"/>
  <c r="AP76" i="2"/>
  <c r="AX76" i="2" s="1"/>
  <c r="AM5" i="2"/>
  <c r="AU5" i="2" s="1"/>
  <c r="AM13" i="2"/>
  <c r="AU13" i="2" s="1"/>
  <c r="AM21" i="2"/>
  <c r="AU21" i="2" s="1"/>
  <c r="AM29" i="2"/>
  <c r="AU29" i="2" s="1"/>
  <c r="AM37" i="2"/>
  <c r="AU37" i="2" s="1"/>
  <c r="AM45" i="2"/>
  <c r="AU45" i="2" s="1"/>
  <c r="AM53" i="2"/>
  <c r="AU53" i="2" s="1"/>
  <c r="AM61" i="2"/>
  <c r="AU61" i="2" s="1"/>
  <c r="AM69" i="2"/>
  <c r="AU69" i="2" s="1"/>
  <c r="AM77" i="2"/>
  <c r="AU77" i="2" s="1"/>
  <c r="AB5" i="2"/>
  <c r="AJ5" i="2" s="1"/>
  <c r="AD7" i="2"/>
  <c r="AL7" i="2" s="1"/>
  <c r="AC10" i="2"/>
  <c r="AK10" i="2" s="1"/>
  <c r="AB13" i="2"/>
  <c r="AJ13" i="2" s="1"/>
  <c r="AD15" i="2"/>
  <c r="AL15" i="2" s="1"/>
  <c r="AC18" i="2"/>
  <c r="AK18" i="2" s="1"/>
  <c r="AB21" i="2"/>
  <c r="AJ21" i="2" s="1"/>
  <c r="AD23" i="2"/>
  <c r="AL23" i="2" s="1"/>
  <c r="AC26" i="2"/>
  <c r="AK26" i="2" s="1"/>
  <c r="AB29" i="2"/>
  <c r="AJ29" i="2" s="1"/>
  <c r="AD31" i="2"/>
  <c r="AL31" i="2" s="1"/>
  <c r="AC34" i="2"/>
  <c r="AK34" i="2" s="1"/>
  <c r="AB37" i="2"/>
  <c r="AJ37" i="2" s="1"/>
  <c r="AD39" i="2"/>
  <c r="AC42" i="2"/>
  <c r="AK42" i="2" s="1"/>
  <c r="AB45" i="2"/>
  <c r="AJ45" i="2" s="1"/>
  <c r="AD47" i="2"/>
  <c r="AL47" i="2" s="1"/>
  <c r="AC50" i="2"/>
  <c r="AK50" i="2" s="1"/>
  <c r="AB53" i="2"/>
  <c r="AJ53" i="2" s="1"/>
  <c r="AD55" i="2"/>
  <c r="AL55" i="2" s="1"/>
  <c r="AC58" i="2"/>
  <c r="AK58" i="2" s="1"/>
  <c r="AB61" i="2"/>
  <c r="AJ61" i="2" s="1"/>
  <c r="AD63" i="2"/>
  <c r="AL63" i="2" s="1"/>
  <c r="AC66" i="2"/>
  <c r="AB69" i="2"/>
  <c r="AJ69" i="2" s="1"/>
  <c r="AD71" i="2"/>
  <c r="AL71" i="2" s="1"/>
  <c r="AC74" i="2"/>
  <c r="AB77" i="2"/>
  <c r="AJ77" i="2" s="1"/>
  <c r="AA6" i="2"/>
  <c r="AI6" i="2" s="1"/>
  <c r="AA14" i="2"/>
  <c r="AI14" i="2" s="1"/>
  <c r="AA22" i="2"/>
  <c r="AI22" i="2" s="1"/>
  <c r="AA30" i="2"/>
  <c r="AI30" i="2" s="1"/>
  <c r="AA38" i="2"/>
  <c r="AI38" i="2" s="1"/>
  <c r="AA46" i="2"/>
  <c r="AI46" i="2" s="1"/>
  <c r="AA54" i="2"/>
  <c r="AI54" i="2" s="1"/>
  <c r="AA62" i="2"/>
  <c r="AA70" i="2"/>
  <c r="AI70" i="2" s="1"/>
  <c r="AP5" i="2"/>
  <c r="AX5" i="2" s="1"/>
  <c r="AN9" i="2"/>
  <c r="AV9" i="2" s="1"/>
  <c r="AN13" i="2"/>
  <c r="AV13" i="2" s="1"/>
  <c r="AO16" i="2"/>
  <c r="AP19" i="2"/>
  <c r="AX19" i="2" s="1"/>
  <c r="AP23" i="2"/>
  <c r="AX23" i="2" s="1"/>
  <c r="AN27" i="2"/>
  <c r="AO30" i="2"/>
  <c r="AW30" i="2" s="1"/>
  <c r="AO34" i="2"/>
  <c r="AW34" i="2" s="1"/>
  <c r="AP37" i="2"/>
  <c r="AN41" i="2"/>
  <c r="AV41" i="2" s="1"/>
  <c r="AN45" i="2"/>
  <c r="AV45" i="2" s="1"/>
  <c r="AO48" i="2"/>
  <c r="AP51" i="2"/>
  <c r="AX51" i="2" s="1"/>
  <c r="AP55" i="2"/>
  <c r="AX55" i="2" s="1"/>
  <c r="AN59" i="2"/>
  <c r="AO62" i="2"/>
  <c r="AW62" i="2" s="1"/>
  <c r="AO66" i="2"/>
  <c r="AW66" i="2" s="1"/>
  <c r="AP69" i="2"/>
  <c r="AN73" i="2"/>
  <c r="AN77" i="2"/>
  <c r="AV77" i="2" s="1"/>
  <c r="AM8" i="2"/>
  <c r="AU8" i="2" s="1"/>
  <c r="AM18" i="2"/>
  <c r="AU18" i="2" s="1"/>
  <c r="AM30" i="2"/>
  <c r="AU30" i="2" s="1"/>
  <c r="AM40" i="2"/>
  <c r="AU40" i="2" s="1"/>
  <c r="AM50" i="2"/>
  <c r="AM62" i="2"/>
  <c r="AU62" i="2" s="1"/>
  <c r="AM72" i="2"/>
  <c r="AU72" i="2" s="1"/>
  <c r="AC5" i="2"/>
  <c r="AK5" i="2" s="1"/>
  <c r="AD8" i="2"/>
  <c r="AL8" i="2" s="1"/>
  <c r="AB12" i="2"/>
  <c r="AJ12" i="2" s="1"/>
  <c r="AB16" i="2"/>
  <c r="AJ16" i="2" s="1"/>
  <c r="AC19" i="2"/>
  <c r="AD22" i="2"/>
  <c r="AL22" i="2" s="1"/>
  <c r="AD26" i="2"/>
  <c r="AL26" i="2" s="1"/>
  <c r="AB30" i="2"/>
  <c r="AJ30" i="2" s="1"/>
  <c r="AC33" i="2"/>
  <c r="AK33" i="2" s="1"/>
  <c r="AN6" i="2"/>
  <c r="AV6" i="2" s="1"/>
  <c r="AO9" i="2"/>
  <c r="AW9" i="2" s="1"/>
  <c r="AO13" i="2"/>
  <c r="AW13" i="2" s="1"/>
  <c r="AP16" i="2"/>
  <c r="AX16" i="2" s="1"/>
  <c r="AN20" i="2"/>
  <c r="AV20" i="2" s="1"/>
  <c r="AN24" i="2"/>
  <c r="AV24" i="2" s="1"/>
  <c r="AO27" i="2"/>
  <c r="AW27" i="2" s="1"/>
  <c r="AP30" i="2"/>
  <c r="AX30" i="2" s="1"/>
  <c r="AP34" i="2"/>
  <c r="AX34" i="2" s="1"/>
  <c r="AN38" i="2"/>
  <c r="AV38" i="2" s="1"/>
  <c r="AO41" i="2"/>
  <c r="AW41" i="2" s="1"/>
  <c r="D41" i="3" s="1"/>
  <c r="L41" i="3" s="1"/>
  <c r="AO45" i="2"/>
  <c r="AW45" i="2" s="1"/>
  <c r="AP48" i="2"/>
  <c r="AX48" i="2" s="1"/>
  <c r="AN52" i="2"/>
  <c r="AV52" i="2" s="1"/>
  <c r="AN56" i="2"/>
  <c r="AV56" i="2" s="1"/>
  <c r="AO59" i="2"/>
  <c r="AW59" i="2" s="1"/>
  <c r="AP62" i="2"/>
  <c r="AX62" i="2" s="1"/>
  <c r="AP66" i="2"/>
  <c r="AX66" i="2" s="1"/>
  <c r="AN70" i="2"/>
  <c r="AO73" i="2"/>
  <c r="AW73" i="2" s="1"/>
  <c r="AO77" i="2"/>
  <c r="AM9" i="2"/>
  <c r="AU9" i="2" s="1"/>
  <c r="AM19" i="2"/>
  <c r="AM31" i="2"/>
  <c r="AU31" i="2" s="1"/>
  <c r="AM41" i="2"/>
  <c r="AM51" i="2"/>
  <c r="AM63" i="2"/>
  <c r="AU63" i="2" s="1"/>
  <c r="AM73" i="2"/>
  <c r="AD5" i="2"/>
  <c r="AL5" i="2" s="1"/>
  <c r="AB9" i="2"/>
  <c r="AC12" i="2"/>
  <c r="AK12" i="2" s="1"/>
  <c r="AC16" i="2"/>
  <c r="AD19" i="2"/>
  <c r="AB23" i="2"/>
  <c r="AJ23" i="2" s="1"/>
  <c r="AB27" i="2"/>
  <c r="AC30" i="2"/>
  <c r="AD33" i="2"/>
  <c r="AL33" i="2" s="1"/>
  <c r="AD37" i="2"/>
  <c r="AO6" i="2"/>
  <c r="AW6" i="2" s="1"/>
  <c r="AO10" i="2"/>
  <c r="AW10" i="2" s="1"/>
  <c r="AP13" i="2"/>
  <c r="AN17" i="2"/>
  <c r="AV17" i="2" s="1"/>
  <c r="AN21" i="2"/>
  <c r="AV21" i="2" s="1"/>
  <c r="AO24" i="2"/>
  <c r="AP27" i="2"/>
  <c r="AX27" i="2" s="1"/>
  <c r="AP31" i="2"/>
  <c r="AX31" i="2" s="1"/>
  <c r="AN35" i="2"/>
  <c r="AO38" i="2"/>
  <c r="AW38" i="2" s="1"/>
  <c r="AO42" i="2"/>
  <c r="AP45" i="2"/>
  <c r="AN49" i="2"/>
  <c r="AV49" i="2" s="1"/>
  <c r="AN53" i="2"/>
  <c r="AV53" i="2" s="1"/>
  <c r="AO56" i="2"/>
  <c r="AP59" i="2"/>
  <c r="AX59" i="2" s="1"/>
  <c r="AP63" i="2"/>
  <c r="AN67" i="2"/>
  <c r="AV67" i="2" s="1"/>
  <c r="AO70" i="2"/>
  <c r="AW70" i="2" s="1"/>
  <c r="AO74" i="2"/>
  <c r="AW74" i="2" s="1"/>
  <c r="AP77" i="2"/>
  <c r="AM10" i="2"/>
  <c r="AU10" i="2" s="1"/>
  <c r="AM22" i="2"/>
  <c r="AU22" i="2" s="1"/>
  <c r="AM32" i="2"/>
  <c r="AU32" i="2" s="1"/>
  <c r="AM42" i="2"/>
  <c r="AM54" i="2"/>
  <c r="AU54" i="2" s="1"/>
  <c r="AM64" i="2"/>
  <c r="AU64" i="2" s="1"/>
  <c r="AM74" i="2"/>
  <c r="AB6" i="2"/>
  <c r="AJ6" i="2" s="1"/>
  <c r="AC9" i="2"/>
  <c r="AK9" i="2" s="1"/>
  <c r="AC13" i="2"/>
  <c r="AK13" i="2" s="1"/>
  <c r="AD16" i="2"/>
  <c r="AL16" i="2" s="1"/>
  <c r="AB20" i="2"/>
  <c r="AJ20" i="2" s="1"/>
  <c r="AB24" i="2"/>
  <c r="AJ24" i="2" s="1"/>
  <c r="AC27" i="2"/>
  <c r="AK27" i="2" s="1"/>
  <c r="AD30" i="2"/>
  <c r="AL30" i="2" s="1"/>
  <c r="AD34" i="2"/>
  <c r="AL34" i="2" s="1"/>
  <c r="AB38" i="2"/>
  <c r="AJ38" i="2" s="1"/>
  <c r="AP8" i="2"/>
  <c r="AX8" i="2" s="1"/>
  <c r="AP14" i="2"/>
  <c r="AX14" i="2" s="1"/>
  <c r="AO21" i="2"/>
  <c r="AW21" i="2" s="1"/>
  <c r="AO26" i="2"/>
  <c r="AW26" i="2" s="1"/>
  <c r="AO32" i="2"/>
  <c r="AO37" i="2"/>
  <c r="AW37" i="2" s="1"/>
  <c r="AO43" i="2"/>
  <c r="AW43" i="2" s="1"/>
  <c r="AO49" i="2"/>
  <c r="AW49" i="2" s="1"/>
  <c r="AO54" i="2"/>
  <c r="AW54" i="2" s="1"/>
  <c r="AN61" i="2"/>
  <c r="AV61" i="2" s="1"/>
  <c r="AO65" i="2"/>
  <c r="AW65" i="2" s="1"/>
  <c r="AN72" i="2"/>
  <c r="AV72" i="2" s="1"/>
  <c r="AM16" i="2"/>
  <c r="AU16" i="2" s="1"/>
  <c r="AM34" i="2"/>
  <c r="AM49" i="2"/>
  <c r="AM67" i="2"/>
  <c r="AB7" i="2"/>
  <c r="AD13" i="2"/>
  <c r="AL13" i="2" s="1"/>
  <c r="AD18" i="2"/>
  <c r="AL18" i="2" s="1"/>
  <c r="AD24" i="2"/>
  <c r="AL24" i="2" s="1"/>
  <c r="AD29" i="2"/>
  <c r="AD35" i="2"/>
  <c r="AC40" i="2"/>
  <c r="AK40" i="2" s="1"/>
  <c r="AD43" i="2"/>
  <c r="AB47" i="2"/>
  <c r="AJ47" i="2" s="1"/>
  <c r="AB51" i="2"/>
  <c r="AC54" i="2"/>
  <c r="AD57" i="2"/>
  <c r="AL57" i="2" s="1"/>
  <c r="AD61" i="2"/>
  <c r="AL61" i="2" s="1"/>
  <c r="AB65" i="2"/>
  <c r="AC68" i="2"/>
  <c r="AK68" i="2" s="1"/>
  <c r="D68" i="3" s="1"/>
  <c r="L68" i="3" s="1"/>
  <c r="AC72" i="2"/>
  <c r="AD75" i="2"/>
  <c r="AA4" i="2"/>
  <c r="AI4" i="2" s="1"/>
  <c r="AA16" i="2"/>
  <c r="AA26" i="2"/>
  <c r="AI26" i="2" s="1"/>
  <c r="AA36" i="2"/>
  <c r="AI36" i="2" s="1"/>
  <c r="AA48" i="2"/>
  <c r="AI48" i="2" s="1"/>
  <c r="AA58" i="2"/>
  <c r="AI58" i="2" s="1"/>
  <c r="AA68" i="2"/>
  <c r="AI68" i="2" s="1"/>
  <c r="Q6" i="2"/>
  <c r="Y6" i="2" s="1"/>
  <c r="P9" i="2"/>
  <c r="X9" i="2" s="1"/>
  <c r="R11" i="2"/>
  <c r="Z11" i="2" s="1"/>
  <c r="Q14" i="2"/>
  <c r="P17" i="2"/>
  <c r="X17" i="2" s="1"/>
  <c r="R19" i="2"/>
  <c r="Z19" i="2" s="1"/>
  <c r="Q22" i="2"/>
  <c r="Y22" i="2" s="1"/>
  <c r="D22" i="3" s="1"/>
  <c r="L22" i="3" s="1"/>
  <c r="P25" i="2"/>
  <c r="X25" i="2" s="1"/>
  <c r="R27" i="2"/>
  <c r="Z27" i="2" s="1"/>
  <c r="Q30" i="2"/>
  <c r="Y30" i="2" s="1"/>
  <c r="P33" i="2"/>
  <c r="X33" i="2" s="1"/>
  <c r="R35" i="2"/>
  <c r="Z35" i="2" s="1"/>
  <c r="Q38" i="2"/>
  <c r="Y38" i="2" s="1"/>
  <c r="P41" i="2"/>
  <c r="X41" i="2" s="1"/>
  <c r="R43" i="2"/>
  <c r="Z43" i="2" s="1"/>
  <c r="Q46" i="2"/>
  <c r="Y46" i="2" s="1"/>
  <c r="P49" i="2"/>
  <c r="X49" i="2" s="1"/>
  <c r="R51" i="2"/>
  <c r="Z51" i="2" s="1"/>
  <c r="Q54" i="2"/>
  <c r="P57" i="2"/>
  <c r="X57" i="2" s="1"/>
  <c r="R59" i="2"/>
  <c r="Z59" i="2" s="1"/>
  <c r="Q62" i="2"/>
  <c r="Y62" i="2" s="1"/>
  <c r="P65" i="2"/>
  <c r="X65" i="2" s="1"/>
  <c r="R67" i="2"/>
  <c r="Z67" i="2" s="1"/>
  <c r="Q70" i="2"/>
  <c r="Y70" i="2" s="1"/>
  <c r="P73" i="2"/>
  <c r="R75" i="2"/>
  <c r="Z75" i="2" s="1"/>
  <c r="O10" i="2"/>
  <c r="W10" i="2" s="1"/>
  <c r="B10" i="3" s="1"/>
  <c r="J10" i="3" s="1"/>
  <c r="O18" i="2"/>
  <c r="W18" i="2" s="1"/>
  <c r="O26" i="2"/>
  <c r="W26" i="2" s="1"/>
  <c r="O34" i="2"/>
  <c r="W34" i="2" s="1"/>
  <c r="O42" i="2"/>
  <c r="W42" i="2" s="1"/>
  <c r="O50" i="2"/>
  <c r="W50" i="2" s="1"/>
  <c r="O58" i="2"/>
  <c r="W58" i="2" s="1"/>
  <c r="O66" i="2"/>
  <c r="W66" i="2" s="1"/>
  <c r="O74" i="2"/>
  <c r="W74" i="2" s="1"/>
  <c r="AN4" i="2"/>
  <c r="AV4" i="2" s="1"/>
  <c r="AP10" i="2"/>
  <c r="AX10" i="2" s="1"/>
  <c r="AP15" i="2"/>
  <c r="AX15" i="2" s="1"/>
  <c r="AP21" i="2"/>
  <c r="AP26" i="2"/>
  <c r="AX26" i="2" s="1"/>
  <c r="AP32" i="2"/>
  <c r="AX32" i="2" s="1"/>
  <c r="AP38" i="2"/>
  <c r="AX38" i="2" s="1"/>
  <c r="AP43" i="2"/>
  <c r="AX43" i="2" s="1"/>
  <c r="AO50" i="2"/>
  <c r="AW50" i="2" s="1"/>
  <c r="AP54" i="2"/>
  <c r="AX54" i="2" s="1"/>
  <c r="AO61" i="2"/>
  <c r="AW61" i="2" s="1"/>
  <c r="AO67" i="2"/>
  <c r="AO72" i="2"/>
  <c r="AM17" i="2"/>
  <c r="AU17" i="2" s="1"/>
  <c r="AM35" i="2"/>
  <c r="AM55" i="2"/>
  <c r="AU55" i="2" s="1"/>
  <c r="AM70" i="2"/>
  <c r="AU70" i="2" s="1"/>
  <c r="AB8" i="2"/>
  <c r="AJ8" i="2" s="1"/>
  <c r="AB14" i="2"/>
  <c r="AJ14" i="2" s="1"/>
  <c r="AB19" i="2"/>
  <c r="AB25" i="2"/>
  <c r="AB31" i="2"/>
  <c r="AJ31" i="2" s="1"/>
  <c r="AB36" i="2"/>
  <c r="AJ36" i="2" s="1"/>
  <c r="AD40" i="2"/>
  <c r="AL40" i="2" s="1"/>
  <c r="AB44" i="2"/>
  <c r="AJ44" i="2" s="1"/>
  <c r="AB48" i="2"/>
  <c r="AJ48" i="2" s="1"/>
  <c r="AC51" i="2"/>
  <c r="AK51" i="2" s="1"/>
  <c r="AD54" i="2"/>
  <c r="AL54" i="2" s="1"/>
  <c r="AD58" i="2"/>
  <c r="AL58" i="2" s="1"/>
  <c r="AB62" i="2"/>
  <c r="AJ62" i="2" s="1"/>
  <c r="AC65" i="2"/>
  <c r="AK65" i="2" s="1"/>
  <c r="AC69" i="2"/>
  <c r="AK69" i="2" s="1"/>
  <c r="AD72" i="2"/>
  <c r="AB76" i="2"/>
  <c r="AJ76" i="2" s="1"/>
  <c r="AA7" i="2"/>
  <c r="AI7" i="2" s="1"/>
  <c r="AA17" i="2"/>
  <c r="AI17" i="2" s="1"/>
  <c r="AA27" i="2"/>
  <c r="AA39" i="2"/>
  <c r="AI39" i="2" s="1"/>
  <c r="AA49" i="2"/>
  <c r="AI49" i="2" s="1"/>
  <c r="AA59" i="2"/>
  <c r="AA71" i="2"/>
  <c r="AI71" i="2" s="1"/>
  <c r="AN5" i="2"/>
  <c r="AV5" i="2" s="1"/>
  <c r="AN11" i="2"/>
  <c r="AV11" i="2" s="1"/>
  <c r="AN16" i="2"/>
  <c r="AV16" i="2" s="1"/>
  <c r="AN22" i="2"/>
  <c r="AV22" i="2" s="1"/>
  <c r="AN28" i="2"/>
  <c r="AV28" i="2" s="1"/>
  <c r="AN33" i="2"/>
  <c r="AV33" i="2" s="1"/>
  <c r="AP39" i="2"/>
  <c r="AX39" i="2" s="1"/>
  <c r="AN44" i="2"/>
  <c r="AV44" i="2" s="1"/>
  <c r="AP50" i="2"/>
  <c r="AX50" i="2" s="1"/>
  <c r="AP56" i="2"/>
  <c r="AX56" i="2" s="1"/>
  <c r="E56" i="3" s="1"/>
  <c r="M56" i="3" s="1"/>
  <c r="AP61" i="2"/>
  <c r="AP67" i="2"/>
  <c r="AX67" i="2" s="1"/>
  <c r="AP72" i="2"/>
  <c r="AM23" i="2"/>
  <c r="AU23" i="2" s="1"/>
  <c r="AM38" i="2"/>
  <c r="AU38" i="2" s="1"/>
  <c r="AM56" i="2"/>
  <c r="AU56" i="2" s="1"/>
  <c r="AM71" i="2"/>
  <c r="AU71" i="2" s="1"/>
  <c r="AC8" i="2"/>
  <c r="AC14" i="2"/>
  <c r="AC20" i="2"/>
  <c r="AK20" i="2" s="1"/>
  <c r="AC25" i="2"/>
  <c r="AK25" i="2" s="1"/>
  <c r="AB32" i="2"/>
  <c r="AJ32" i="2" s="1"/>
  <c r="AC36" i="2"/>
  <c r="AK36" i="2" s="1"/>
  <c r="AB41" i="2"/>
  <c r="AC44" i="2"/>
  <c r="AK44" i="2" s="1"/>
  <c r="AC48" i="2"/>
  <c r="AD51" i="2"/>
  <c r="AB55" i="2"/>
  <c r="AJ55" i="2" s="1"/>
  <c r="AB59" i="2"/>
  <c r="AJ59" i="2" s="1"/>
  <c r="AC62" i="2"/>
  <c r="AD65" i="2"/>
  <c r="AL65" i="2" s="1"/>
  <c r="AD69" i="2"/>
  <c r="AB73" i="2"/>
  <c r="AC76" i="2"/>
  <c r="AK76" i="2" s="1"/>
  <c r="AA8" i="2"/>
  <c r="AI8" i="2" s="1"/>
  <c r="AA18" i="2"/>
  <c r="AI18" i="2" s="1"/>
  <c r="AA28" i="2"/>
  <c r="AI28" i="2" s="1"/>
  <c r="AA40" i="2"/>
  <c r="AI40" i="2" s="1"/>
  <c r="AA50" i="2"/>
  <c r="AI50" i="2" s="1"/>
  <c r="AA60" i="2"/>
  <c r="AI60" i="2" s="1"/>
  <c r="AA72" i="2"/>
  <c r="AI72" i="2" s="1"/>
  <c r="AN8" i="2"/>
  <c r="AV8" i="2" s="1"/>
  <c r="AN14" i="2"/>
  <c r="AV14" i="2" s="1"/>
  <c r="AN19" i="2"/>
  <c r="AN25" i="2"/>
  <c r="AV25" i="2" s="1"/>
  <c r="AN30" i="2"/>
  <c r="AN36" i="2"/>
  <c r="AV36" i="2" s="1"/>
  <c r="C36" i="3" s="1"/>
  <c r="K36" i="3" s="1"/>
  <c r="AP42" i="2"/>
  <c r="AX42" i="2" s="1"/>
  <c r="AP47" i="2"/>
  <c r="AX47" i="2" s="1"/>
  <c r="AP53" i="2"/>
  <c r="AX53" i="2" s="1"/>
  <c r="AP58" i="2"/>
  <c r="AX58" i="2" s="1"/>
  <c r="AP64" i="2"/>
  <c r="AP70" i="2"/>
  <c r="AP75" i="2"/>
  <c r="AM14" i="2"/>
  <c r="AU14" i="2" s="1"/>
  <c r="AM27" i="2"/>
  <c r="AM47" i="2"/>
  <c r="AU47" i="2" s="1"/>
  <c r="AM65" i="2"/>
  <c r="AC6" i="2"/>
  <c r="AC11" i="2"/>
  <c r="AK11" i="2" s="1"/>
  <c r="AC17" i="2"/>
  <c r="AK17" i="2" s="1"/>
  <c r="AC22" i="2"/>
  <c r="AK22" i="2" s="1"/>
  <c r="AC28" i="2"/>
  <c r="AK28" i="2" s="1"/>
  <c r="AB35" i="2"/>
  <c r="AB39" i="2"/>
  <c r="AJ39" i="2" s="1"/>
  <c r="C39" i="3" s="1"/>
  <c r="K39" i="3" s="1"/>
  <c r="AB43" i="2"/>
  <c r="AJ43" i="2" s="1"/>
  <c r="AC46" i="2"/>
  <c r="AD49" i="2"/>
  <c r="AL49" i="2" s="1"/>
  <c r="AD53" i="2"/>
  <c r="AB57" i="2"/>
  <c r="AC60" i="2"/>
  <c r="AK60" i="2" s="1"/>
  <c r="AC64" i="2"/>
  <c r="AD67" i="2"/>
  <c r="AB71" i="2"/>
  <c r="AJ71" i="2" s="1"/>
  <c r="AB75" i="2"/>
  <c r="AA12" i="2"/>
  <c r="AI12" i="2" s="1"/>
  <c r="AA24" i="2"/>
  <c r="AI24" i="2" s="1"/>
  <c r="AA34" i="2"/>
  <c r="AI34" i="2" s="1"/>
  <c r="AN12" i="2"/>
  <c r="AV12" i="2" s="1"/>
  <c r="AP24" i="2"/>
  <c r="AX24" i="2" s="1"/>
  <c r="AP35" i="2"/>
  <c r="AX35" i="2" s="1"/>
  <c r="AP46" i="2"/>
  <c r="AX46" i="2" s="1"/>
  <c r="AO58" i="2"/>
  <c r="AW58" i="2" s="1"/>
  <c r="AO69" i="2"/>
  <c r="AW69" i="2" s="1"/>
  <c r="AM11" i="2"/>
  <c r="AM46" i="2"/>
  <c r="AU46" i="2" s="1"/>
  <c r="AC4" i="2"/>
  <c r="AK4" i="2" s="1"/>
  <c r="D4" i="3" s="1"/>
  <c r="L4" i="3" s="1"/>
  <c r="AB17" i="2"/>
  <c r="AB28" i="2"/>
  <c r="AJ28" i="2" s="1"/>
  <c r="C28" i="3" s="1"/>
  <c r="K28" i="3" s="1"/>
  <c r="AD38" i="2"/>
  <c r="AL38" i="2" s="1"/>
  <c r="AB46" i="2"/>
  <c r="AJ46" i="2" s="1"/>
  <c r="AC53" i="2"/>
  <c r="AK53" i="2" s="1"/>
  <c r="AB60" i="2"/>
  <c r="AJ60" i="2" s="1"/>
  <c r="AC67" i="2"/>
  <c r="AD74" i="2"/>
  <c r="AA11" i="2"/>
  <c r="AA33" i="2"/>
  <c r="AI33" i="2" s="1"/>
  <c r="AA52" i="2"/>
  <c r="AI52" i="2" s="1"/>
  <c r="AA67" i="2"/>
  <c r="R6" i="2"/>
  <c r="Z6" i="2" s="1"/>
  <c r="R9" i="2"/>
  <c r="Z9" i="2" s="1"/>
  <c r="R12" i="2"/>
  <c r="Z12" i="2" s="1"/>
  <c r="E12" i="3" s="1"/>
  <c r="M12" i="3" s="1"/>
  <c r="R15" i="2"/>
  <c r="Z15" i="2" s="1"/>
  <c r="R18" i="2"/>
  <c r="Z18" i="2" s="1"/>
  <c r="R21" i="2"/>
  <c r="R24" i="2"/>
  <c r="Z24" i="2" s="1"/>
  <c r="E24" i="3" s="1"/>
  <c r="M24" i="3" s="1"/>
  <c r="P28" i="2"/>
  <c r="X28" i="2" s="1"/>
  <c r="P31" i="2"/>
  <c r="X31" i="2" s="1"/>
  <c r="P34" i="2"/>
  <c r="X34" i="2" s="1"/>
  <c r="P37" i="2"/>
  <c r="X37" i="2" s="1"/>
  <c r="P40" i="2"/>
  <c r="X40" i="2" s="1"/>
  <c r="P43" i="2"/>
  <c r="X43" i="2" s="1"/>
  <c r="P46" i="2"/>
  <c r="X46" i="2" s="1"/>
  <c r="C46" i="3" s="1"/>
  <c r="K46" i="3" s="1"/>
  <c r="Q49" i="2"/>
  <c r="Y49" i="2" s="1"/>
  <c r="D49" i="3" s="1"/>
  <c r="L49" i="3" s="1"/>
  <c r="Q52" i="2"/>
  <c r="Y52" i="2" s="1"/>
  <c r="Q55" i="2"/>
  <c r="Y55" i="2" s="1"/>
  <c r="D55" i="3" s="1"/>
  <c r="L55" i="3" s="1"/>
  <c r="Q58" i="2"/>
  <c r="Q61" i="2"/>
  <c r="Q64" i="2"/>
  <c r="Q67" i="2"/>
  <c r="Y67" i="2" s="1"/>
  <c r="R70" i="2"/>
  <c r="Z70" i="2" s="1"/>
  <c r="R73" i="2"/>
  <c r="Z73" i="2" s="1"/>
  <c r="E73" i="3" s="1"/>
  <c r="M73" i="3" s="1"/>
  <c r="R76" i="2"/>
  <c r="Z76" i="2" s="1"/>
  <c r="E76" i="3" s="1"/>
  <c r="M76" i="3" s="1"/>
  <c r="O6" i="2"/>
  <c r="W6" i="2" s="1"/>
  <c r="O15" i="2"/>
  <c r="W15" i="2" s="1"/>
  <c r="O24" i="2"/>
  <c r="W24" i="2" s="1"/>
  <c r="O33" i="2"/>
  <c r="W33" i="2" s="1"/>
  <c r="B33" i="3" s="1"/>
  <c r="J33" i="3" s="1"/>
  <c r="O43" i="2"/>
  <c r="O52" i="2"/>
  <c r="W52" i="2" s="1"/>
  <c r="O61" i="2"/>
  <c r="W61" i="2" s="1"/>
  <c r="B61" i="3" s="1"/>
  <c r="J61" i="3" s="1"/>
  <c r="O70" i="2"/>
  <c r="W70" i="2" s="1"/>
  <c r="AO14" i="2"/>
  <c r="AW14" i="2" s="1"/>
  <c r="AO25" i="2"/>
  <c r="AW25" i="2" s="1"/>
  <c r="AN37" i="2"/>
  <c r="AV37" i="2" s="1"/>
  <c r="AN48" i="2"/>
  <c r="AV48" i="2" s="1"/>
  <c r="AN60" i="2"/>
  <c r="AV60" i="2" s="1"/>
  <c r="AP71" i="2"/>
  <c r="AX71" i="2" s="1"/>
  <c r="AM15" i="2"/>
  <c r="AU15" i="2" s="1"/>
  <c r="AM48" i="2"/>
  <c r="AU48" i="2" s="1"/>
  <c r="AD6" i="2"/>
  <c r="AL6" i="2" s="1"/>
  <c r="AD17" i="2"/>
  <c r="AL17" i="2" s="1"/>
  <c r="AC29" i="2"/>
  <c r="AK29" i="2" s="1"/>
  <c r="AB40" i="2"/>
  <c r="AJ40" i="2" s="1"/>
  <c r="AD46" i="2"/>
  <c r="AL46" i="2" s="1"/>
  <c r="AB54" i="2"/>
  <c r="AJ54" i="2" s="1"/>
  <c r="AC61" i="2"/>
  <c r="AK61" i="2" s="1"/>
  <c r="AB68" i="2"/>
  <c r="AJ68" i="2" s="1"/>
  <c r="AC75" i="2"/>
  <c r="AA15" i="2"/>
  <c r="AI15" i="2" s="1"/>
  <c r="AA35" i="2"/>
  <c r="AA55" i="2"/>
  <c r="AI55" i="2" s="1"/>
  <c r="AA73" i="2"/>
  <c r="AI73" i="2" s="1"/>
  <c r="P4" i="2"/>
  <c r="X4" i="2" s="1"/>
  <c r="C4" i="3" s="1"/>
  <c r="K4" i="3" s="1"/>
  <c r="P7" i="2"/>
  <c r="X7" i="2" s="1"/>
  <c r="P10" i="2"/>
  <c r="X10" i="2" s="1"/>
  <c r="P13" i="2"/>
  <c r="X13" i="2" s="1"/>
  <c r="C13" i="3" s="1"/>
  <c r="K13" i="3" s="1"/>
  <c r="P16" i="2"/>
  <c r="X16" i="2" s="1"/>
  <c r="P19" i="2"/>
  <c r="P22" i="2"/>
  <c r="X22" i="2" s="1"/>
  <c r="C22" i="3" s="1"/>
  <c r="K22" i="3" s="1"/>
  <c r="Q25" i="2"/>
  <c r="Y25" i="2" s="1"/>
  <c r="Q28" i="2"/>
  <c r="Y28" i="2" s="1"/>
  <c r="Q31" i="2"/>
  <c r="Y31" i="2" s="1"/>
  <c r="D31" i="3" s="1"/>
  <c r="L31" i="3" s="1"/>
  <c r="Q34" i="2"/>
  <c r="Y34" i="2" s="1"/>
  <c r="D34" i="3" s="1"/>
  <c r="L34" i="3" s="1"/>
  <c r="Q37" i="2"/>
  <c r="Y37" i="2" s="1"/>
  <c r="Q40" i="2"/>
  <c r="Q43" i="2"/>
  <c r="Y43" i="2" s="1"/>
  <c r="R46" i="2"/>
  <c r="Z46" i="2" s="1"/>
  <c r="R49" i="2"/>
  <c r="Z49" i="2" s="1"/>
  <c r="E49" i="3" s="1"/>
  <c r="M49" i="3" s="1"/>
  <c r="R52" i="2"/>
  <c r="Z52" i="2" s="1"/>
  <c r="R55" i="2"/>
  <c r="Z55" i="2" s="1"/>
  <c r="R58" i="2"/>
  <c r="Z58" i="2" s="1"/>
  <c r="R61" i="2"/>
  <c r="Z61" i="2" s="1"/>
  <c r="R64" i="2"/>
  <c r="P68" i="2"/>
  <c r="P71" i="2"/>
  <c r="X71" i="2" s="1"/>
  <c r="P74" i="2"/>
  <c r="X74" i="2" s="1"/>
  <c r="P77" i="2"/>
  <c r="X77" i="2" s="1"/>
  <c r="C77" i="3" s="1"/>
  <c r="K77" i="3" s="1"/>
  <c r="O7" i="2"/>
  <c r="W7" i="2" s="1"/>
  <c r="B7" i="3" s="1"/>
  <c r="J7" i="3" s="1"/>
  <c r="O16" i="2"/>
  <c r="W16" i="2" s="1"/>
  <c r="O25" i="2"/>
  <c r="W25" i="2" s="1"/>
  <c r="O35" i="2"/>
  <c r="O44" i="2"/>
  <c r="W44" i="2" s="1"/>
  <c r="O53" i="2"/>
  <c r="W53" i="2" s="1"/>
  <c r="O62" i="2"/>
  <c r="W62" i="2" s="1"/>
  <c r="O71" i="2"/>
  <c r="W71" i="2" s="1"/>
  <c r="AO5" i="2"/>
  <c r="AW5" i="2" s="1"/>
  <c r="AO17" i="2"/>
  <c r="AW17" i="2" s="1"/>
  <c r="AN29" i="2"/>
  <c r="AV29" i="2" s="1"/>
  <c r="AN40" i="2"/>
  <c r="AV40" i="2" s="1"/>
  <c r="AN51" i="2"/>
  <c r="AN62" i="2"/>
  <c r="AV62" i="2" s="1"/>
  <c r="AP74" i="2"/>
  <c r="AX74" i="2" s="1"/>
  <c r="AM24" i="2"/>
  <c r="AU24" i="2" s="1"/>
  <c r="AM57" i="2"/>
  <c r="AD9" i="2"/>
  <c r="AL9" i="2" s="1"/>
  <c r="E9" i="3" s="1"/>
  <c r="M9" i="3" s="1"/>
  <c r="AC21" i="2"/>
  <c r="AK21" i="2" s="1"/>
  <c r="AC32" i="2"/>
  <c r="AK32" i="2" s="1"/>
  <c r="AC41" i="2"/>
  <c r="AK41" i="2" s="1"/>
  <c r="AD48" i="2"/>
  <c r="AL48" i="2" s="1"/>
  <c r="AB56" i="2"/>
  <c r="AJ56" i="2" s="1"/>
  <c r="AD62" i="2"/>
  <c r="AL62" i="2" s="1"/>
  <c r="AB70" i="2"/>
  <c r="AJ70" i="2" s="1"/>
  <c r="AC77" i="2"/>
  <c r="AA19" i="2"/>
  <c r="AA41" i="2"/>
  <c r="AI41" i="2" s="1"/>
  <c r="AA56" i="2"/>
  <c r="AI56" i="2" s="1"/>
  <c r="AA74" i="2"/>
  <c r="AI74" i="2" s="1"/>
  <c r="Q4" i="2"/>
  <c r="Y4" i="2" s="1"/>
  <c r="Q7" i="2"/>
  <c r="Y7" i="2" s="1"/>
  <c r="D7" i="3" s="1"/>
  <c r="L7" i="3" s="1"/>
  <c r="Q10" i="2"/>
  <c r="Y10" i="2" s="1"/>
  <c r="D10" i="3" s="1"/>
  <c r="L10" i="3" s="1"/>
  <c r="Q13" i="2"/>
  <c r="Y13" i="2" s="1"/>
  <c r="Q16" i="2"/>
  <c r="AO11" i="2"/>
  <c r="AW11" i="2" s="1"/>
  <c r="AO22" i="2"/>
  <c r="AW22" i="2" s="1"/>
  <c r="AO33" i="2"/>
  <c r="AW33" i="2" s="1"/>
  <c r="AN46" i="2"/>
  <c r="AV46" i="2" s="1"/>
  <c r="AN57" i="2"/>
  <c r="AV57" i="2" s="1"/>
  <c r="AN68" i="2"/>
  <c r="AV68" i="2" s="1"/>
  <c r="AM6" i="2"/>
  <c r="AU6" i="2" s="1"/>
  <c r="AM39" i="2"/>
  <c r="AU39" i="2" s="1"/>
  <c r="AM75" i="2"/>
  <c r="AD14" i="2"/>
  <c r="AL14" i="2" s="1"/>
  <c r="AD25" i="2"/>
  <c r="AL25" i="2" s="1"/>
  <c r="AC37" i="2"/>
  <c r="AK37" i="2" s="1"/>
  <c r="D37" i="3" s="1"/>
  <c r="L37" i="3" s="1"/>
  <c r="AC45" i="2"/>
  <c r="AK45" i="2" s="1"/>
  <c r="AB52" i="2"/>
  <c r="AJ52" i="2" s="1"/>
  <c r="AC59" i="2"/>
  <c r="AK59" i="2" s="1"/>
  <c r="AD66" i="2"/>
  <c r="AL66" i="2" s="1"/>
  <c r="AC73" i="2"/>
  <c r="AK73" i="2" s="1"/>
  <c r="AA9" i="2"/>
  <c r="AI9" i="2" s="1"/>
  <c r="AA31" i="2"/>
  <c r="AI31" i="2" s="1"/>
  <c r="AA47" i="2"/>
  <c r="AI47" i="2" s="1"/>
  <c r="AA65" i="2"/>
  <c r="AI65" i="2" s="1"/>
  <c r="R5" i="2"/>
  <c r="R8" i="2"/>
  <c r="Z8" i="2" s="1"/>
  <c r="E8" i="3" s="1"/>
  <c r="M8" i="3" s="1"/>
  <c r="P12" i="2"/>
  <c r="X12" i="2" s="1"/>
  <c r="P15" i="2"/>
  <c r="X15" i="2" s="1"/>
  <c r="P18" i="2"/>
  <c r="X18" i="2" s="1"/>
  <c r="P21" i="2"/>
  <c r="X21" i="2" s="1"/>
  <c r="P24" i="2"/>
  <c r="X24" i="2" s="1"/>
  <c r="P27" i="2"/>
  <c r="P30" i="2"/>
  <c r="X30" i="2" s="1"/>
  <c r="Q33" i="2"/>
  <c r="Y33" i="2" s="1"/>
  <c r="Q36" i="2"/>
  <c r="Y36" i="2" s="1"/>
  <c r="Q39" i="2"/>
  <c r="Y39" i="2" s="1"/>
  <c r="D39" i="3" s="1"/>
  <c r="L39" i="3" s="1"/>
  <c r="Q42" i="2"/>
  <c r="Y42" i="2" s="1"/>
  <c r="Q45" i="2"/>
  <c r="Y45" i="2" s="1"/>
  <c r="Q48" i="2"/>
  <c r="Q51" i="2"/>
  <c r="Y51" i="2" s="1"/>
  <c r="R54" i="2"/>
  <c r="Z54" i="2" s="1"/>
  <c r="R57" i="2"/>
  <c r="Z57" i="2" s="1"/>
  <c r="E57" i="3" s="1"/>
  <c r="M57" i="3" s="1"/>
  <c r="R60" i="2"/>
  <c r="Z60" i="2" s="1"/>
  <c r="R63" i="2"/>
  <c r="Z63" i="2" s="1"/>
  <c r="R66" i="2"/>
  <c r="R69" i="2"/>
  <c r="R72" i="2"/>
  <c r="Z72" i="2" s="1"/>
  <c r="P76" i="2"/>
  <c r="X76" i="2" s="1"/>
  <c r="O4" i="2"/>
  <c r="W4" i="2" s="1"/>
  <c r="O13" i="2"/>
  <c r="W13" i="2" s="1"/>
  <c r="B13" i="3" s="1"/>
  <c r="J13" i="3" s="1"/>
  <c r="O22" i="2"/>
  <c r="W22" i="2" s="1"/>
  <c r="B22" i="3" s="1"/>
  <c r="J22" i="3" s="1"/>
  <c r="AP11" i="2"/>
  <c r="AX11" i="2" s="1"/>
  <c r="AP22" i="2"/>
  <c r="AX22" i="2" s="1"/>
  <c r="AO35" i="2"/>
  <c r="AW35" i="2" s="1"/>
  <c r="AO46" i="2"/>
  <c r="AW46" i="2" s="1"/>
  <c r="AO57" i="2"/>
  <c r="AW57" i="2" s="1"/>
  <c r="AN69" i="2"/>
  <c r="AV69" i="2" s="1"/>
  <c r="AM7" i="2"/>
  <c r="AU7" i="2" s="1"/>
  <c r="AM43" i="2"/>
  <c r="AB4" i="2"/>
  <c r="AJ4" i="2" s="1"/>
  <c r="AB15" i="2"/>
  <c r="AJ15" i="2" s="1"/>
  <c r="AD27" i="2"/>
  <c r="AC38" i="2"/>
  <c r="AD45" i="2"/>
  <c r="AC52" i="2"/>
  <c r="AK52" i="2" s="1"/>
  <c r="AD59" i="2"/>
  <c r="AL59" i="2" s="1"/>
  <c r="AB67" i="2"/>
  <c r="AD73" i="2"/>
  <c r="AL73" i="2" s="1"/>
  <c r="AA10" i="2"/>
  <c r="AI10" i="2" s="1"/>
  <c r="AA32" i="2"/>
  <c r="AI32" i="2" s="1"/>
  <c r="AA51" i="2"/>
  <c r="AA66" i="2"/>
  <c r="AI66" i="2" s="1"/>
  <c r="P6" i="2"/>
  <c r="X6" i="2" s="1"/>
  <c r="C6" i="3" s="1"/>
  <c r="K6" i="3" s="1"/>
  <c r="Q9" i="2"/>
  <c r="Y9" i="2" s="1"/>
  <c r="D9" i="3" s="1"/>
  <c r="L9" i="3" s="1"/>
  <c r="Q12" i="2"/>
  <c r="Y12" i="2" s="1"/>
  <c r="D12" i="3" s="1"/>
  <c r="L12" i="3" s="1"/>
  <c r="Q15" i="2"/>
  <c r="Y15" i="2" s="1"/>
  <c r="Q18" i="2"/>
  <c r="Y18" i="2" s="1"/>
  <c r="Q21" i="2"/>
  <c r="Y21" i="2" s="1"/>
  <c r="Q24" i="2"/>
  <c r="Y24" i="2" s="1"/>
  <c r="Q27" i="2"/>
  <c r="Y27" i="2" s="1"/>
  <c r="D27" i="3" s="1"/>
  <c r="L27" i="3" s="1"/>
  <c r="R30" i="2"/>
  <c r="Z30" i="2" s="1"/>
  <c r="E30" i="3" s="1"/>
  <c r="M30" i="3" s="1"/>
  <c r="R33" i="2"/>
  <c r="Z33" i="2" s="1"/>
  <c r="R36" i="2"/>
  <c r="Z36" i="2" s="1"/>
  <c r="E36" i="3" s="1"/>
  <c r="M36" i="3" s="1"/>
  <c r="R39" i="2"/>
  <c r="Z39" i="2" s="1"/>
  <c r="R42" i="2"/>
  <c r="Z42" i="2" s="1"/>
  <c r="R45" i="2"/>
  <c r="R48" i="2"/>
  <c r="Z48" i="2" s="1"/>
  <c r="P52" i="2"/>
  <c r="X52" i="2" s="1"/>
  <c r="P55" i="2"/>
  <c r="X55" i="2" s="1"/>
  <c r="C55" i="3" s="1"/>
  <c r="K55" i="3" s="1"/>
  <c r="P58" i="2"/>
  <c r="X58" i="2" s="1"/>
  <c r="C58" i="3" s="1"/>
  <c r="K58" i="3" s="1"/>
  <c r="P61" i="2"/>
  <c r="X61" i="2" s="1"/>
  <c r="P64" i="2"/>
  <c r="X64" i="2" s="1"/>
  <c r="P67" i="2"/>
  <c r="P70" i="2"/>
  <c r="X70" i="2" s="1"/>
  <c r="Q73" i="2"/>
  <c r="Q76" i="2"/>
  <c r="Y76" i="2" s="1"/>
  <c r="O5" i="2"/>
  <c r="W5" i="2" s="1"/>
  <c r="O14" i="2"/>
  <c r="W14" i="2" s="1"/>
  <c r="O23" i="2"/>
  <c r="W23" i="2" s="1"/>
  <c r="O32" i="2"/>
  <c r="W32" i="2" s="1"/>
  <c r="O41" i="2"/>
  <c r="W41" i="2" s="1"/>
  <c r="O51" i="2"/>
  <c r="O60" i="2"/>
  <c r="W60" i="2" s="1"/>
  <c r="B60" i="3" s="1"/>
  <c r="J60" i="3" s="1"/>
  <c r="O69" i="2"/>
  <c r="W69" i="2" s="1"/>
  <c r="AP7" i="2"/>
  <c r="AX7" i="2" s="1"/>
  <c r="AO40" i="2"/>
  <c r="AW40" i="2" s="1"/>
  <c r="AN65" i="2"/>
  <c r="AV65" i="2" s="1"/>
  <c r="AM59" i="2"/>
  <c r="AB11" i="2"/>
  <c r="AD41" i="2"/>
  <c r="AL41" i="2" s="1"/>
  <c r="AC57" i="2"/>
  <c r="AK57" i="2" s="1"/>
  <c r="AA57" i="2"/>
  <c r="AI57" i="2" s="1"/>
  <c r="R10" i="2"/>
  <c r="Z10" i="2" s="1"/>
  <c r="E10" i="3" s="1"/>
  <c r="M10" i="3" s="1"/>
  <c r="R17" i="2"/>
  <c r="Z17" i="2" s="1"/>
  <c r="R23" i="2"/>
  <c r="Z23" i="2" s="1"/>
  <c r="E23" i="3" s="1"/>
  <c r="M23" i="3" s="1"/>
  <c r="R29" i="2"/>
  <c r="P36" i="2"/>
  <c r="X36" i="2" s="1"/>
  <c r="P42" i="2"/>
  <c r="X42" i="2" s="1"/>
  <c r="C42" i="3" s="1"/>
  <c r="K42" i="3" s="1"/>
  <c r="P48" i="2"/>
  <c r="X48" i="2" s="1"/>
  <c r="P54" i="2"/>
  <c r="X54" i="2" s="1"/>
  <c r="C54" i="3" s="1"/>
  <c r="K54" i="3" s="1"/>
  <c r="Q60" i="2"/>
  <c r="Y60" i="2" s="1"/>
  <c r="D60" i="3" s="1"/>
  <c r="L60" i="3" s="1"/>
  <c r="Q66" i="2"/>
  <c r="Y66" i="2" s="1"/>
  <c r="Q72" i="2"/>
  <c r="O21" i="2"/>
  <c r="W21" i="2" s="1"/>
  <c r="B21" i="3" s="1"/>
  <c r="J21" i="3" s="1"/>
  <c r="O38" i="2"/>
  <c r="W38" i="2" s="1"/>
  <c r="O54" i="2"/>
  <c r="W54" i="2" s="1"/>
  <c r="B54" i="3" s="1"/>
  <c r="J54" i="3" s="1"/>
  <c r="O67" i="2"/>
  <c r="AO19" i="2"/>
  <c r="AW19" i="2" s="1"/>
  <c r="AO53" i="2"/>
  <c r="AW53" i="2" s="1"/>
  <c r="AM25" i="2"/>
  <c r="AU25" i="2" s="1"/>
  <c r="AC24" i="2"/>
  <c r="AK24" i="2" s="1"/>
  <c r="AC49" i="2"/>
  <c r="AK49" i="2" s="1"/>
  <c r="AC70" i="2"/>
  <c r="AA25" i="2"/>
  <c r="AI25" i="2" s="1"/>
  <c r="AA76" i="2"/>
  <c r="AI76" i="2" s="1"/>
  <c r="Q5" i="2"/>
  <c r="Y5" i="2" s="1"/>
  <c r="P14" i="2"/>
  <c r="X14" i="2" s="1"/>
  <c r="C14" i="3" s="1"/>
  <c r="K14" i="3" s="1"/>
  <c r="R20" i="2"/>
  <c r="Z20" i="2" s="1"/>
  <c r="E20" i="3" s="1"/>
  <c r="M20" i="3" s="1"/>
  <c r="R26" i="2"/>
  <c r="Z26" i="2" s="1"/>
  <c r="E26" i="3" s="1"/>
  <c r="M26" i="3" s="1"/>
  <c r="R32" i="2"/>
  <c r="Z32" i="2" s="1"/>
  <c r="P39" i="2"/>
  <c r="X39" i="2" s="1"/>
  <c r="P45" i="2"/>
  <c r="X45" i="2" s="1"/>
  <c r="C45" i="3" s="1"/>
  <c r="K45" i="3" s="1"/>
  <c r="P51" i="2"/>
  <c r="Q57" i="2"/>
  <c r="Y57" i="2" s="1"/>
  <c r="D57" i="3" s="1"/>
  <c r="L57" i="3" s="1"/>
  <c r="Q63" i="2"/>
  <c r="Y63" i="2" s="1"/>
  <c r="Q69" i="2"/>
  <c r="Y69" i="2" s="1"/>
  <c r="Q75" i="2"/>
  <c r="O12" i="2"/>
  <c r="W12" i="2" s="1"/>
  <c r="B12" i="3" s="1"/>
  <c r="J12" i="3" s="1"/>
  <c r="O30" i="2"/>
  <c r="W30" i="2" s="1"/>
  <c r="O46" i="2"/>
  <c r="W46" i="2" s="1"/>
  <c r="B46" i="3" s="1"/>
  <c r="J46" i="3" s="1"/>
  <c r="O59" i="2"/>
  <c r="O75" i="2"/>
  <c r="AO29" i="2"/>
  <c r="AW29" i="2" s="1"/>
  <c r="AN54" i="2"/>
  <c r="AV54" i="2" s="1"/>
  <c r="AM26" i="2"/>
  <c r="AU26" i="2" s="1"/>
  <c r="AD32" i="2"/>
  <c r="AL32" i="2" s="1"/>
  <c r="AD50" i="2"/>
  <c r="AL50" i="2" s="1"/>
  <c r="AD70" i="2"/>
  <c r="AL70" i="2" s="1"/>
  <c r="AA42" i="2"/>
  <c r="AI42" i="2" s="1"/>
  <c r="R7" i="2"/>
  <c r="Z7" i="2" s="1"/>
  <c r="R14" i="2"/>
  <c r="Z14" i="2" s="1"/>
  <c r="E14" i="3" s="1"/>
  <c r="M14" i="3" s="1"/>
  <c r="R22" i="2"/>
  <c r="Z22" i="2" s="1"/>
  <c r="R28" i="2"/>
  <c r="Z28" i="2" s="1"/>
  <c r="R34" i="2"/>
  <c r="Z34" i="2" s="1"/>
  <c r="R40" i="2"/>
  <c r="Z40" i="2" s="1"/>
  <c r="P47" i="2"/>
  <c r="X47" i="2" s="1"/>
  <c r="C47" i="3" s="1"/>
  <c r="K47" i="3" s="1"/>
  <c r="P53" i="2"/>
  <c r="X53" i="2" s="1"/>
  <c r="C53" i="3" s="1"/>
  <c r="K53" i="3" s="1"/>
  <c r="P59" i="2"/>
  <c r="Q65" i="2"/>
  <c r="Y65" i="2" s="1"/>
  <c r="D65" i="3" s="1"/>
  <c r="L65" i="3" s="1"/>
  <c r="Q71" i="2"/>
  <c r="Y71" i="2" s="1"/>
  <c r="Q77" i="2"/>
  <c r="O17" i="2"/>
  <c r="W17" i="2" s="1"/>
  <c r="B17" i="3" s="1"/>
  <c r="J17" i="3" s="1"/>
  <c r="O31" i="2"/>
  <c r="W31" i="2" s="1"/>
  <c r="O47" i="2"/>
  <c r="W47" i="2" s="1"/>
  <c r="O63" i="2"/>
  <c r="W63" i="2" s="1"/>
  <c r="O76" i="2"/>
  <c r="W76" i="2" s="1"/>
  <c r="B76" i="3" s="1"/>
  <c r="J76" i="3" s="1"/>
  <c r="AP29" i="2"/>
  <c r="AX29" i="2" s="1"/>
  <c r="AN64" i="2"/>
  <c r="AV64" i="2" s="1"/>
  <c r="AM33" i="2"/>
  <c r="AU33" i="2" s="1"/>
  <c r="AB33" i="2"/>
  <c r="AC56" i="2"/>
  <c r="AB72" i="2"/>
  <c r="AJ72" i="2" s="1"/>
  <c r="AA43" i="2"/>
  <c r="P8" i="2"/>
  <c r="X8" i="2" s="1"/>
  <c r="R16" i="2"/>
  <c r="Z16" i="2" s="1"/>
  <c r="E16" i="3" s="1"/>
  <c r="M16" i="3" s="1"/>
  <c r="P23" i="2"/>
  <c r="X23" i="2" s="1"/>
  <c r="C23" i="3" s="1"/>
  <c r="K23" i="3" s="1"/>
  <c r="P29" i="2"/>
  <c r="X29" i="2" s="1"/>
  <c r="C29" i="3" s="1"/>
  <c r="K29" i="3" s="1"/>
  <c r="P35" i="2"/>
  <c r="Q41" i="2"/>
  <c r="Y41" i="2" s="1"/>
  <c r="Q47" i="2"/>
  <c r="Y47" i="2" s="1"/>
  <c r="Q53" i="2"/>
  <c r="Y53" i="2" s="1"/>
  <c r="Q59" i="2"/>
  <c r="Y59" i="2" s="1"/>
  <c r="D59" i="3" s="1"/>
  <c r="L59" i="3" s="1"/>
  <c r="R65" i="2"/>
  <c r="Z65" i="2" s="1"/>
  <c r="E65" i="3" s="1"/>
  <c r="M65" i="3" s="1"/>
  <c r="R71" i="2"/>
  <c r="Z71" i="2" s="1"/>
  <c r="E71" i="3" s="1"/>
  <c r="M71" i="3" s="1"/>
  <c r="R77" i="2"/>
  <c r="O19" i="2"/>
  <c r="O36" i="2"/>
  <c r="W36" i="2" s="1"/>
  <c r="B36" i="3" s="1"/>
  <c r="J36" i="3" s="1"/>
  <c r="O48" i="2"/>
  <c r="W48" i="2" s="1"/>
  <c r="B48" i="3" s="1"/>
  <c r="J48" i="3" s="1"/>
  <c r="O64" i="2"/>
  <c r="W64" i="2" s="1"/>
  <c r="O77" i="2"/>
  <c r="AN43" i="2"/>
  <c r="AV43" i="2" s="1"/>
  <c r="AC43" i="2"/>
  <c r="AK43" i="2" s="1"/>
  <c r="AA20" i="2"/>
  <c r="AI20" i="2" s="1"/>
  <c r="Q11" i="2"/>
  <c r="Y11" i="2" s="1"/>
  <c r="D11" i="3" s="1"/>
  <c r="L11" i="3" s="1"/>
  <c r="P26" i="2"/>
  <c r="X26" i="2" s="1"/>
  <c r="P38" i="2"/>
  <c r="X38" i="2" s="1"/>
  <c r="C38" i="3" s="1"/>
  <c r="K38" i="3" s="1"/>
  <c r="Q50" i="2"/>
  <c r="Y50" i="2" s="1"/>
  <c r="D50" i="3" s="1"/>
  <c r="L50" i="3" s="1"/>
  <c r="R62" i="2"/>
  <c r="R74" i="2"/>
  <c r="Z74" i="2" s="1"/>
  <c r="O28" i="2"/>
  <c r="W28" i="2" s="1"/>
  <c r="B28" i="3" s="1"/>
  <c r="J28" i="3" s="1"/>
  <c r="O56" i="2"/>
  <c r="W56" i="2" s="1"/>
  <c r="B56" i="3" s="1"/>
  <c r="J56" i="3" s="1"/>
  <c r="AO51" i="2"/>
  <c r="AW51" i="2" s="1"/>
  <c r="AB49" i="2"/>
  <c r="AJ49" i="2" s="1"/>
  <c r="AA23" i="2"/>
  <c r="AI23" i="2" s="1"/>
  <c r="R13" i="2"/>
  <c r="Q26" i="2"/>
  <c r="Y26" i="2" s="1"/>
  <c r="D26" i="3" s="1"/>
  <c r="L26" i="3" s="1"/>
  <c r="R38" i="2"/>
  <c r="Z38" i="2" s="1"/>
  <c r="E38" i="3" s="1"/>
  <c r="M38" i="3" s="1"/>
  <c r="R50" i="2"/>
  <c r="Z50" i="2" s="1"/>
  <c r="E50" i="3" s="1"/>
  <c r="M50" i="3" s="1"/>
  <c r="P63" i="2"/>
  <c r="X63" i="2" s="1"/>
  <c r="P75" i="2"/>
  <c r="O29" i="2"/>
  <c r="W29" i="2" s="1"/>
  <c r="B29" i="3" s="1"/>
  <c r="J29" i="3" s="1"/>
  <c r="O57" i="2"/>
  <c r="W57" i="2" s="1"/>
  <c r="AO18" i="2"/>
  <c r="AW18" i="2" s="1"/>
  <c r="AO75" i="2"/>
  <c r="AD21" i="2"/>
  <c r="AB64" i="2"/>
  <c r="AJ64" i="2" s="1"/>
  <c r="AA64" i="2"/>
  <c r="AI64" i="2" s="1"/>
  <c r="R4" i="2"/>
  <c r="Z4" i="2" s="1"/>
  <c r="P20" i="2"/>
  <c r="X20" i="2" s="1"/>
  <c r="C20" i="3" s="1"/>
  <c r="K20" i="3" s="1"/>
  <c r="P32" i="2"/>
  <c r="X32" i="2" s="1"/>
  <c r="Q44" i="2"/>
  <c r="Y44" i="2" s="1"/>
  <c r="Q56" i="2"/>
  <c r="R68" i="2"/>
  <c r="Z68" i="2" s="1"/>
  <c r="O9" i="2"/>
  <c r="W9" i="2" s="1"/>
  <c r="B9" i="3" s="1"/>
  <c r="J9" i="3" s="1"/>
  <c r="O40" i="2"/>
  <c r="W40" i="2" s="1"/>
  <c r="B40" i="3" s="1"/>
  <c r="J40" i="3" s="1"/>
  <c r="O72" i="2"/>
  <c r="W72" i="2" s="1"/>
  <c r="B72" i="3" s="1"/>
  <c r="J72" i="3" s="1"/>
  <c r="AN32" i="2"/>
  <c r="AV32" i="2" s="1"/>
  <c r="AM58" i="2"/>
  <c r="AC35" i="2"/>
  <c r="AK35" i="2" s="1"/>
  <c r="AD77" i="2"/>
  <c r="Q8" i="2"/>
  <c r="Q23" i="2"/>
  <c r="Y23" i="2" s="1"/>
  <c r="D23" i="3" s="1"/>
  <c r="L23" i="3" s="1"/>
  <c r="Q35" i="2"/>
  <c r="Y35" i="2" s="1"/>
  <c r="R47" i="2"/>
  <c r="Z47" i="2" s="1"/>
  <c r="E47" i="3" s="1"/>
  <c r="M47" i="3" s="1"/>
  <c r="P60" i="2"/>
  <c r="X60" i="2" s="1"/>
  <c r="C60" i="3" s="1"/>
  <c r="K60" i="3" s="1"/>
  <c r="P72" i="2"/>
  <c r="X72" i="2" s="1"/>
  <c r="C72" i="3" s="1"/>
  <c r="K72" i="3" s="1"/>
  <c r="O20" i="2"/>
  <c r="W20" i="2" s="1"/>
  <c r="O49" i="2"/>
  <c r="W49" i="2" s="1"/>
  <c r="AP40" i="2"/>
  <c r="AX40" i="2" s="1"/>
  <c r="AM66" i="2"/>
  <c r="AD42" i="2"/>
  <c r="AL42" i="2" s="1"/>
  <c r="P11" i="2"/>
  <c r="R25" i="2"/>
  <c r="Z25" i="2" s="1"/>
  <c r="R37" i="2"/>
  <c r="P50" i="2"/>
  <c r="X50" i="2" s="1"/>
  <c r="C50" i="3" s="1"/>
  <c r="K50" i="3" s="1"/>
  <c r="P62" i="2"/>
  <c r="X62" i="2" s="1"/>
  <c r="Q74" i="2"/>
  <c r="O27" i="2"/>
  <c r="O55" i="2"/>
  <c r="W55" i="2" s="1"/>
  <c r="AO64" i="2"/>
  <c r="AW64" i="2" s="1"/>
  <c r="AB22" i="2"/>
  <c r="AJ22" i="2" s="1"/>
  <c r="Q32" i="2"/>
  <c r="Q68" i="2"/>
  <c r="Y68" i="2" s="1"/>
  <c r="O65" i="2"/>
  <c r="W65" i="2" s="1"/>
  <c r="AN75" i="2"/>
  <c r="AD56" i="2"/>
  <c r="AL56" i="2" s="1"/>
  <c r="R41" i="2"/>
  <c r="Z41" i="2" s="1"/>
  <c r="P69" i="2"/>
  <c r="O68" i="2"/>
  <c r="W68" i="2" s="1"/>
  <c r="B68" i="3" s="1"/>
  <c r="J68" i="3" s="1"/>
  <c r="AN76" i="2"/>
  <c r="AV76" i="2" s="1"/>
  <c r="AB63" i="2"/>
  <c r="AJ63" i="2" s="1"/>
  <c r="P5" i="2"/>
  <c r="X5" i="2" s="1"/>
  <c r="C5" i="3" s="1"/>
  <c r="K5" i="3" s="1"/>
  <c r="P44" i="2"/>
  <c r="X44" i="2" s="1"/>
  <c r="O73" i="2"/>
  <c r="W73" i="2" s="1"/>
  <c r="AA44" i="2"/>
  <c r="AI44" i="2" s="1"/>
  <c r="Q19" i="2"/>
  <c r="Y19" i="2" s="1"/>
  <c r="R53" i="2"/>
  <c r="O11" i="2"/>
  <c r="AP6" i="2"/>
  <c r="AX6" i="2" s="1"/>
  <c r="AA63" i="2"/>
  <c r="AI63" i="2" s="1"/>
  <c r="Q20" i="2"/>
  <c r="Y20" i="2" s="1"/>
  <c r="D20" i="3" s="1"/>
  <c r="L20" i="3" s="1"/>
  <c r="P56" i="2"/>
  <c r="X56" i="2" s="1"/>
  <c r="C56" i="3" s="1"/>
  <c r="K56" i="3" s="1"/>
  <c r="O37" i="2"/>
  <c r="W37" i="2" s="1"/>
  <c r="AO8" i="2"/>
  <c r="AD10" i="2"/>
  <c r="AL10" i="2" s="1"/>
  <c r="AA75" i="2"/>
  <c r="Q29" i="2"/>
  <c r="Y29" i="2" s="1"/>
  <c r="R56" i="2"/>
  <c r="Z56" i="2" s="1"/>
  <c r="O39" i="2"/>
  <c r="W39" i="2" s="1"/>
  <c r="B39" i="3" s="1"/>
  <c r="J39" i="3" s="1"/>
  <c r="AP18" i="2"/>
  <c r="AX18" i="2" s="1"/>
  <c r="AD11" i="2"/>
  <c r="R31" i="2"/>
  <c r="Z31" i="2" s="1"/>
  <c r="P66" i="2"/>
  <c r="X66" i="2" s="1"/>
  <c r="C66" i="3" s="1"/>
  <c r="K66" i="3" s="1"/>
  <c r="O45" i="2"/>
  <c r="W45" i="2" s="1"/>
  <c r="B45" i="3" s="1"/>
  <c r="J45" i="3" s="1"/>
  <c r="R44" i="2"/>
  <c r="Z44" i="2" s="1"/>
  <c r="O8" i="2"/>
  <c r="W8" i="2" s="1"/>
  <c r="B8" i="3" s="1"/>
  <c r="J8" i="3" s="1"/>
  <c r="AD64" i="2"/>
  <c r="AL64" i="2" s="1"/>
  <c r="Q17" i="2"/>
  <c r="Y17" i="2" s="1"/>
  <c r="D17" i="3" s="1"/>
  <c r="L17" i="3" s="1"/>
  <c r="AL77" i="2" l="1"/>
  <c r="Z64" i="2"/>
  <c r="B69" i="3"/>
  <c r="J69" i="3" s="1"/>
  <c r="X59" i="2"/>
  <c r="Z37" i="2"/>
  <c r="Y16" i="2"/>
  <c r="AI51" i="2"/>
  <c r="AK54" i="2"/>
  <c r="AJ33" i="2"/>
  <c r="AW32" i="2"/>
  <c r="AL29" i="2"/>
  <c r="AW56" i="2"/>
  <c r="AK56" i="2"/>
  <c r="AJ35" i="2"/>
  <c r="AJ11" i="2"/>
  <c r="AU27" i="2"/>
  <c r="AX37" i="2"/>
  <c r="C8" i="3"/>
  <c r="K8" i="3" s="1"/>
  <c r="C52" i="3"/>
  <c r="K52" i="3" s="1"/>
  <c r="D51" i="3"/>
  <c r="L51" i="3" s="1"/>
  <c r="D28" i="3"/>
  <c r="L28" i="3" s="1"/>
  <c r="B52" i="3"/>
  <c r="J52" i="3" s="1"/>
  <c r="B47" i="3"/>
  <c r="J47" i="3" s="1"/>
  <c r="D44" i="3"/>
  <c r="L44" i="3" s="1"/>
  <c r="B71" i="3"/>
  <c r="J71" i="3" s="1"/>
  <c r="B26" i="3"/>
  <c r="J26" i="3" s="1"/>
  <c r="E55" i="3"/>
  <c r="M55" i="3" s="1"/>
  <c r="AI62" i="2"/>
  <c r="B62" i="3" s="1"/>
  <c r="J62" i="3" s="1"/>
  <c r="D71" i="3"/>
  <c r="L71" i="3" s="1"/>
  <c r="AL44" i="2"/>
  <c r="W59" i="2"/>
  <c r="Z66" i="2"/>
  <c r="E66" i="3" s="1"/>
  <c r="M66" i="3" s="1"/>
  <c r="W43" i="2"/>
  <c r="B43" i="3" s="1"/>
  <c r="J43" i="3" s="1"/>
  <c r="X68" i="2"/>
  <c r="C68" i="3" s="1"/>
  <c r="K68" i="3" s="1"/>
  <c r="Z77" i="2"/>
  <c r="E77" i="3" s="1"/>
  <c r="M77" i="3" s="1"/>
  <c r="Y56" i="2"/>
  <c r="D56" i="3" s="1"/>
  <c r="L56" i="3" s="1"/>
  <c r="X35" i="2"/>
  <c r="C35" i="3" s="1"/>
  <c r="K35" i="3" s="1"/>
  <c r="Z13" i="2"/>
  <c r="AI43" i="2"/>
  <c r="AU59" i="2"/>
  <c r="X69" i="2"/>
  <c r="C69" i="3" s="1"/>
  <c r="K69" i="3" s="1"/>
  <c r="AJ73" i="2"/>
  <c r="AL51" i="2"/>
  <c r="AU11" i="2"/>
  <c r="AU73" i="2"/>
  <c r="B73" i="3" s="1"/>
  <c r="J73" i="3" s="1"/>
  <c r="AX77" i="2"/>
  <c r="AL53" i="2"/>
  <c r="AV59" i="2"/>
  <c r="AW24" i="2"/>
  <c r="D24" i="3" s="1"/>
  <c r="L24" i="3" s="1"/>
  <c r="E7" i="3"/>
  <c r="M7" i="3" s="1"/>
  <c r="D76" i="3"/>
  <c r="L76" i="3" s="1"/>
  <c r="C76" i="3"/>
  <c r="K76" i="3" s="1"/>
  <c r="E44" i="3"/>
  <c r="M44" i="3" s="1"/>
  <c r="D29" i="3"/>
  <c r="L29" i="3" s="1"/>
  <c r="B20" i="3"/>
  <c r="J20" i="3" s="1"/>
  <c r="B64" i="3"/>
  <c r="J64" i="3" s="1"/>
  <c r="D53" i="3"/>
  <c r="L53" i="3" s="1"/>
  <c r="B63" i="3"/>
  <c r="J63" i="3" s="1"/>
  <c r="C48" i="3"/>
  <c r="K48" i="3" s="1"/>
  <c r="E48" i="3"/>
  <c r="M48" i="3" s="1"/>
  <c r="C74" i="3"/>
  <c r="K74" i="3" s="1"/>
  <c r="C43" i="3"/>
  <c r="K43" i="3" s="1"/>
  <c r="C44" i="3"/>
  <c r="K44" i="3" s="1"/>
  <c r="B18" i="3"/>
  <c r="J18" i="3" s="1"/>
  <c r="E59" i="3"/>
  <c r="M59" i="3" s="1"/>
  <c r="AW42" i="2"/>
  <c r="D42" i="3" s="1"/>
  <c r="L42" i="3" s="1"/>
  <c r="E31" i="3"/>
  <c r="M31" i="3" s="1"/>
  <c r="AU4" i="2"/>
  <c r="C15" i="3"/>
  <c r="K15" i="3" s="1"/>
  <c r="W51" i="2"/>
  <c r="B51" i="3" s="1"/>
  <c r="J51" i="3" s="1"/>
  <c r="W35" i="2"/>
  <c r="AJ19" i="2"/>
  <c r="X75" i="2"/>
  <c r="Z53" i="2"/>
  <c r="E53" i="3" s="1"/>
  <c r="M53" i="3" s="1"/>
  <c r="Y32" i="2"/>
  <c r="D32" i="3" s="1"/>
  <c r="L32" i="3" s="1"/>
  <c r="X11" i="2"/>
  <c r="AK66" i="2"/>
  <c r="AI35" i="2"/>
  <c r="AU43" i="2"/>
  <c r="AV51" i="2"/>
  <c r="AK30" i="2"/>
  <c r="AK70" i="2"/>
  <c r="AJ27" i="2"/>
  <c r="AU75" i="2"/>
  <c r="AV75" i="2"/>
  <c r="AK72" i="2"/>
  <c r="AJ51" i="2"/>
  <c r="AX45" i="2"/>
  <c r="AU74" i="2"/>
  <c r="Y14" i="2"/>
  <c r="D14" i="3" s="1"/>
  <c r="L14" i="3" s="1"/>
  <c r="C24" i="3"/>
  <c r="K24" i="3" s="1"/>
  <c r="D5" i="3"/>
  <c r="L5" i="3" s="1"/>
  <c r="AL60" i="2"/>
  <c r="AJ18" i="2"/>
  <c r="E33" i="3"/>
  <c r="M33" i="3" s="1"/>
  <c r="W77" i="2"/>
  <c r="AX70" i="2"/>
  <c r="E70" i="3" s="1"/>
  <c r="M70" i="3" s="1"/>
  <c r="W27" i="2"/>
  <c r="Z62" i="2"/>
  <c r="E62" i="3" s="1"/>
  <c r="M62" i="3" s="1"/>
  <c r="AK77" i="2"/>
  <c r="AW75" i="2"/>
  <c r="Y72" i="2"/>
  <c r="X51" i="2"/>
  <c r="C51" i="3" s="1"/>
  <c r="K51" i="3" s="1"/>
  <c r="Z29" i="2"/>
  <c r="E29" i="3" s="1"/>
  <c r="M29" i="3" s="1"/>
  <c r="Y8" i="2"/>
  <c r="AI27" i="2"/>
  <c r="AL75" i="2"/>
  <c r="E75" i="3" s="1"/>
  <c r="M75" i="3" s="1"/>
  <c r="AW72" i="2"/>
  <c r="AJ25" i="2"/>
  <c r="AL67" i="2"/>
  <c r="AK46" i="2"/>
  <c r="D46" i="3" s="1"/>
  <c r="L46" i="3" s="1"/>
  <c r="AU65" i="2"/>
  <c r="B65" i="3" s="1"/>
  <c r="J65" i="3" s="1"/>
  <c r="AL69" i="2"/>
  <c r="AK48" i="2"/>
  <c r="AW77" i="2"/>
  <c r="AU66" i="2"/>
  <c r="AX75" i="2"/>
  <c r="C30" i="3"/>
  <c r="K30" i="3" s="1"/>
  <c r="C21" i="3"/>
  <c r="K21" i="3" s="1"/>
  <c r="C62" i="3"/>
  <c r="K62" i="3" s="1"/>
  <c r="E46" i="3"/>
  <c r="M46" i="3" s="1"/>
  <c r="C26" i="3"/>
  <c r="K26" i="3" s="1"/>
  <c r="B31" i="3"/>
  <c r="J31" i="3" s="1"/>
  <c r="E40" i="3"/>
  <c r="M40" i="3" s="1"/>
  <c r="B30" i="3"/>
  <c r="J30" i="3" s="1"/>
  <c r="B38" i="3"/>
  <c r="J38" i="3" s="1"/>
  <c r="E42" i="3"/>
  <c r="M42" i="3" s="1"/>
  <c r="D18" i="3"/>
  <c r="L18" i="3" s="1"/>
  <c r="E22" i="3"/>
  <c r="M22" i="3" s="1"/>
  <c r="C18" i="3"/>
  <c r="K18" i="3" s="1"/>
  <c r="B44" i="3"/>
  <c r="J44" i="3" s="1"/>
  <c r="D43" i="3"/>
  <c r="L43" i="3" s="1"/>
  <c r="B24" i="3"/>
  <c r="J24" i="3" s="1"/>
  <c r="Y61" i="2"/>
  <c r="D61" i="3" s="1"/>
  <c r="L61" i="3" s="1"/>
  <c r="C37" i="3"/>
  <c r="K37" i="3" s="1"/>
  <c r="AK67" i="2"/>
  <c r="D67" i="3" s="1"/>
  <c r="L67" i="3" s="1"/>
  <c r="AV30" i="2"/>
  <c r="C32" i="3"/>
  <c r="K32" i="3" s="1"/>
  <c r="B66" i="3"/>
  <c r="J66" i="3" s="1"/>
  <c r="Y54" i="2"/>
  <c r="C33" i="3"/>
  <c r="K33" i="3" s="1"/>
  <c r="E11" i="3"/>
  <c r="M11" i="3" s="1"/>
  <c r="AI16" i="2"/>
  <c r="E18" i="3"/>
  <c r="M18" i="3" s="1"/>
  <c r="D21" i="3"/>
  <c r="L21" i="3" s="1"/>
  <c r="AX63" i="2"/>
  <c r="E63" i="3" s="1"/>
  <c r="M63" i="3" s="1"/>
  <c r="AW63" i="2"/>
  <c r="D63" i="3" s="1"/>
  <c r="L63" i="3" s="1"/>
  <c r="AI5" i="2"/>
  <c r="D52" i="3"/>
  <c r="L52" i="3" s="1"/>
  <c r="AW48" i="2"/>
  <c r="AJ9" i="2"/>
  <c r="W19" i="2"/>
  <c r="AL74" i="2"/>
  <c r="E74" i="3" s="1"/>
  <c r="M74" i="3" s="1"/>
  <c r="AV70" i="2"/>
  <c r="C70" i="3" s="1"/>
  <c r="K70" i="3" s="1"/>
  <c r="Y75" i="2"/>
  <c r="Z69" i="2"/>
  <c r="Y48" i="2"/>
  <c r="X27" i="2"/>
  <c r="C27" i="3" s="1"/>
  <c r="K27" i="3" s="1"/>
  <c r="Z5" i="2"/>
  <c r="E5" i="3" s="1"/>
  <c r="M5" i="3" s="1"/>
  <c r="AI19" i="2"/>
  <c r="AL21" i="2"/>
  <c r="AL72" i="2"/>
  <c r="E72" i="3" s="1"/>
  <c r="M72" i="3" s="1"/>
  <c r="AK6" i="2"/>
  <c r="AL19" i="2"/>
  <c r="E19" i="3" s="1"/>
  <c r="M19" i="3" s="1"/>
  <c r="AJ65" i="2"/>
  <c r="C65" i="3" s="1"/>
  <c r="K65" i="3" s="1"/>
  <c r="AL43" i="2"/>
  <c r="E43" i="3" s="1"/>
  <c r="M43" i="3" s="1"/>
  <c r="AX68" i="2"/>
  <c r="AJ67" i="2"/>
  <c r="AL45" i="2"/>
  <c r="AU58" i="2"/>
  <c r="B58" i="3" s="1"/>
  <c r="J58" i="3" s="1"/>
  <c r="AV73" i="2"/>
  <c r="B67" i="3"/>
  <c r="J67" i="3" s="1"/>
  <c r="D47" i="3"/>
  <c r="L47" i="3" s="1"/>
  <c r="B53" i="3"/>
  <c r="J53" i="3" s="1"/>
  <c r="C40" i="3"/>
  <c r="K40" i="3" s="1"/>
  <c r="B74" i="3"/>
  <c r="J74" i="3" s="1"/>
  <c r="E4" i="3"/>
  <c r="M4" i="3" s="1"/>
  <c r="E34" i="3"/>
  <c r="M34" i="3" s="1"/>
  <c r="E32" i="3"/>
  <c r="M32" i="3" s="1"/>
  <c r="B32" i="3"/>
  <c r="J32" i="3" s="1"/>
  <c r="C64" i="3"/>
  <c r="K64" i="3" s="1"/>
  <c r="C16" i="3"/>
  <c r="K16" i="3" s="1"/>
  <c r="E17" i="3"/>
  <c r="M17" i="3" s="1"/>
  <c r="D25" i="3"/>
  <c r="L25" i="3" s="1"/>
  <c r="B15" i="3"/>
  <c r="J15" i="3" s="1"/>
  <c r="C34" i="3"/>
  <c r="K34" i="3" s="1"/>
  <c r="C31" i="3"/>
  <c r="K31" i="3" s="1"/>
  <c r="E51" i="3"/>
  <c r="M51" i="3" s="1"/>
  <c r="D30" i="3"/>
  <c r="L30" i="3" s="1"/>
  <c r="C9" i="3"/>
  <c r="K9" i="3" s="1"/>
  <c r="E60" i="3"/>
  <c r="M60" i="3" s="1"/>
  <c r="C71" i="3"/>
  <c r="K71" i="3" s="1"/>
  <c r="AJ75" i="2"/>
  <c r="W11" i="2"/>
  <c r="AX64" i="2"/>
  <c r="X67" i="2"/>
  <c r="C67" i="3" s="1"/>
  <c r="K67" i="3" s="1"/>
  <c r="Z45" i="2"/>
  <c r="E45" i="3" s="1"/>
  <c r="M45" i="3" s="1"/>
  <c r="AI75" i="2"/>
  <c r="AI11" i="2"/>
  <c r="AK16" i="2"/>
  <c r="Y58" i="2"/>
  <c r="D58" i="3" s="1"/>
  <c r="L58" i="3" s="1"/>
  <c r="AX61" i="2"/>
  <c r="AW76" i="2"/>
  <c r="AK62" i="2"/>
  <c r="D62" i="3" s="1"/>
  <c r="L62" i="3" s="1"/>
  <c r="AJ41" i="2"/>
  <c r="C41" i="3" s="1"/>
  <c r="K41" i="3" s="1"/>
  <c r="AK14" i="2"/>
  <c r="AK64" i="2"/>
  <c r="AW8" i="2"/>
  <c r="AU50" i="2"/>
  <c r="B5" i="3"/>
  <c r="J5" i="3" s="1"/>
  <c r="E15" i="3"/>
  <c r="M15" i="3" s="1"/>
  <c r="B37" i="3"/>
  <c r="J37" i="3" s="1"/>
  <c r="E41" i="3"/>
  <c r="M41" i="3" s="1"/>
  <c r="B55" i="3"/>
  <c r="J55" i="3" s="1"/>
  <c r="D35" i="3"/>
  <c r="L35" i="3" s="1"/>
  <c r="C63" i="3"/>
  <c r="K63" i="3" s="1"/>
  <c r="B23" i="3"/>
  <c r="J23" i="3" s="1"/>
  <c r="D36" i="3"/>
  <c r="L36" i="3" s="1"/>
  <c r="C12" i="3"/>
  <c r="K12" i="3" s="1"/>
  <c r="B25" i="3"/>
  <c r="J25" i="3" s="1"/>
  <c r="E61" i="3"/>
  <c r="M61" i="3" s="1"/>
  <c r="B6" i="3"/>
  <c r="J6" i="3" s="1"/>
  <c r="E6" i="3"/>
  <c r="M6" i="3" s="1"/>
  <c r="E58" i="3"/>
  <c r="M58" i="3" s="1"/>
  <c r="B50" i="3"/>
  <c r="J50" i="3" s="1"/>
  <c r="D70" i="3"/>
  <c r="L70" i="3" s="1"/>
  <c r="C49" i="3"/>
  <c r="K49" i="3" s="1"/>
  <c r="D6" i="3"/>
  <c r="L6" i="3" s="1"/>
  <c r="AJ7" i="2"/>
  <c r="C7" i="3" s="1"/>
  <c r="K7" i="3" s="1"/>
  <c r="D15" i="3"/>
  <c r="L15" i="3" s="1"/>
  <c r="AL52" i="2"/>
  <c r="E25" i="3"/>
  <c r="M25" i="3" s="1"/>
  <c r="X73" i="2"/>
  <c r="C73" i="3" s="1"/>
  <c r="K73" i="3" s="1"/>
  <c r="AX69" i="2"/>
  <c r="AU67" i="2"/>
  <c r="AL27" i="2"/>
  <c r="E27" i="3" s="1"/>
  <c r="M27" i="3" s="1"/>
  <c r="Y64" i="2"/>
  <c r="D64" i="3" s="1"/>
  <c r="L64" i="3" s="1"/>
  <c r="Z21" i="2"/>
  <c r="AV27" i="2"/>
  <c r="AI67" i="2"/>
  <c r="AX72" i="2"/>
  <c r="AU57" i="2"/>
  <c r="B57" i="3" s="1"/>
  <c r="J57" i="3" s="1"/>
  <c r="AK75" i="2"/>
  <c r="AK38" i="2"/>
  <c r="D38" i="3" s="1"/>
  <c r="L38" i="3" s="1"/>
  <c r="AX13" i="2"/>
  <c r="AJ17" i="2"/>
  <c r="C17" i="3" s="1"/>
  <c r="K17" i="3" s="1"/>
  <c r="AU42" i="2"/>
  <c r="E68" i="3"/>
  <c r="M68" i="3" s="1"/>
  <c r="B4" i="3"/>
  <c r="J4" i="3" s="1"/>
  <c r="E52" i="3"/>
  <c r="M52" i="3" s="1"/>
  <c r="D69" i="3"/>
  <c r="L69" i="3" s="1"/>
  <c r="D66" i="3"/>
  <c r="L66" i="3" s="1"/>
  <c r="B14" i="3"/>
  <c r="J14" i="3" s="1"/>
  <c r="D33" i="3"/>
  <c r="L33" i="3" s="1"/>
  <c r="D13" i="3"/>
  <c r="L13" i="3" s="1"/>
  <c r="B16" i="3"/>
  <c r="J16" i="3" s="1"/>
  <c r="C10" i="3"/>
  <c r="K10" i="3" s="1"/>
  <c r="B70" i="3"/>
  <c r="J70" i="3" s="1"/>
  <c r="E54" i="3"/>
  <c r="M54" i="3" s="1"/>
  <c r="AX21" i="2"/>
  <c r="B42" i="3"/>
  <c r="J42" i="3" s="1"/>
  <c r="E67" i="3"/>
  <c r="M67" i="3" s="1"/>
  <c r="C25" i="3"/>
  <c r="K25" i="3" s="1"/>
  <c r="D45" i="3"/>
  <c r="L45" i="3" s="1"/>
  <c r="AK19" i="2"/>
  <c r="D19" i="3" s="1"/>
  <c r="L19" i="3" s="1"/>
  <c r="C61" i="3"/>
  <c r="K61" i="3" s="1"/>
  <c r="AL39" i="2"/>
  <c r="E39" i="3" s="1"/>
  <c r="M39" i="3" s="1"/>
  <c r="AV34" i="2"/>
  <c r="AL28" i="2"/>
  <c r="E28" i="3" s="1"/>
  <c r="M28" i="3" s="1"/>
  <c r="W75" i="2"/>
  <c r="Y77" i="2"/>
  <c r="AU49" i="2"/>
  <c r="B49" i="3" s="1"/>
  <c r="J49" i="3" s="1"/>
  <c r="Y73" i="2"/>
  <c r="D73" i="3" s="1"/>
  <c r="L73" i="3" s="1"/>
  <c r="AU51" i="2"/>
  <c r="AI77" i="2"/>
  <c r="Y40" i="2"/>
  <c r="D40" i="3" s="1"/>
  <c r="L40" i="3" s="1"/>
  <c r="X19" i="2"/>
  <c r="AV19" i="2"/>
  <c r="AI59" i="2"/>
  <c r="AW67" i="2"/>
  <c r="Y74" i="2"/>
  <c r="D74" i="3" s="1"/>
  <c r="L74" i="3" s="1"/>
  <c r="AU41" i="2"/>
  <c r="B41" i="3" s="1"/>
  <c r="J41" i="3" s="1"/>
  <c r="AJ57" i="2"/>
  <c r="C57" i="3" s="1"/>
  <c r="K57" i="3" s="1"/>
  <c r="AL35" i="2"/>
  <c r="E35" i="3" s="1"/>
  <c r="M35" i="3" s="1"/>
  <c r="AL11" i="2"/>
  <c r="AK8" i="2"/>
  <c r="AU19" i="2"/>
  <c r="AV35" i="2"/>
  <c r="AL37" i="2"/>
  <c r="AW16" i="2"/>
  <c r="AU34" i="2"/>
  <c r="B34" i="3" s="1"/>
  <c r="J34" i="3" s="1"/>
  <c r="AT3" i="2"/>
  <c r="AX3" i="2" s="1"/>
  <c r="AS3" i="2"/>
  <c r="AG3" i="2"/>
  <c r="AH3" i="2"/>
  <c r="AF3" i="2"/>
  <c r="AR3" i="2"/>
  <c r="U3" i="2"/>
  <c r="T3" i="2"/>
  <c r="X3" i="2" s="1"/>
  <c r="S3" i="2"/>
  <c r="W3" i="2" s="1"/>
  <c r="V3" i="2"/>
  <c r="AQ3" i="2"/>
  <c r="AE3" i="2"/>
  <c r="AA3" i="2"/>
  <c r="AO3" i="2"/>
  <c r="AW3" i="2" s="1"/>
  <c r="R3" i="2"/>
  <c r="AP3" i="2"/>
  <c r="AN3" i="2"/>
  <c r="AD3" i="2"/>
  <c r="AM3" i="2"/>
  <c r="O3" i="2"/>
  <c r="AC3" i="2"/>
  <c r="P3" i="2"/>
  <c r="AB3" i="2"/>
  <c r="Q3" i="2"/>
  <c r="Y3" i="2" s="1"/>
  <c r="D48" i="3" l="1"/>
  <c r="L48" i="3" s="1"/>
  <c r="B27" i="3"/>
  <c r="J27" i="3" s="1"/>
  <c r="E69" i="3"/>
  <c r="M69" i="3" s="1"/>
  <c r="D54" i="3"/>
  <c r="L54" i="3" s="1"/>
  <c r="D8" i="3"/>
  <c r="L8" i="3" s="1"/>
  <c r="C11" i="3"/>
  <c r="K11" i="3" s="1"/>
  <c r="D16" i="3"/>
  <c r="L16" i="3" s="1"/>
  <c r="AV3" i="2"/>
  <c r="D75" i="3"/>
  <c r="L75" i="3" s="1"/>
  <c r="B77" i="3"/>
  <c r="J77" i="3" s="1"/>
  <c r="E37" i="3"/>
  <c r="M37" i="3" s="1"/>
  <c r="AJ3" i="2"/>
  <c r="C3" i="3" s="1"/>
  <c r="K3" i="3" s="1"/>
  <c r="C59" i="3"/>
  <c r="K59" i="3" s="1"/>
  <c r="AI3" i="2"/>
  <c r="B3" i="3" s="1"/>
  <c r="J3" i="3" s="1"/>
  <c r="AL3" i="2"/>
  <c r="D77" i="3"/>
  <c r="L77" i="3" s="1"/>
  <c r="D72" i="3"/>
  <c r="L72" i="3" s="1"/>
  <c r="C75" i="3"/>
  <c r="K75" i="3" s="1"/>
  <c r="AU3" i="2"/>
  <c r="AK3" i="2"/>
  <c r="D3" i="3" s="1"/>
  <c r="L3" i="3" s="1"/>
  <c r="B75" i="3"/>
  <c r="J75" i="3" s="1"/>
  <c r="B11" i="3"/>
  <c r="J11" i="3" s="1"/>
  <c r="B19" i="3"/>
  <c r="J19" i="3" s="1"/>
  <c r="B59" i="3"/>
  <c r="J59" i="3" s="1"/>
  <c r="E64" i="3"/>
  <c r="M64" i="3" s="1"/>
  <c r="Z3" i="2"/>
  <c r="E3" i="3" s="1"/>
  <c r="M3" i="3" s="1"/>
  <c r="C19" i="3"/>
  <c r="K19" i="3" s="1"/>
  <c r="E21" i="3"/>
  <c r="M21" i="3" s="1"/>
  <c r="B35" i="3"/>
  <c r="J35" i="3" s="1"/>
  <c r="E13" i="3"/>
  <c r="M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<sst xmlns="http://schemas.openxmlformats.org/spreadsheetml/2006/main" count="6342" uniqueCount="1400">
  <si>
    <t>사번</t>
  </si>
  <si>
    <t>성명</t>
  </si>
  <si>
    <t>소속팀</t>
  </si>
  <si>
    <t>직위</t>
  </si>
  <si>
    <t>년</t>
  </si>
  <si>
    <t>월</t>
  </si>
  <si>
    <t>근무일수</t>
  </si>
  <si>
    <t>총근무시간_분</t>
  </si>
  <si>
    <t>초과근무시간_분</t>
  </si>
  <si>
    <t>주말근무일수</t>
  </si>
  <si>
    <t>총근무시간</t>
  </si>
  <si>
    <t>초과근무시간</t>
  </si>
  <si>
    <t>일평균근무시간</t>
  </si>
  <si>
    <t>예상정규근무시간</t>
  </si>
  <si>
    <t>근무시간차이</t>
  </si>
  <si>
    <t>윤상규</t>
  </si>
  <si>
    <t>SL생산기술팀</t>
  </si>
  <si>
    <t>기능주임</t>
  </si>
  <si>
    <t>추상민</t>
  </si>
  <si>
    <t>SL운영팀</t>
  </si>
  <si>
    <t>책임</t>
  </si>
  <si>
    <t>안준철</t>
  </si>
  <si>
    <t>HR팀</t>
  </si>
  <si>
    <t>15.400000000000006</t>
  </si>
  <si>
    <t>이범철</t>
  </si>
  <si>
    <t>19.599999999999994</t>
  </si>
  <si>
    <t>제용화</t>
  </si>
  <si>
    <t>구매원가팀</t>
  </si>
  <si>
    <t>41.30000000000001</t>
  </si>
  <si>
    <t>42.30000000000001</t>
  </si>
  <si>
    <t>문은진</t>
  </si>
  <si>
    <t>SCM팀</t>
  </si>
  <si>
    <t>34.400000000000006</t>
  </si>
  <si>
    <t>21.400000000000006</t>
  </si>
  <si>
    <t>12.300000000000011</t>
  </si>
  <si>
    <t>정용규</t>
  </si>
  <si>
    <t>11.900000000000006</t>
  </si>
  <si>
    <t>39.400000000000006</t>
  </si>
  <si>
    <t>김주호</t>
  </si>
  <si>
    <t>SL품질보증팀</t>
  </si>
  <si>
    <t>김영준</t>
  </si>
  <si>
    <t>열관리설계팀</t>
  </si>
  <si>
    <t>32.099999999999994</t>
  </si>
  <si>
    <t>이용재</t>
  </si>
  <si>
    <t>FL생산기술팀</t>
  </si>
  <si>
    <t>28.099999999999994</t>
  </si>
  <si>
    <t>18.599999999999994</t>
  </si>
  <si>
    <t>이호진</t>
  </si>
  <si>
    <t>강동현</t>
  </si>
  <si>
    <t>FL개발팀</t>
  </si>
  <si>
    <t>131.60000000000002</t>
  </si>
  <si>
    <t>37.900000000000006</t>
  </si>
  <si>
    <t>23.80000000000001</t>
  </si>
  <si>
    <t>엄중호</t>
  </si>
  <si>
    <t>김욱진</t>
  </si>
  <si>
    <t>28.900000000000006</t>
  </si>
  <si>
    <t>30.30000000000001</t>
  </si>
  <si>
    <t>16.099999999999994</t>
  </si>
  <si>
    <t>김동건</t>
  </si>
  <si>
    <t>46.099999999999994</t>
  </si>
  <si>
    <t>박승규</t>
  </si>
  <si>
    <t>SL구매팀</t>
  </si>
  <si>
    <t>31.19999999999999</t>
  </si>
  <si>
    <t>24.80000000000001</t>
  </si>
  <si>
    <t>19.400000000000006</t>
  </si>
  <si>
    <t>우승윤</t>
  </si>
  <si>
    <t>24.69999999999999</t>
  </si>
  <si>
    <t>이경우</t>
  </si>
  <si>
    <t>43.400000000000006</t>
  </si>
  <si>
    <t>35.69999999999999</t>
  </si>
  <si>
    <t>32.599999999999994</t>
  </si>
  <si>
    <t>이재식</t>
  </si>
  <si>
    <t>45.80000000000001</t>
  </si>
  <si>
    <t>황권식</t>
  </si>
  <si>
    <t>28.599999999999994</t>
  </si>
  <si>
    <t>박종철</t>
  </si>
  <si>
    <t>품질경영팀</t>
  </si>
  <si>
    <t>11.199999999999989</t>
  </si>
  <si>
    <t>양영주</t>
  </si>
  <si>
    <t>B/H사업팀</t>
  </si>
  <si>
    <t>22.599999999999994</t>
  </si>
  <si>
    <t>18.80000000000001</t>
  </si>
  <si>
    <t>장길수</t>
  </si>
  <si>
    <t>관체사업팀</t>
  </si>
  <si>
    <t>38.400000000000006</t>
  </si>
  <si>
    <t>17.599999999999994</t>
  </si>
  <si>
    <t>이동구</t>
  </si>
  <si>
    <t>열관리사업팀</t>
  </si>
  <si>
    <t>55.599999999999994</t>
  </si>
  <si>
    <t>김석수</t>
  </si>
  <si>
    <t>기능대리</t>
  </si>
  <si>
    <t>53.80000000000001</t>
  </si>
  <si>
    <t>정용선</t>
  </si>
  <si>
    <t>SL상생협력팀</t>
  </si>
  <si>
    <t>기능과장</t>
  </si>
  <si>
    <t>장성욱</t>
  </si>
  <si>
    <t>FL영업팀</t>
  </si>
  <si>
    <t>51.19999999999999</t>
  </si>
  <si>
    <t>45.599999999999994</t>
  </si>
  <si>
    <t>도윤희</t>
  </si>
  <si>
    <t>36.099999999999994</t>
  </si>
  <si>
    <t>48.900000000000006</t>
  </si>
  <si>
    <t>김주진</t>
  </si>
  <si>
    <t>FL사업지원실</t>
  </si>
  <si>
    <t>25.80000000000001</t>
  </si>
  <si>
    <t>17.400000000000006</t>
  </si>
  <si>
    <t>박정현</t>
  </si>
  <si>
    <t>49.19999999999999</t>
  </si>
  <si>
    <t>이장희</t>
  </si>
  <si>
    <t>47.69999999999999</t>
  </si>
  <si>
    <t>44.80000000000001</t>
  </si>
  <si>
    <t>44.30000000000001</t>
  </si>
  <si>
    <t>심재덕</t>
  </si>
  <si>
    <t>상생협력팀</t>
  </si>
  <si>
    <t>50.69999999999999</t>
  </si>
  <si>
    <t>46.69999999999999</t>
  </si>
  <si>
    <t>오정민</t>
  </si>
  <si>
    <t>Brake설계팀</t>
  </si>
  <si>
    <t>28.69999999999999</t>
  </si>
  <si>
    <t>19.900000000000006</t>
  </si>
  <si>
    <t>이대희</t>
  </si>
  <si>
    <t>47.80000000000001</t>
  </si>
  <si>
    <t>53.19999999999999</t>
  </si>
  <si>
    <t>38.69999999999999</t>
  </si>
  <si>
    <t>이주화</t>
  </si>
  <si>
    <t>43.69999999999999</t>
  </si>
  <si>
    <t>42.400000000000006</t>
  </si>
  <si>
    <t>29.19999999999999</t>
  </si>
  <si>
    <t>안창용</t>
  </si>
  <si>
    <t>6.400000000000006</t>
  </si>
  <si>
    <t>4.300000000000011</t>
  </si>
  <si>
    <t>8.599999999999994</t>
  </si>
  <si>
    <t>이재현</t>
  </si>
  <si>
    <t>23.19999999999999</t>
  </si>
  <si>
    <t>16.80000000000001</t>
  </si>
  <si>
    <t>박기수</t>
  </si>
  <si>
    <t>선임</t>
  </si>
  <si>
    <t>70.30000000000001</t>
  </si>
  <si>
    <t>신상훈</t>
  </si>
  <si>
    <t>56.400000000000006</t>
  </si>
  <si>
    <t>74.30000000000001</t>
  </si>
  <si>
    <t>53.69999999999999</t>
  </si>
  <si>
    <t>유호남</t>
  </si>
  <si>
    <t>65.80000000000001</t>
  </si>
  <si>
    <t>58.80000000000001</t>
  </si>
  <si>
    <t>박상진</t>
  </si>
  <si>
    <t>29.599999999999994</t>
  </si>
  <si>
    <t>조진웅</t>
  </si>
  <si>
    <t>양천광</t>
  </si>
  <si>
    <t>안국현</t>
  </si>
  <si>
    <t>114.30000000000001</t>
  </si>
  <si>
    <t>서동귀</t>
  </si>
  <si>
    <t>21.80000000000001</t>
  </si>
  <si>
    <t>정철우</t>
  </si>
  <si>
    <t>35.099999999999994</t>
  </si>
  <si>
    <t>17.900000000000006</t>
  </si>
  <si>
    <t>김진석</t>
  </si>
  <si>
    <t>6.700000000000003</t>
  </si>
  <si>
    <t>9.599999999999994</t>
  </si>
  <si>
    <t>박민규</t>
  </si>
  <si>
    <t>FL품질보증팀</t>
  </si>
  <si>
    <t>김지훈</t>
  </si>
  <si>
    <t>4.199999999999989</t>
  </si>
  <si>
    <t>22.30000000000001</t>
  </si>
  <si>
    <t>이종원</t>
  </si>
  <si>
    <t>이주용</t>
  </si>
  <si>
    <t>24.900000000000006</t>
  </si>
  <si>
    <t>22.900000000000006</t>
  </si>
  <si>
    <t>공태욱</t>
  </si>
  <si>
    <t>기능6급</t>
  </si>
  <si>
    <t>손용현</t>
  </si>
  <si>
    <t>20.599999999999994</t>
  </si>
  <si>
    <t>26.19999999999999</t>
  </si>
  <si>
    <t>10.099999999999994</t>
  </si>
  <si>
    <t>김윤규</t>
  </si>
  <si>
    <t>221.60000000000002</t>
  </si>
  <si>
    <t>정혜원</t>
  </si>
  <si>
    <t>SL생산팀</t>
  </si>
  <si>
    <t>1.2000000000000028</t>
  </si>
  <si>
    <t>김주원</t>
  </si>
  <si>
    <t>18.19999999999999</t>
  </si>
  <si>
    <t>김선미</t>
  </si>
  <si>
    <t>기획팀</t>
  </si>
  <si>
    <t>31.80000000000001</t>
  </si>
  <si>
    <t>28.30000000000001</t>
  </si>
  <si>
    <t>송현석</t>
  </si>
  <si>
    <t>27.80000000000001</t>
  </si>
  <si>
    <t>양정환</t>
  </si>
  <si>
    <t>40.900000000000006</t>
  </si>
  <si>
    <t>한대웅</t>
  </si>
  <si>
    <t>조승현</t>
  </si>
  <si>
    <t>45.099999999999994</t>
  </si>
  <si>
    <t>17.19999999999999</t>
  </si>
  <si>
    <t>이예리</t>
  </si>
  <si>
    <t>사원</t>
  </si>
  <si>
    <t>14.400000000000006</t>
  </si>
  <si>
    <t>16.900000000000006</t>
  </si>
  <si>
    <t>5.699999999999989</t>
  </si>
  <si>
    <t>조영준</t>
  </si>
  <si>
    <t>36.19999999999999</t>
  </si>
  <si>
    <t>51.599999999999994</t>
  </si>
  <si>
    <t>81.30000000000001</t>
  </si>
  <si>
    <t>최지훈</t>
  </si>
  <si>
    <t>22.099999999999994</t>
  </si>
  <si>
    <t>38.900000000000006</t>
  </si>
  <si>
    <t>박종욱</t>
  </si>
  <si>
    <t>49.900000000000006</t>
  </si>
  <si>
    <t>23.099999999999994</t>
  </si>
  <si>
    <t>15.300000000000011</t>
  </si>
  <si>
    <t>차지윤</t>
  </si>
  <si>
    <t>SL설계팀</t>
  </si>
  <si>
    <t>373.29999999999995</t>
  </si>
  <si>
    <t>서수현</t>
  </si>
  <si>
    <t>재무팀</t>
  </si>
  <si>
    <t>39.900000000000006</t>
  </si>
  <si>
    <t>36.69999999999999</t>
  </si>
  <si>
    <t>20.69999999999999</t>
  </si>
  <si>
    <t>박상훈</t>
  </si>
  <si>
    <t>경영지원팀</t>
  </si>
  <si>
    <t>30.69999999999999</t>
  </si>
  <si>
    <t>34.80000000000001</t>
  </si>
  <si>
    <t>류성근</t>
  </si>
  <si>
    <t>19.30000000000001</t>
  </si>
  <si>
    <t>8.700000000000003</t>
  </si>
  <si>
    <t>이동훈</t>
  </si>
  <si>
    <t>SL개발팀</t>
  </si>
  <si>
    <t>이무형</t>
  </si>
  <si>
    <t>김영욱</t>
  </si>
  <si>
    <t>1.8000000000000114</t>
  </si>
  <si>
    <t>김명진</t>
  </si>
  <si>
    <t>23.900000000000006</t>
  </si>
  <si>
    <t>나진수</t>
  </si>
  <si>
    <t>18.900000000000006</t>
  </si>
  <si>
    <t>성열민</t>
  </si>
  <si>
    <t>42.599999999999994</t>
  </si>
  <si>
    <t>권순욱</t>
  </si>
  <si>
    <t>이기혁</t>
  </si>
  <si>
    <t>강동영</t>
  </si>
  <si>
    <t>이재혁</t>
  </si>
  <si>
    <t>SL영업팀</t>
  </si>
  <si>
    <t>8.099999999999994</t>
  </si>
  <si>
    <t>김재만</t>
  </si>
  <si>
    <t>정종현</t>
  </si>
  <si>
    <t>43.599999999999994</t>
  </si>
  <si>
    <t>26.69999999999999</t>
  </si>
  <si>
    <t>정성민</t>
  </si>
  <si>
    <t>서성환</t>
  </si>
  <si>
    <t>19.099999999999994</t>
  </si>
  <si>
    <t>21.30000000000001</t>
  </si>
  <si>
    <t>김병주</t>
  </si>
  <si>
    <t>최문석</t>
  </si>
  <si>
    <t>이종성</t>
  </si>
  <si>
    <t>박기범</t>
  </si>
  <si>
    <t>72.80000000000001</t>
  </si>
  <si>
    <t>남동식</t>
  </si>
  <si>
    <t>김운배</t>
  </si>
  <si>
    <t>10.699999999999989</t>
  </si>
  <si>
    <t>허재영</t>
  </si>
  <si>
    <t>심재원</t>
  </si>
  <si>
    <t>양재석</t>
  </si>
  <si>
    <t>정기성</t>
  </si>
  <si>
    <t>29.400000000000006</t>
  </si>
  <si>
    <t>13.199999999999989</t>
  </si>
  <si>
    <t>김영모</t>
  </si>
  <si>
    <t>ESG팀</t>
  </si>
  <si>
    <t>110.80000000000001</t>
  </si>
  <si>
    <t>배진형</t>
  </si>
  <si>
    <t>2.1999999999999993</t>
  </si>
  <si>
    <t>3.6000000000000014</t>
  </si>
  <si>
    <t>박종호</t>
  </si>
  <si>
    <t>52.19999999999999</t>
  </si>
  <si>
    <t>30.900000000000006</t>
  </si>
  <si>
    <t>손성우</t>
  </si>
  <si>
    <t>82.30000000000001</t>
  </si>
  <si>
    <t>12.400000000000006</t>
  </si>
  <si>
    <t>김진수</t>
  </si>
  <si>
    <t>27.099999999999994</t>
  </si>
  <si>
    <t>24.30000000000001</t>
  </si>
  <si>
    <t>이중희</t>
  </si>
  <si>
    <t>46.900000000000006</t>
  </si>
  <si>
    <t>32.900000000000006</t>
  </si>
  <si>
    <t>김용섭</t>
  </si>
  <si>
    <t>33.80000000000001</t>
  </si>
  <si>
    <t>14.800000000000011</t>
  </si>
  <si>
    <t>이병윤</t>
  </si>
  <si>
    <t>39.599999999999994</t>
  </si>
  <si>
    <t>42.900000000000006</t>
  </si>
  <si>
    <t>39.099999999999994</t>
  </si>
  <si>
    <t>이화주</t>
  </si>
  <si>
    <t>37.69999999999999</t>
  </si>
  <si>
    <t>22.80000000000001</t>
  </si>
  <si>
    <t>이민희</t>
  </si>
  <si>
    <t>11.400000000000006</t>
  </si>
  <si>
    <t>20.80000000000001</t>
  </si>
  <si>
    <t>김홍민</t>
  </si>
  <si>
    <t>8.400000000000006</t>
  </si>
  <si>
    <t>11.599999999999994</t>
  </si>
  <si>
    <t>10.900000000000006</t>
  </si>
  <si>
    <t>전현하</t>
  </si>
  <si>
    <t>9.300000000000011</t>
  </si>
  <si>
    <t>16.19999999999999</t>
  </si>
  <si>
    <t>21.799999999999997</t>
  </si>
  <si>
    <t>여성호</t>
  </si>
  <si>
    <t>5.599999999999994</t>
  </si>
  <si>
    <t>이세리</t>
  </si>
  <si>
    <t>41.900000000000006</t>
  </si>
  <si>
    <t>38.30000000000001</t>
  </si>
  <si>
    <t>김용신</t>
  </si>
  <si>
    <t>안전보안팀</t>
  </si>
  <si>
    <t>440.20000000000005</t>
  </si>
  <si>
    <t>예송</t>
  </si>
  <si>
    <t>51.69999999999999</t>
  </si>
  <si>
    <t>이승효</t>
  </si>
  <si>
    <t>51.099999999999994</t>
  </si>
  <si>
    <t>13.599999999999994</t>
  </si>
  <si>
    <t>박용승</t>
  </si>
  <si>
    <t>55.69999999999999</t>
  </si>
  <si>
    <t>53.400000000000006</t>
  </si>
  <si>
    <t>57.69999999999999</t>
  </si>
  <si>
    <t>류병훈</t>
  </si>
  <si>
    <t>66.19999999999999</t>
  </si>
  <si>
    <t>54.099999999999994</t>
  </si>
  <si>
    <t>정영주</t>
  </si>
  <si>
    <t>152.39999999999998</t>
  </si>
  <si>
    <t>54.30000000000001</t>
  </si>
  <si>
    <t>이소영</t>
  </si>
  <si>
    <t>19.69999999999999</t>
  </si>
  <si>
    <t>데니스</t>
  </si>
  <si>
    <t>설비기획팀</t>
  </si>
  <si>
    <t>29.900000000000006</t>
  </si>
  <si>
    <t>33.599999999999994</t>
  </si>
  <si>
    <t>16.599999999999994</t>
  </si>
  <si>
    <t>박수진</t>
  </si>
  <si>
    <t>15.900000000000006</t>
  </si>
  <si>
    <t>19.80000000000001</t>
  </si>
  <si>
    <t>10.400000000000006</t>
  </si>
  <si>
    <t>김재기</t>
  </si>
  <si>
    <t>13.699999999999989</t>
  </si>
  <si>
    <t>김라성</t>
  </si>
  <si>
    <t>김하나</t>
  </si>
  <si>
    <t>34.19999999999999</t>
  </si>
  <si>
    <t>김장권</t>
  </si>
  <si>
    <t>2.200000000000003</t>
  </si>
  <si>
    <t>진주현</t>
  </si>
  <si>
    <t>최동호</t>
  </si>
  <si>
    <t>31.099999999999994</t>
  </si>
  <si>
    <t>41.099999999999994</t>
  </si>
  <si>
    <t>서귀옥</t>
  </si>
  <si>
    <t>노동조합</t>
  </si>
  <si>
    <t>김규진</t>
  </si>
  <si>
    <t>62.599999999999994</t>
  </si>
  <si>
    <t>배준호</t>
  </si>
  <si>
    <t>13.400000000000006</t>
  </si>
  <si>
    <t>신중현</t>
  </si>
  <si>
    <t>4.400000000000006</t>
  </si>
  <si>
    <t>6.199999999999989</t>
  </si>
  <si>
    <t>김성우</t>
  </si>
  <si>
    <t>35.400000000000006</t>
  </si>
  <si>
    <t>56.69999999999999</t>
  </si>
  <si>
    <t>8.800000000000011</t>
  </si>
  <si>
    <t>박재문</t>
  </si>
  <si>
    <t>이진경</t>
  </si>
  <si>
    <t>12.800000000000011</t>
  </si>
  <si>
    <t>7.300000000000011</t>
  </si>
  <si>
    <t>이한솔</t>
  </si>
  <si>
    <t>44.69999999999999</t>
  </si>
  <si>
    <t>27.400000000000006</t>
  </si>
  <si>
    <t>이승보</t>
  </si>
  <si>
    <t>76.30000000000001</t>
  </si>
  <si>
    <t>52.80000000000001</t>
  </si>
  <si>
    <t>정기연</t>
  </si>
  <si>
    <t>24.599999999999994</t>
  </si>
  <si>
    <t>배성한</t>
  </si>
  <si>
    <t>22.400000000000006</t>
  </si>
  <si>
    <t>23.30000000000001</t>
  </si>
  <si>
    <t>12.099999999999994</t>
  </si>
  <si>
    <t>김현철</t>
  </si>
  <si>
    <t>14.900000000000006</t>
  </si>
  <si>
    <t>서준만</t>
  </si>
  <si>
    <t>23.69999999999999</t>
  </si>
  <si>
    <t>김준영</t>
  </si>
  <si>
    <t>146.89999999999998</t>
  </si>
  <si>
    <t>13.700000000000003</t>
  </si>
  <si>
    <t>김준혁</t>
  </si>
  <si>
    <t>정경태</t>
  </si>
  <si>
    <t>7.599999999999994</t>
  </si>
  <si>
    <t>조가람</t>
  </si>
  <si>
    <t>112.69999999999999</t>
  </si>
  <si>
    <t>83.69999999999999</t>
  </si>
  <si>
    <t>34.30000000000001</t>
  </si>
  <si>
    <t>김중모</t>
  </si>
  <si>
    <t>26.599999999999994</t>
  </si>
  <si>
    <t>29.30000000000001</t>
  </si>
  <si>
    <t>김일경</t>
  </si>
  <si>
    <t>39.30000000000001</t>
  </si>
  <si>
    <t>34.69999999999999</t>
  </si>
  <si>
    <t>임민준</t>
  </si>
  <si>
    <t>30.80000000000001</t>
  </si>
  <si>
    <t>0.5999999999999943</t>
  </si>
  <si>
    <t>정만주</t>
  </si>
  <si>
    <t>48.30000000000001</t>
  </si>
  <si>
    <t>고경록</t>
  </si>
  <si>
    <t>31.599999999999994</t>
  </si>
  <si>
    <t>김무진</t>
  </si>
  <si>
    <t>조수빈</t>
  </si>
  <si>
    <t>11.099999999999994</t>
  </si>
  <si>
    <t>안수진</t>
  </si>
  <si>
    <t>7.900000000000006</t>
  </si>
  <si>
    <t>이재훈</t>
  </si>
  <si>
    <t>17.799999999999997</t>
  </si>
  <si>
    <t>36.400000000000006</t>
  </si>
  <si>
    <t>15.800000000000011</t>
  </si>
  <si>
    <t>정은영</t>
  </si>
  <si>
    <t>43.19999999999999</t>
  </si>
  <si>
    <t>9.199999999999989</t>
  </si>
  <si>
    <t>진미영</t>
  </si>
  <si>
    <t>12.900000000000006</t>
  </si>
  <si>
    <t>정다훈</t>
  </si>
  <si>
    <t>윤동민</t>
  </si>
  <si>
    <t>5.400000000000006</t>
  </si>
  <si>
    <t>38.599999999999994</t>
  </si>
  <si>
    <t>이재성</t>
  </si>
  <si>
    <t>한성연</t>
  </si>
  <si>
    <t>40.30000000000001</t>
  </si>
  <si>
    <t>박성우</t>
  </si>
  <si>
    <t>0.4000000000000057</t>
  </si>
  <si>
    <t>류동성</t>
  </si>
  <si>
    <t>75.19999999999999</t>
  </si>
  <si>
    <t>60.099999999999994</t>
  </si>
  <si>
    <t>36.900000000000006</t>
  </si>
  <si>
    <t>정현준</t>
  </si>
  <si>
    <t>60.900000000000006</t>
  </si>
  <si>
    <t>서지연</t>
  </si>
  <si>
    <t>11.800000000000011</t>
  </si>
  <si>
    <t>박해남</t>
  </si>
  <si>
    <t>26.30000000000001</t>
  </si>
  <si>
    <t>25.400000000000006</t>
  </si>
  <si>
    <t>김경훈</t>
  </si>
  <si>
    <t>김현진</t>
  </si>
  <si>
    <t>3.4000000000000057</t>
  </si>
  <si>
    <t>0.7999999999999972</t>
  </si>
  <si>
    <t>백지연</t>
  </si>
  <si>
    <t>27.19999999999999</t>
  </si>
  <si>
    <t>심훈섭</t>
  </si>
  <si>
    <t>11.799999999999997</t>
  </si>
  <si>
    <t>박진표</t>
  </si>
  <si>
    <t>김태훈</t>
  </si>
  <si>
    <t>20.400000000000006</t>
  </si>
  <si>
    <t>김동우</t>
  </si>
  <si>
    <t>35.599999999999994</t>
  </si>
  <si>
    <t>38.80000000000001</t>
  </si>
  <si>
    <t>김만호</t>
  </si>
  <si>
    <t>60.80000000000001</t>
  </si>
  <si>
    <t>서갑진</t>
  </si>
  <si>
    <t>5.800000000000011</t>
  </si>
  <si>
    <t>임다혜</t>
  </si>
  <si>
    <t>43.900000000000006</t>
  </si>
  <si>
    <t>부성원</t>
  </si>
  <si>
    <t>10.199999999999989</t>
  </si>
  <si>
    <t>박진형</t>
  </si>
  <si>
    <t>33.400000000000006</t>
  </si>
  <si>
    <t>이채림</t>
  </si>
  <si>
    <t>45.19999999999999</t>
  </si>
  <si>
    <t>15.199999999999989</t>
  </si>
  <si>
    <t>이현수</t>
  </si>
  <si>
    <t>147.89999999999998</t>
  </si>
  <si>
    <t>72.19999999999999</t>
  </si>
  <si>
    <t>서정훈</t>
  </si>
  <si>
    <t>16.69999999999999</t>
  </si>
  <si>
    <t>22.69999999999999</t>
  </si>
  <si>
    <t>강권택</t>
  </si>
  <si>
    <t>14.300000000000011</t>
  </si>
  <si>
    <t>정석인</t>
  </si>
  <si>
    <t>45.69999999999999</t>
  </si>
  <si>
    <t>전민</t>
  </si>
  <si>
    <t>손재홍</t>
  </si>
  <si>
    <t>정민형</t>
  </si>
  <si>
    <t>26.299999999999997</t>
  </si>
  <si>
    <t>18.400000000000006</t>
  </si>
  <si>
    <t>오이정</t>
  </si>
  <si>
    <t>26.80000000000001</t>
  </si>
  <si>
    <t>한민규</t>
  </si>
  <si>
    <t>신혜진</t>
  </si>
  <si>
    <t>김시원</t>
  </si>
  <si>
    <t>40.400000000000006</t>
  </si>
  <si>
    <t>56.19999999999999</t>
  </si>
  <si>
    <t>윤서진</t>
  </si>
  <si>
    <t>18.700000000000003</t>
  </si>
  <si>
    <t>이건우</t>
  </si>
  <si>
    <t>18.69999999999999</t>
  </si>
  <si>
    <t>42.80000000000001</t>
  </si>
  <si>
    <t>채명길</t>
  </si>
  <si>
    <t>40.099999999999994</t>
  </si>
  <si>
    <t>김현민</t>
  </si>
  <si>
    <t>24.400000000000006</t>
  </si>
  <si>
    <t>류지훈</t>
  </si>
  <si>
    <t>최규빈</t>
  </si>
  <si>
    <t>김종완</t>
  </si>
  <si>
    <t>1.6000000000000014</t>
  </si>
  <si>
    <t>박세환</t>
  </si>
  <si>
    <t>37.19999999999999</t>
  </si>
  <si>
    <t>52.400000000000006</t>
  </si>
  <si>
    <t>이준호</t>
  </si>
  <si>
    <t>31.30000000000001</t>
  </si>
  <si>
    <t>27.30000000000001</t>
  </si>
  <si>
    <t>이원재</t>
  </si>
  <si>
    <t>69.69999999999999</t>
  </si>
  <si>
    <t>37.80000000000001</t>
  </si>
  <si>
    <t>이승현</t>
  </si>
  <si>
    <t>7.700000000000003</t>
  </si>
  <si>
    <t>이호준</t>
  </si>
  <si>
    <t>73.19999999999999</t>
  </si>
  <si>
    <t>유나경</t>
  </si>
  <si>
    <t>고민정</t>
  </si>
  <si>
    <t>9.900000000000006</t>
  </si>
  <si>
    <t>9.800000000000011</t>
  </si>
  <si>
    <t>김성민</t>
  </si>
  <si>
    <t>13.799999999999997</t>
  </si>
  <si>
    <t>임창헌</t>
  </si>
  <si>
    <t>문성철</t>
  </si>
  <si>
    <t>59.599999999999994</t>
  </si>
  <si>
    <t>49.099999999999994</t>
  </si>
  <si>
    <t>심지빈</t>
  </si>
  <si>
    <t>12.599999999999994</t>
  </si>
  <si>
    <t>정주영</t>
  </si>
  <si>
    <t>82.69999999999999</t>
  </si>
  <si>
    <t>박세정</t>
  </si>
  <si>
    <t>1.7000000000000028</t>
  </si>
  <si>
    <t>김찬호</t>
  </si>
  <si>
    <t>48.599999999999994</t>
  </si>
  <si>
    <t>정인영</t>
  </si>
  <si>
    <t>67.19999999999999</t>
  </si>
  <si>
    <t>황준수</t>
  </si>
  <si>
    <t>32.19999999999999</t>
  </si>
  <si>
    <t>안상준</t>
  </si>
  <si>
    <t>김환</t>
  </si>
  <si>
    <t>41.19999999999999</t>
  </si>
  <si>
    <t>57.099999999999994</t>
  </si>
  <si>
    <t>김경영</t>
  </si>
  <si>
    <t>54.599999999999994</t>
  </si>
  <si>
    <t>이창화</t>
  </si>
  <si>
    <t>32.80000000000001</t>
  </si>
  <si>
    <t>정부용</t>
  </si>
  <si>
    <t>50.400000000000006</t>
  </si>
  <si>
    <t>권민정</t>
  </si>
  <si>
    <t>29.80000000000001</t>
  </si>
  <si>
    <t>최민석</t>
  </si>
  <si>
    <t>박소희</t>
  </si>
  <si>
    <t>최성용</t>
  </si>
  <si>
    <t>25.599999999999994</t>
  </si>
  <si>
    <t>8.699999999999989</t>
  </si>
  <si>
    <t>신디</t>
  </si>
  <si>
    <t>31.900000000000006</t>
  </si>
  <si>
    <t>25.30000000000001</t>
  </si>
  <si>
    <t>자보히르</t>
  </si>
  <si>
    <t>26.400000000000006</t>
  </si>
  <si>
    <t>19.19999999999999</t>
  </si>
  <si>
    <t>허세린</t>
  </si>
  <si>
    <t>민경록</t>
  </si>
  <si>
    <t>26.099999999999994</t>
  </si>
  <si>
    <t>박준호</t>
  </si>
  <si>
    <t>57.900000000000006</t>
  </si>
  <si>
    <t>박성원</t>
  </si>
  <si>
    <t>58.19999999999999</t>
  </si>
  <si>
    <t>46.30000000000001</t>
  </si>
  <si>
    <t>양은혜</t>
  </si>
  <si>
    <t>김정현</t>
  </si>
  <si>
    <t>10.799999999999997</t>
  </si>
  <si>
    <t>조해정</t>
  </si>
  <si>
    <t>48.19999999999999</t>
  </si>
  <si>
    <t>최재원</t>
  </si>
  <si>
    <t>26.900000000000006</t>
  </si>
  <si>
    <t>3.6999999999999886</t>
  </si>
  <si>
    <t>정연우</t>
  </si>
  <si>
    <t>24.19999999999999</t>
  </si>
  <si>
    <t>임지은</t>
  </si>
  <si>
    <t>김종민</t>
  </si>
  <si>
    <t>6.599999999999994</t>
  </si>
  <si>
    <t>29.099999999999994</t>
  </si>
  <si>
    <t>이승철</t>
  </si>
  <si>
    <t>10.599999999999994</t>
  </si>
  <si>
    <t>국인웅</t>
  </si>
  <si>
    <t>35.19999999999999</t>
  </si>
  <si>
    <t>장서연</t>
  </si>
  <si>
    <t>13.900000000000006</t>
  </si>
  <si>
    <t>안영욱</t>
  </si>
  <si>
    <t>56.099999999999994</t>
  </si>
  <si>
    <t>홍성열</t>
  </si>
  <si>
    <t>이창진</t>
  </si>
  <si>
    <t>정시윤</t>
  </si>
  <si>
    <t>8.799999999999997</t>
  </si>
  <si>
    <t>0.9000000000000057</t>
  </si>
  <si>
    <t>박진수</t>
  </si>
  <si>
    <t>권형기</t>
  </si>
  <si>
    <t>23.799999999999997</t>
  </si>
  <si>
    <t>10.700000000000003</t>
  </si>
  <si>
    <t>구도훈</t>
  </si>
  <si>
    <t>최재혁</t>
  </si>
  <si>
    <t>3.200000000000003</t>
  </si>
  <si>
    <t>27.599999999999994</t>
  </si>
  <si>
    <t>김도환</t>
  </si>
  <si>
    <t>윤종문</t>
  </si>
  <si>
    <t>김태휘</t>
  </si>
  <si>
    <t>47.099999999999994</t>
  </si>
  <si>
    <t>장일하</t>
  </si>
  <si>
    <t>6.099999999999994</t>
  </si>
  <si>
    <t>2.799999999999997</t>
  </si>
  <si>
    <t>박성배</t>
  </si>
  <si>
    <t>59.80000000000001</t>
  </si>
  <si>
    <t>41.69999999999999</t>
  </si>
  <si>
    <t>김영관</t>
  </si>
  <si>
    <t>37.400000000000006</t>
  </si>
  <si>
    <t>안재우</t>
  </si>
  <si>
    <t>30.599999999999994</t>
  </si>
  <si>
    <t>18.200000000000003</t>
  </si>
  <si>
    <t>이장원</t>
  </si>
  <si>
    <t>22.19999999999999</t>
  </si>
  <si>
    <t>진정학</t>
  </si>
  <si>
    <t>이현민</t>
  </si>
  <si>
    <t>2.1000000000000014</t>
  </si>
  <si>
    <t>G221028</t>
  </si>
  <si>
    <t>박규안</t>
  </si>
  <si>
    <t>비서팀</t>
  </si>
  <si>
    <t>G221035</t>
  </si>
  <si>
    <t>김현우</t>
  </si>
  <si>
    <t>내부회계관리팀</t>
  </si>
  <si>
    <t>G221036</t>
  </si>
  <si>
    <t>유동진</t>
  </si>
  <si>
    <t>53.30000000000001</t>
  </si>
  <si>
    <t>70.19999999999999</t>
  </si>
  <si>
    <t>G221037</t>
  </si>
  <si>
    <t>강현웅</t>
  </si>
  <si>
    <t>48.099999999999994</t>
  </si>
  <si>
    <t>G221038</t>
  </si>
  <si>
    <t>전재민</t>
  </si>
  <si>
    <t>Marketing팀</t>
  </si>
  <si>
    <t>G221039</t>
  </si>
  <si>
    <t>김병호</t>
  </si>
  <si>
    <t>그룹홍보실</t>
  </si>
  <si>
    <t>14.199999999999989</t>
  </si>
  <si>
    <t>G221040</t>
  </si>
  <si>
    <t>심일욱</t>
  </si>
  <si>
    <t>25.099999999999994</t>
  </si>
  <si>
    <t>17.69999999999999</t>
  </si>
  <si>
    <t>G221041</t>
  </si>
  <si>
    <t>조현진</t>
  </si>
  <si>
    <t>회계팀</t>
  </si>
  <si>
    <t>2.6999999999999886</t>
  </si>
  <si>
    <t>G221044</t>
  </si>
  <si>
    <t>최우석</t>
  </si>
  <si>
    <t>243.10000000000002</t>
  </si>
  <si>
    <t>18.30000000000001</t>
  </si>
  <si>
    <t>G221045</t>
  </si>
  <si>
    <t>김태우</t>
  </si>
  <si>
    <t>자금팀</t>
  </si>
  <si>
    <t>52.900000000000006</t>
  </si>
  <si>
    <t>G221046</t>
  </si>
  <si>
    <t>김민석</t>
  </si>
  <si>
    <t>27.900000000000006</t>
  </si>
  <si>
    <t>G221047</t>
  </si>
  <si>
    <t>이가은</t>
  </si>
  <si>
    <t>49.599999999999994</t>
  </si>
  <si>
    <t>G221050</t>
  </si>
  <si>
    <t>정민홍</t>
  </si>
  <si>
    <t>PEOPLE팀</t>
  </si>
  <si>
    <t>9.700000000000003</t>
  </si>
  <si>
    <t>G221051</t>
  </si>
  <si>
    <t>안진우</t>
  </si>
  <si>
    <t>자산/법무팀</t>
  </si>
  <si>
    <t>14.099999999999994</t>
  </si>
  <si>
    <t>G221054</t>
  </si>
  <si>
    <t>안용진</t>
  </si>
  <si>
    <t>23.599999999999994</t>
  </si>
  <si>
    <t>9.200000000000003</t>
  </si>
  <si>
    <t>G221055</t>
  </si>
  <si>
    <t>김태형</t>
  </si>
  <si>
    <t>21.599999999999994</t>
  </si>
  <si>
    <t>G221056</t>
  </si>
  <si>
    <t>황주희</t>
  </si>
  <si>
    <t>151.10000000000002</t>
  </si>
  <si>
    <t>G221072</t>
  </si>
  <si>
    <t>제석환</t>
  </si>
  <si>
    <t>인더스트리얼 설계개발팀</t>
  </si>
  <si>
    <t>95.30000000000001</t>
  </si>
  <si>
    <t>G221073</t>
  </si>
  <si>
    <t>오희진</t>
  </si>
  <si>
    <t>G221074</t>
  </si>
  <si>
    <t>최녕기</t>
  </si>
  <si>
    <t>17.099999999999994</t>
  </si>
  <si>
    <t>G221077</t>
  </si>
  <si>
    <t>배상수</t>
  </si>
  <si>
    <t>Energy사업팀</t>
  </si>
  <si>
    <t>G221079</t>
  </si>
  <si>
    <t>조유진</t>
  </si>
  <si>
    <t>G221080</t>
  </si>
  <si>
    <t>조유미</t>
  </si>
  <si>
    <t>전략팀</t>
  </si>
  <si>
    <t>21.700000000000003</t>
  </si>
  <si>
    <t>G221081</t>
  </si>
  <si>
    <t>이홍석</t>
  </si>
  <si>
    <t>SL기술지원팀</t>
  </si>
  <si>
    <t>G221082</t>
  </si>
  <si>
    <t>정동희</t>
  </si>
  <si>
    <t>G221083</t>
  </si>
  <si>
    <t>정춘섭</t>
  </si>
  <si>
    <t>원가지원팀</t>
  </si>
  <si>
    <t>92.19999999999999</t>
  </si>
  <si>
    <t>G221088</t>
  </si>
  <si>
    <t>김성현</t>
  </si>
  <si>
    <t>IT 1팀</t>
  </si>
  <si>
    <t>66.80000000000001</t>
  </si>
  <si>
    <t>G221091</t>
  </si>
  <si>
    <t>조대원</t>
  </si>
  <si>
    <t>PI팀</t>
  </si>
  <si>
    <t>33.19999999999999</t>
  </si>
  <si>
    <t>G221093</t>
  </si>
  <si>
    <t>윤좌한</t>
  </si>
  <si>
    <t>G221095</t>
  </si>
  <si>
    <t>오현석</t>
  </si>
  <si>
    <t>93.19999999999999</t>
  </si>
  <si>
    <t>61.599999999999994</t>
  </si>
  <si>
    <t>G221096</t>
  </si>
  <si>
    <t>박정훈</t>
  </si>
  <si>
    <t>354.70000000000005</t>
  </si>
  <si>
    <t>G221102</t>
  </si>
  <si>
    <t>이현</t>
  </si>
  <si>
    <t>ME사업팀</t>
  </si>
  <si>
    <t>37.599999999999994</t>
  </si>
  <si>
    <t>G221103</t>
  </si>
  <si>
    <t>손상형</t>
  </si>
  <si>
    <t>Trans사업팀</t>
  </si>
  <si>
    <t>G221107</t>
  </si>
  <si>
    <t>정철민</t>
  </si>
  <si>
    <t>IFS사업팀</t>
  </si>
  <si>
    <t>20.19999999999999</t>
  </si>
  <si>
    <t>0.30000000000001137</t>
  </si>
  <si>
    <t>7.800000000000011</t>
  </si>
  <si>
    <t>G221109</t>
  </si>
  <si>
    <t>이호서</t>
  </si>
  <si>
    <t>5.299999999999997</t>
  </si>
  <si>
    <t>G221116</t>
  </si>
  <si>
    <t>하종성</t>
  </si>
  <si>
    <t>5.799999999999997</t>
  </si>
  <si>
    <t>G221119</t>
  </si>
  <si>
    <t>이재문</t>
  </si>
  <si>
    <t>7.099999999999994</t>
  </si>
  <si>
    <t>G221122</t>
  </si>
  <si>
    <t>김철희</t>
  </si>
  <si>
    <t>G221123</t>
  </si>
  <si>
    <t>안성진</t>
  </si>
  <si>
    <t>G221124</t>
  </si>
  <si>
    <t>변성화</t>
  </si>
  <si>
    <t>21.099999999999994</t>
  </si>
  <si>
    <t>G221126</t>
  </si>
  <si>
    <t>정재록</t>
  </si>
  <si>
    <t>G221129</t>
  </si>
  <si>
    <t>정수일</t>
  </si>
  <si>
    <t>GS팀</t>
  </si>
  <si>
    <t>G221132</t>
  </si>
  <si>
    <t>김기원</t>
  </si>
  <si>
    <t>36.599999999999994</t>
  </si>
  <si>
    <t>G221133</t>
  </si>
  <si>
    <t>김법윤</t>
  </si>
  <si>
    <t>품질관리팀</t>
  </si>
  <si>
    <t>G221134</t>
  </si>
  <si>
    <t>김용하</t>
  </si>
  <si>
    <t>G221136</t>
  </si>
  <si>
    <t>경우현</t>
  </si>
  <si>
    <t>G221138</t>
  </si>
  <si>
    <t>정범준</t>
  </si>
  <si>
    <t>22.799999999999997</t>
  </si>
  <si>
    <t>G221148</t>
  </si>
  <si>
    <t>강호필</t>
  </si>
  <si>
    <t>FL기술지원팀</t>
  </si>
  <si>
    <t>G221163</t>
  </si>
  <si>
    <t>안철균</t>
  </si>
  <si>
    <t>G221173</t>
  </si>
  <si>
    <t>강유선</t>
  </si>
  <si>
    <t>54.80000000000001</t>
  </si>
  <si>
    <t>G221174</t>
  </si>
  <si>
    <t>김종우</t>
  </si>
  <si>
    <t>BI지원팀</t>
  </si>
  <si>
    <t>40.599999999999994</t>
  </si>
  <si>
    <t>38.19999999999999</t>
  </si>
  <si>
    <t>G221178</t>
  </si>
  <si>
    <t>박지원</t>
  </si>
  <si>
    <t>34.599999999999994</t>
  </si>
  <si>
    <t>45.400000000000006</t>
  </si>
  <si>
    <t>G221199</t>
  </si>
  <si>
    <t>박민아</t>
  </si>
  <si>
    <t>G222003</t>
  </si>
  <si>
    <t>유왕열</t>
  </si>
  <si>
    <t>39.19999999999999</t>
  </si>
  <si>
    <t>G222004</t>
  </si>
  <si>
    <t>윤주선</t>
  </si>
  <si>
    <t>정보상황실</t>
  </si>
  <si>
    <t>46.400000000000006</t>
  </si>
  <si>
    <t>39.80000000000001</t>
  </si>
  <si>
    <t>G222005</t>
  </si>
  <si>
    <t>이지환</t>
  </si>
  <si>
    <t>45.30000000000001</t>
  </si>
  <si>
    <t>51.30000000000001</t>
  </si>
  <si>
    <t>G222006</t>
  </si>
  <si>
    <t>김형석</t>
  </si>
  <si>
    <t>49.30000000000001</t>
  </si>
  <si>
    <t>G222007</t>
  </si>
  <si>
    <t>전정훈</t>
  </si>
  <si>
    <t>G222008</t>
  </si>
  <si>
    <t>김봉건</t>
  </si>
  <si>
    <t>G222011</t>
  </si>
  <si>
    <t>정철규</t>
  </si>
  <si>
    <t>40.19999999999999</t>
  </si>
  <si>
    <t>36.80000000000001</t>
  </si>
  <si>
    <t>G222012</t>
  </si>
  <si>
    <t>한지나</t>
  </si>
  <si>
    <t>4.700000000000003</t>
  </si>
  <si>
    <t>G222013</t>
  </si>
  <si>
    <t>김지우</t>
  </si>
  <si>
    <t>17.80000000000001</t>
  </si>
  <si>
    <t>G222016</t>
  </si>
  <si>
    <t>이태경</t>
  </si>
  <si>
    <t>0.20000000000000284</t>
  </si>
  <si>
    <t>G222017</t>
  </si>
  <si>
    <t>이진</t>
  </si>
  <si>
    <t>86.19999999999999</t>
  </si>
  <si>
    <t>176.60000000000002</t>
  </si>
  <si>
    <t>G222018</t>
  </si>
  <si>
    <t>정지호</t>
  </si>
  <si>
    <t>140.39999999999998</t>
  </si>
  <si>
    <t>139.39999999999998</t>
  </si>
  <si>
    <t>G222019</t>
  </si>
  <si>
    <t>이동윤</t>
  </si>
  <si>
    <t>15.599999999999994</t>
  </si>
  <si>
    <t>G222022</t>
  </si>
  <si>
    <t>김은지</t>
  </si>
  <si>
    <t>0.8000000000000114</t>
  </si>
  <si>
    <t>G222023</t>
  </si>
  <si>
    <t>배정현</t>
  </si>
  <si>
    <t>32.69999999999999</t>
  </si>
  <si>
    <t>G222024</t>
  </si>
  <si>
    <t>G222025</t>
  </si>
  <si>
    <t>김예미</t>
  </si>
  <si>
    <t>122.69999999999999</t>
  </si>
  <si>
    <t>G222027</t>
  </si>
  <si>
    <t>김예슬</t>
  </si>
  <si>
    <t>73.30000000000001</t>
  </si>
  <si>
    <t>31.400000000000006</t>
  </si>
  <si>
    <t>G222030</t>
  </si>
  <si>
    <t>박예지</t>
  </si>
  <si>
    <t>4.599999999999994</t>
  </si>
  <si>
    <t>G222031</t>
  </si>
  <si>
    <t>강동구</t>
  </si>
  <si>
    <t>G222032</t>
  </si>
  <si>
    <t>김태원</t>
  </si>
  <si>
    <t>G222035</t>
  </si>
  <si>
    <t>곽지훈</t>
  </si>
  <si>
    <t>지속가능경영2팀</t>
  </si>
  <si>
    <t>115.69999999999999</t>
  </si>
  <si>
    <t>G223003</t>
  </si>
  <si>
    <t>김태희</t>
  </si>
  <si>
    <t>G223004</t>
  </si>
  <si>
    <t>이호석</t>
  </si>
  <si>
    <t>89.69999999999999</t>
  </si>
  <si>
    <t>G223008</t>
  </si>
  <si>
    <t>박지은</t>
  </si>
  <si>
    <t>G223009</t>
  </si>
  <si>
    <t>류태훈</t>
  </si>
  <si>
    <t>61.099999999999994</t>
  </si>
  <si>
    <t>G223010</t>
  </si>
  <si>
    <t>전규홍</t>
  </si>
  <si>
    <t>53.599999999999994</t>
  </si>
  <si>
    <t>G223011</t>
  </si>
  <si>
    <t>박영욱</t>
  </si>
  <si>
    <t>33.900000000000006</t>
  </si>
  <si>
    <t>G223012</t>
  </si>
  <si>
    <t>김도연</t>
  </si>
  <si>
    <t>46.19999999999999</t>
  </si>
  <si>
    <t>31.299999999999997</t>
  </si>
  <si>
    <t>G223015</t>
  </si>
  <si>
    <t>류현주</t>
  </si>
  <si>
    <t>30.099999999999994</t>
  </si>
  <si>
    <t>G223016</t>
  </si>
  <si>
    <t>차준길</t>
  </si>
  <si>
    <t>448.20000000000005</t>
  </si>
  <si>
    <t>G223041</t>
  </si>
  <si>
    <t>최한활</t>
  </si>
  <si>
    <t>인더스트리얼재료팀</t>
  </si>
  <si>
    <t>G223042</t>
  </si>
  <si>
    <t>정우석</t>
  </si>
  <si>
    <t>13.300000000000011</t>
  </si>
  <si>
    <t>8.300000000000011</t>
  </si>
  <si>
    <t>G223043</t>
  </si>
  <si>
    <t>정한수</t>
  </si>
  <si>
    <t>기술지원팀</t>
  </si>
  <si>
    <t>30.400000000000006</t>
  </si>
  <si>
    <t>G223045</t>
  </si>
  <si>
    <t>신응익</t>
  </si>
  <si>
    <t>G223046</t>
  </si>
  <si>
    <t>김건일</t>
  </si>
  <si>
    <t>12.799999999999997</t>
  </si>
  <si>
    <t>G223047</t>
  </si>
  <si>
    <t>이종민</t>
  </si>
  <si>
    <t>16.30000000000001</t>
  </si>
  <si>
    <t>G223050</t>
  </si>
  <si>
    <t>최민욱</t>
  </si>
  <si>
    <t>신재료연구팀</t>
  </si>
  <si>
    <t>30.19999999999999</t>
  </si>
  <si>
    <t>14.200000000000003</t>
  </si>
  <si>
    <t>G223051</t>
  </si>
  <si>
    <t>서진우</t>
  </si>
  <si>
    <t>G223052</t>
  </si>
  <si>
    <t>이윤교</t>
  </si>
  <si>
    <t>생산1팀</t>
  </si>
  <si>
    <t>G223054</t>
  </si>
  <si>
    <t>송택하</t>
  </si>
  <si>
    <t>Defense사업팀</t>
  </si>
  <si>
    <t>G223055</t>
  </si>
  <si>
    <t>이봉한</t>
  </si>
  <si>
    <t>57.599999999999994</t>
  </si>
  <si>
    <t>48.80000000000001</t>
  </si>
  <si>
    <t>G223056</t>
  </si>
  <si>
    <t>김수연</t>
  </si>
  <si>
    <t>G223057</t>
  </si>
  <si>
    <t>안경수</t>
  </si>
  <si>
    <t>G223058</t>
  </si>
  <si>
    <t>김진태</t>
  </si>
  <si>
    <t>G223060</t>
  </si>
  <si>
    <t>한혜수</t>
  </si>
  <si>
    <t>G223062</t>
  </si>
  <si>
    <t>김영식</t>
  </si>
  <si>
    <t>4.200000000000003</t>
  </si>
  <si>
    <t>G223063</t>
  </si>
  <si>
    <t>이상현</t>
  </si>
  <si>
    <t>TPE개발팀</t>
  </si>
  <si>
    <t>G223064</t>
  </si>
  <si>
    <t>박소현</t>
  </si>
  <si>
    <t>46.599999999999994</t>
  </si>
  <si>
    <t>G223065</t>
  </si>
  <si>
    <t>박창현</t>
  </si>
  <si>
    <t>0.7000000000000028</t>
  </si>
  <si>
    <t>G223068</t>
  </si>
  <si>
    <t>김수현</t>
  </si>
  <si>
    <t>38.099999999999994</t>
  </si>
  <si>
    <t>G223070</t>
  </si>
  <si>
    <t>변정수</t>
  </si>
  <si>
    <t>G223071</t>
  </si>
  <si>
    <t>김종관</t>
  </si>
  <si>
    <t>44.599999999999994</t>
  </si>
  <si>
    <t>G223072</t>
  </si>
  <si>
    <t>김태근</t>
  </si>
  <si>
    <t>DI팀</t>
  </si>
  <si>
    <t>G223073</t>
  </si>
  <si>
    <t>박석환</t>
  </si>
  <si>
    <t>G223074</t>
  </si>
  <si>
    <t>김지은</t>
  </si>
  <si>
    <t>2.1999999999999886</t>
  </si>
  <si>
    <t>4.099999999999994</t>
  </si>
  <si>
    <t>G223077</t>
  </si>
  <si>
    <t>전정민</t>
  </si>
  <si>
    <t>G223078</t>
  </si>
  <si>
    <t>정현수</t>
  </si>
  <si>
    <t>재료개발실</t>
  </si>
  <si>
    <t>G223079</t>
  </si>
  <si>
    <t>백흠우</t>
  </si>
  <si>
    <t>FL재료팀</t>
  </si>
  <si>
    <t>10.200000000000003</t>
  </si>
  <si>
    <t>G223081</t>
  </si>
  <si>
    <t>고경훈</t>
  </si>
  <si>
    <t>G223082</t>
  </si>
  <si>
    <t>한창욱</t>
  </si>
  <si>
    <t>SL재료팀</t>
  </si>
  <si>
    <t>25.19999999999999</t>
  </si>
  <si>
    <t>G223083</t>
  </si>
  <si>
    <t>G223084</t>
  </si>
  <si>
    <t>모성우</t>
  </si>
  <si>
    <t>6.800000000000011</t>
  </si>
  <si>
    <t>G223086</t>
  </si>
  <si>
    <t>신광섭</t>
  </si>
  <si>
    <t>환경안전팀</t>
  </si>
  <si>
    <t>G223087</t>
  </si>
  <si>
    <t>임진오</t>
  </si>
  <si>
    <t>ER팀</t>
  </si>
  <si>
    <t>G223088</t>
  </si>
  <si>
    <t>이제훈</t>
  </si>
  <si>
    <t>117.60000000000002</t>
  </si>
  <si>
    <t>G223089</t>
  </si>
  <si>
    <t>박현진</t>
  </si>
  <si>
    <t>91.30000000000001</t>
  </si>
  <si>
    <t>G223090</t>
  </si>
  <si>
    <t>최민웅</t>
  </si>
  <si>
    <t>G223092</t>
  </si>
  <si>
    <t>김호용</t>
  </si>
  <si>
    <t>G223093</t>
  </si>
  <si>
    <t>조지남</t>
  </si>
  <si>
    <t>28.400000000000006</t>
  </si>
  <si>
    <t>G223094</t>
  </si>
  <si>
    <t>박성훈</t>
  </si>
  <si>
    <t>63.099999999999994</t>
  </si>
  <si>
    <t>68.69999999999999</t>
  </si>
  <si>
    <t>G223095</t>
  </si>
  <si>
    <t>우인호</t>
  </si>
  <si>
    <t>32.30000000000001</t>
  </si>
  <si>
    <t>G223099</t>
  </si>
  <si>
    <t>김상봉</t>
  </si>
  <si>
    <t>110.30000000000001</t>
  </si>
  <si>
    <t>G223100</t>
  </si>
  <si>
    <t>김민수</t>
  </si>
  <si>
    <t>208.39999999999998</t>
  </si>
  <si>
    <t>G223101</t>
  </si>
  <si>
    <t>김신욱</t>
  </si>
  <si>
    <t>48.400000000000006</t>
  </si>
  <si>
    <t>G223103</t>
  </si>
  <si>
    <t>윤선호</t>
  </si>
  <si>
    <t>Defense생산팀</t>
  </si>
  <si>
    <t>12.199999999999989</t>
  </si>
  <si>
    <t>G223106</t>
  </si>
  <si>
    <t>장원우</t>
  </si>
  <si>
    <t>53.099999999999994</t>
  </si>
  <si>
    <t>51.80000000000001</t>
  </si>
  <si>
    <t>37.099999999999994</t>
  </si>
  <si>
    <t>G223169</t>
  </si>
  <si>
    <t>김경렬</t>
  </si>
  <si>
    <t>G223174</t>
  </si>
  <si>
    <t>손지원</t>
  </si>
  <si>
    <t>G223175</t>
  </si>
  <si>
    <t>고철희</t>
  </si>
  <si>
    <t>G223176</t>
  </si>
  <si>
    <t>전재욱</t>
  </si>
  <si>
    <t>21.19999999999999</t>
  </si>
  <si>
    <t>5.700000000000003</t>
  </si>
  <si>
    <t>G223221</t>
  </si>
  <si>
    <t>최정원</t>
  </si>
  <si>
    <t>설비혁신팀</t>
  </si>
  <si>
    <t>74.19999999999999</t>
  </si>
  <si>
    <t>G223222</t>
  </si>
  <si>
    <t>정세호</t>
  </si>
  <si>
    <t>G223254</t>
  </si>
  <si>
    <t>박원오</t>
  </si>
  <si>
    <t>33.099999999999994</t>
  </si>
  <si>
    <t>G223255</t>
  </si>
  <si>
    <t>김대훈</t>
  </si>
  <si>
    <t>2.3000000000000114</t>
  </si>
  <si>
    <t>G223256</t>
  </si>
  <si>
    <t>조영대</t>
  </si>
  <si>
    <t>생산2팀</t>
  </si>
  <si>
    <t>40.80000000000001</t>
  </si>
  <si>
    <t>G223257</t>
  </si>
  <si>
    <t>서준호</t>
  </si>
  <si>
    <t>98.10000000000002</t>
  </si>
  <si>
    <t>105.19999999999999</t>
  </si>
  <si>
    <t>G223258</t>
  </si>
  <si>
    <t>조성완</t>
  </si>
  <si>
    <t>10.800000000000011</t>
  </si>
  <si>
    <t>G223312</t>
  </si>
  <si>
    <t>주호진</t>
  </si>
  <si>
    <t>G223323</t>
  </si>
  <si>
    <t>김소연</t>
  </si>
  <si>
    <t>영업지원팀</t>
  </si>
  <si>
    <t>G223325</t>
  </si>
  <si>
    <t>배재민</t>
  </si>
  <si>
    <t>21.900000000000006</t>
  </si>
  <si>
    <t>23.400000000000006</t>
  </si>
  <si>
    <t>7.400000000000006</t>
  </si>
  <si>
    <t>G223326</t>
  </si>
  <si>
    <t>김기연</t>
  </si>
  <si>
    <t>G223327</t>
  </si>
  <si>
    <t>권재진</t>
  </si>
  <si>
    <t>G223328</t>
  </si>
  <si>
    <t>도정록</t>
  </si>
  <si>
    <t>CMB영업팀</t>
  </si>
  <si>
    <t>G223329</t>
  </si>
  <si>
    <t>신문용</t>
  </si>
  <si>
    <t>G223331</t>
  </si>
  <si>
    <t>박민석</t>
  </si>
  <si>
    <t>8.199999999999989</t>
  </si>
  <si>
    <t>11.300000000000011</t>
  </si>
  <si>
    <t>G223332</t>
  </si>
  <si>
    <t>박대규</t>
  </si>
  <si>
    <t>G223343</t>
  </si>
  <si>
    <t>임상호</t>
  </si>
  <si>
    <t>G223344</t>
  </si>
  <si>
    <t>김남진</t>
  </si>
  <si>
    <t>G223345</t>
  </si>
  <si>
    <t>이창헌</t>
  </si>
  <si>
    <t>15.699999999999989</t>
  </si>
  <si>
    <t>G223346</t>
  </si>
  <si>
    <t>심규섭</t>
  </si>
  <si>
    <t>G223347</t>
  </si>
  <si>
    <t>김일민</t>
  </si>
  <si>
    <t>TPE영업팀</t>
  </si>
  <si>
    <t>21.69999999999999</t>
  </si>
  <si>
    <t>G223348</t>
  </si>
  <si>
    <t>바실리엡콘스탄틴</t>
  </si>
  <si>
    <t>G223349</t>
  </si>
  <si>
    <t>정순우</t>
  </si>
  <si>
    <t>G223350</t>
  </si>
  <si>
    <t>김윤성</t>
  </si>
  <si>
    <t>16.400000000000006</t>
  </si>
  <si>
    <t>3.0999999999999943</t>
  </si>
  <si>
    <t>G223351</t>
  </si>
  <si>
    <t>윤영기</t>
  </si>
  <si>
    <t>G223361</t>
  </si>
  <si>
    <t>천지원</t>
  </si>
  <si>
    <t>G223381</t>
  </si>
  <si>
    <t>김태석</t>
  </si>
  <si>
    <t>G223386</t>
  </si>
  <si>
    <t>김규리</t>
  </si>
  <si>
    <t>G223392</t>
  </si>
  <si>
    <t>IT 2팀</t>
  </si>
  <si>
    <t>25.900000000000006</t>
  </si>
  <si>
    <t>G223393</t>
  </si>
  <si>
    <t>하동훈</t>
  </si>
  <si>
    <t>11.299999999999997</t>
  </si>
  <si>
    <t>G223394</t>
  </si>
  <si>
    <t>전경민</t>
  </si>
  <si>
    <t>G223395</t>
  </si>
  <si>
    <t>유재윤</t>
  </si>
  <si>
    <t>9.099999999999994</t>
  </si>
  <si>
    <t>G223396</t>
  </si>
  <si>
    <t>유지원</t>
  </si>
  <si>
    <t>4.299999999999997</t>
  </si>
  <si>
    <t>G223397</t>
  </si>
  <si>
    <t>서지웅</t>
  </si>
  <si>
    <t>9.400000000000006</t>
  </si>
  <si>
    <t>G223398</t>
  </si>
  <si>
    <t>임희정</t>
  </si>
  <si>
    <t>18.099999999999994</t>
  </si>
  <si>
    <t>G223401</t>
  </si>
  <si>
    <t>이진석</t>
  </si>
  <si>
    <t>G223408</t>
  </si>
  <si>
    <t>윤다영</t>
  </si>
  <si>
    <t>G223411</t>
  </si>
  <si>
    <t>손민정</t>
  </si>
  <si>
    <t>15.099999999999994</t>
  </si>
  <si>
    <t>G223412</t>
  </si>
  <si>
    <t>강명주</t>
  </si>
  <si>
    <t>471.20000000000005</t>
  </si>
  <si>
    <t>G224001</t>
  </si>
  <si>
    <t>황은정</t>
  </si>
  <si>
    <t>G224003</t>
  </si>
  <si>
    <t>한별</t>
  </si>
  <si>
    <t>12.200000000000003</t>
  </si>
  <si>
    <t>G224004</t>
  </si>
  <si>
    <t>전준우</t>
  </si>
  <si>
    <t>기술전략화팀</t>
  </si>
  <si>
    <t>G224005</t>
  </si>
  <si>
    <t>김민규</t>
  </si>
  <si>
    <t>G224006</t>
  </si>
  <si>
    <t>김민관</t>
  </si>
  <si>
    <t>G224007</t>
  </si>
  <si>
    <t>이선준</t>
  </si>
  <si>
    <t>50.80000000000001</t>
  </si>
  <si>
    <t>G224008</t>
  </si>
  <si>
    <t>최빛나</t>
  </si>
  <si>
    <t>G224009</t>
  </si>
  <si>
    <t>최성현</t>
  </si>
  <si>
    <t>13.200000000000003</t>
  </si>
  <si>
    <t>G224010</t>
  </si>
  <si>
    <t>우상범</t>
  </si>
  <si>
    <t>20.30000000000001</t>
  </si>
  <si>
    <t>G224011</t>
  </si>
  <si>
    <t>정수현</t>
  </si>
  <si>
    <t>G224014</t>
  </si>
  <si>
    <t>이상민</t>
  </si>
  <si>
    <t>32.400000000000006</t>
  </si>
  <si>
    <t>14.599999999999994</t>
  </si>
  <si>
    <t>G224015</t>
  </si>
  <si>
    <t>김효경</t>
  </si>
  <si>
    <t>G224016</t>
  </si>
  <si>
    <t>송보현</t>
  </si>
  <si>
    <t>G224017</t>
  </si>
  <si>
    <t>정경목</t>
  </si>
  <si>
    <t>G224036</t>
  </si>
  <si>
    <t>현가을</t>
  </si>
  <si>
    <t>50.599999999999994</t>
  </si>
  <si>
    <t>G224046</t>
  </si>
  <si>
    <t>정진영</t>
  </si>
  <si>
    <t>17.30000000000001</t>
  </si>
  <si>
    <t>G224047</t>
  </si>
  <si>
    <t>조재현</t>
  </si>
  <si>
    <t>G224048</t>
  </si>
  <si>
    <t>여찬주</t>
  </si>
  <si>
    <t>G224049</t>
  </si>
  <si>
    <t>김건수</t>
  </si>
  <si>
    <t>50.30000000000001</t>
  </si>
  <si>
    <t>G224051</t>
  </si>
  <si>
    <t>최영진</t>
  </si>
  <si>
    <t>11.699999999999989</t>
  </si>
  <si>
    <t>G224052</t>
  </si>
  <si>
    <t>문지원</t>
  </si>
  <si>
    <t>G224053</t>
  </si>
  <si>
    <t>이예진</t>
  </si>
  <si>
    <t>13.800000000000011</t>
  </si>
  <si>
    <t>G224058</t>
  </si>
  <si>
    <t>함종혁</t>
  </si>
  <si>
    <t>66.30000000000001</t>
  </si>
  <si>
    <t>14.799999999999997</t>
  </si>
  <si>
    <t>G224059</t>
  </si>
  <si>
    <t>홍지혜</t>
  </si>
  <si>
    <t>41.400000000000006</t>
  </si>
  <si>
    <t>63.30000000000001</t>
  </si>
  <si>
    <t>G224060</t>
  </si>
  <si>
    <t>김권지</t>
  </si>
  <si>
    <t>G224064</t>
  </si>
  <si>
    <t>조홍준</t>
  </si>
  <si>
    <t>G224065</t>
  </si>
  <si>
    <t>김다솔</t>
  </si>
  <si>
    <t>G224068</t>
  </si>
  <si>
    <t>김흔수</t>
  </si>
  <si>
    <t>G224077</t>
  </si>
  <si>
    <t>이영은</t>
  </si>
  <si>
    <t>5.199999999999989</t>
  </si>
  <si>
    <t>G224078</t>
  </si>
  <si>
    <t>권성하</t>
  </si>
  <si>
    <t>G224079</t>
  </si>
  <si>
    <t>노승윤</t>
  </si>
  <si>
    <t>58.599999999999994</t>
  </si>
  <si>
    <t>G224086</t>
  </si>
  <si>
    <t>김영철</t>
  </si>
  <si>
    <t>G224088</t>
  </si>
  <si>
    <t>김빛남</t>
  </si>
  <si>
    <t>43.30000000000001</t>
  </si>
  <si>
    <t>G224098</t>
  </si>
  <si>
    <t>김강민</t>
  </si>
  <si>
    <t>3.700000000000003</t>
  </si>
  <si>
    <t>G224099</t>
  </si>
  <si>
    <t>김영미</t>
  </si>
  <si>
    <t>G224100</t>
  </si>
  <si>
    <t>강예경</t>
  </si>
  <si>
    <t>G224105</t>
  </si>
  <si>
    <t>이창민</t>
  </si>
  <si>
    <t>64.19999999999999</t>
  </si>
  <si>
    <t>G224107</t>
  </si>
  <si>
    <t>조찬혁</t>
  </si>
  <si>
    <t>G224109</t>
  </si>
  <si>
    <t>정지원</t>
  </si>
  <si>
    <t>G224122</t>
  </si>
  <si>
    <t>송민석</t>
  </si>
  <si>
    <t>G224132</t>
  </si>
  <si>
    <t>김서화</t>
  </si>
  <si>
    <t>39.69999999999999</t>
  </si>
  <si>
    <t>G224133</t>
  </si>
  <si>
    <t>김가림</t>
  </si>
  <si>
    <t>34.099999999999994</t>
  </si>
  <si>
    <t>G224140</t>
  </si>
  <si>
    <t>여재우</t>
  </si>
  <si>
    <t>G224141</t>
  </si>
  <si>
    <t>김민지</t>
  </si>
  <si>
    <t>G225003</t>
  </si>
  <si>
    <t>박효진</t>
  </si>
  <si>
    <t>G225005</t>
  </si>
  <si>
    <t>최보경</t>
  </si>
  <si>
    <t>G225006</t>
  </si>
  <si>
    <t>최현승</t>
  </si>
  <si>
    <t>5.900000000000006</t>
  </si>
  <si>
    <t>G225007</t>
  </si>
  <si>
    <t>김세훈</t>
  </si>
  <si>
    <t>G225008</t>
  </si>
  <si>
    <t>김효용</t>
  </si>
  <si>
    <t>62.80000000000001</t>
  </si>
  <si>
    <t>G225013</t>
  </si>
  <si>
    <t>윤지호</t>
  </si>
  <si>
    <t>G225014</t>
  </si>
  <si>
    <t>G225015</t>
  </si>
  <si>
    <t>전민주</t>
  </si>
  <si>
    <t>47.400000000000006</t>
  </si>
  <si>
    <t>G225018</t>
  </si>
  <si>
    <t>권오한</t>
  </si>
  <si>
    <t>G225020</t>
  </si>
  <si>
    <t>전찬</t>
  </si>
  <si>
    <t>G225021</t>
  </si>
  <si>
    <t>신용재</t>
  </si>
  <si>
    <t>78.30000000000001</t>
  </si>
  <si>
    <t>67.80000000000001</t>
  </si>
  <si>
    <t>G225022</t>
  </si>
  <si>
    <t>2.5999999999999943</t>
  </si>
  <si>
    <t>G225023</t>
  </si>
  <si>
    <t>권정솔</t>
  </si>
  <si>
    <t>G225025</t>
  </si>
  <si>
    <t>이성수</t>
  </si>
  <si>
    <t>G225026</t>
  </si>
  <si>
    <t>박예준</t>
  </si>
  <si>
    <t>G225027</t>
  </si>
  <si>
    <t>김예지</t>
  </si>
  <si>
    <t>G225028</t>
  </si>
  <si>
    <t>이진형</t>
  </si>
  <si>
    <t>G225029</t>
  </si>
  <si>
    <t>고병희</t>
  </si>
  <si>
    <t>47.30000000000001</t>
  </si>
  <si>
    <t>49.69999999999999</t>
  </si>
  <si>
    <t>G225035</t>
  </si>
  <si>
    <t>윤인석</t>
  </si>
  <si>
    <t>G225037</t>
  </si>
  <si>
    <t>민윤재</t>
  </si>
  <si>
    <t>56.599999999999994</t>
  </si>
  <si>
    <t>G225039</t>
  </si>
  <si>
    <t>김금석</t>
  </si>
  <si>
    <t>29.69999999999999</t>
  </si>
  <si>
    <t>G225042</t>
  </si>
  <si>
    <t>G225043</t>
  </si>
  <si>
    <t>문병렬</t>
  </si>
  <si>
    <t>G225044</t>
  </si>
  <si>
    <t>유솔화</t>
  </si>
  <si>
    <t>3.3999999999999986</t>
  </si>
  <si>
    <t>G225045</t>
  </si>
  <si>
    <t>김수곤</t>
  </si>
  <si>
    <t>G225046</t>
  </si>
  <si>
    <t>정하은</t>
  </si>
  <si>
    <t>G225047</t>
  </si>
  <si>
    <t>정예원</t>
  </si>
  <si>
    <t>6.600000000000001</t>
  </si>
  <si>
    <t>G225048</t>
  </si>
  <si>
    <t>이서영</t>
  </si>
  <si>
    <t>15.700000000000003</t>
  </si>
  <si>
    <t>G225049</t>
  </si>
  <si>
    <t>박다빈</t>
  </si>
  <si>
    <t>G225050</t>
  </si>
  <si>
    <t>G225051</t>
  </si>
  <si>
    <t>이가현</t>
  </si>
  <si>
    <t>7.200000000000003</t>
  </si>
  <si>
    <t>G225052</t>
  </si>
  <si>
    <t>신호윤</t>
  </si>
  <si>
    <t>5.399999999999999</t>
  </si>
  <si>
    <t>G225053</t>
  </si>
  <si>
    <t>김종화</t>
  </si>
  <si>
    <t>이름</t>
    <phoneticPr fontId="18" type="noConversion"/>
  </si>
  <si>
    <t>사번</t>
    <phoneticPr fontId="18" type="noConversion"/>
  </si>
  <si>
    <t>팀</t>
  </si>
  <si>
    <t>팀</t>
    <phoneticPr fontId="18" type="noConversion"/>
  </si>
  <si>
    <t>직급</t>
    <phoneticPr fontId="18" type="noConversion"/>
  </si>
  <si>
    <t>전체</t>
  </si>
  <si>
    <t>전체</t>
    <phoneticPr fontId="18" type="noConversion"/>
  </si>
  <si>
    <t>근무시간</t>
    <phoneticPr fontId="18" type="noConversion"/>
  </si>
  <si>
    <t>정규근무일수</t>
    <phoneticPr fontId="18" type="noConversion"/>
  </si>
  <si>
    <t>6월 총근무시간</t>
    <phoneticPr fontId="18" type="noConversion"/>
  </si>
  <si>
    <t>책임</t>
    <phoneticPr fontId="18" type="noConversion"/>
  </si>
  <si>
    <t>선임</t>
    <phoneticPr fontId="18" type="noConversion"/>
  </si>
  <si>
    <t>사원</t>
    <phoneticPr fontId="18" type="noConversion"/>
  </si>
  <si>
    <t>7월 총근무시간</t>
    <phoneticPr fontId="18" type="noConversion"/>
  </si>
  <si>
    <t>8월 총근무시간</t>
    <phoneticPr fontId="18" type="noConversion"/>
  </si>
  <si>
    <t>6월 평균근무일수</t>
    <phoneticPr fontId="18" type="noConversion"/>
  </si>
  <si>
    <t>기준근무시간</t>
    <phoneticPr fontId="18" type="noConversion"/>
  </si>
  <si>
    <t>6월 FTE</t>
    <phoneticPr fontId="18" type="noConversion"/>
  </si>
  <si>
    <t>7월 FTE</t>
    <phoneticPr fontId="18" type="noConversion"/>
  </si>
  <si>
    <t>8월 FTE</t>
    <phoneticPr fontId="18" type="noConversion"/>
  </si>
  <si>
    <t>현재 인원수</t>
    <phoneticPr fontId="18" type="noConversion"/>
  </si>
  <si>
    <t>Corp.</t>
  </si>
  <si>
    <t>R&amp;A</t>
  </si>
  <si>
    <t>회장</t>
  </si>
  <si>
    <t>부회장</t>
  </si>
  <si>
    <t>대표이사</t>
  </si>
  <si>
    <t>CINO</t>
  </si>
  <si>
    <t>HSMI</t>
  </si>
  <si>
    <t>HSR</t>
  </si>
  <si>
    <t>HSAM</t>
  </si>
  <si>
    <t>HSI</t>
  </si>
  <si>
    <t>HSAA</t>
  </si>
  <si>
    <t>HSAU</t>
  </si>
  <si>
    <t>HSID</t>
  </si>
  <si>
    <t>HSEU</t>
  </si>
  <si>
    <t>HSIA</t>
  </si>
  <si>
    <t>HSAH</t>
  </si>
  <si>
    <t>HSTR</t>
  </si>
  <si>
    <t>HST</t>
  </si>
  <si>
    <t>HSMV</t>
  </si>
  <si>
    <t>비서/홍보담당</t>
  </si>
  <si>
    <t>지속가능경영실</t>
  </si>
  <si>
    <t>지속가능경영1팀</t>
  </si>
  <si>
    <t>자산/HR담당</t>
  </si>
  <si>
    <t>Product사업본부(BU)</t>
  </si>
  <si>
    <t>AD사업담당</t>
  </si>
  <si>
    <t>SP사업담당</t>
  </si>
  <si>
    <t>재료연구센터</t>
  </si>
  <si>
    <t>신탄성材실</t>
  </si>
  <si>
    <t>기술기획실</t>
  </si>
  <si>
    <t>IND'L설계실</t>
  </si>
  <si>
    <t>Material사업본부(BU)</t>
  </si>
  <si>
    <t>TPE사업담당</t>
  </si>
  <si>
    <t>생산/품질담당</t>
  </si>
  <si>
    <t>CMB사업담당</t>
  </si>
  <si>
    <t>AUTO사업지원본부</t>
  </si>
  <si>
    <t>SL사업지원담당</t>
  </si>
  <si>
    <t>재경정보담당</t>
  </si>
  <si>
    <t>재경실</t>
  </si>
  <si>
    <t>전략기획담당</t>
  </si>
  <si>
    <t>설계실</t>
  </si>
  <si>
    <t>R&amp;D Center</t>
  </si>
  <si>
    <t>생산기술실</t>
  </si>
  <si>
    <t>SL담당</t>
  </si>
  <si>
    <t>B/H사업단</t>
  </si>
  <si>
    <t>저압사업단</t>
  </si>
  <si>
    <t>관체사업단</t>
  </si>
  <si>
    <t>열관리사업단</t>
  </si>
  <si>
    <t>경영관리본부</t>
  </si>
  <si>
    <t>SL사업본부</t>
  </si>
  <si>
    <t>통합</t>
    <phoneticPr fontId="18" type="noConversion"/>
  </si>
  <si>
    <t>FTE/인원수</t>
    <phoneticPr fontId="18" type="noConversion"/>
  </si>
  <si>
    <t>7월 평균근무일수</t>
    <phoneticPr fontId="18" type="noConversion"/>
  </si>
  <si>
    <t>8월 평균근무일수</t>
    <phoneticPr fontId="18" type="noConversion"/>
  </si>
  <si>
    <t>평균 FTE (6월 ~ 8월)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</si>
</sst>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9E9A-E206-4EA1-845D-741A5A9E3476}">
  <sheetPr>
    <tabColor theme="5" tint="0.79998168889431442"/>
  </sheetPr>
  <dimension ref="A1:M77"/>
  <sheetViews>
    <sheetView tabSelected="1" workbookViewId="0">
      <selection activeCell="E16" sqref="E16"/>
    </sheetView>
  </sheetViews>
  <sheetFormatPr baseColWidth="10" defaultColWidth="8.83203125" defaultRowHeight="17"/>
  <cols>
    <col min="1" max="1" width="18.6640625" customWidth="1"/>
  </cols>
  <sheetData>
    <row r="1" spans="1:13">
      <c r="B1" s="4" t="s">
        <v>1399</v>
      </c>
      <c r="C1" s="4"/>
      <c r="D1" s="4"/>
      <c r="E1" s="4"/>
      <c r="F1" s="4" t="s">
        <v>1345</v>
      </c>
      <c r="G1" s="4"/>
      <c r="H1" s="4"/>
      <c r="I1" s="4"/>
      <c r="J1" s="5" t="s">
        <v>1396</v>
      </c>
      <c r="K1" s="5"/>
      <c r="L1" s="5"/>
      <c r="M1" s="5"/>
    </row>
    <row r="2" spans="1:13">
      <c r="A2" t="s">
        <v>1327</v>
      </c>
      <c r="B2" t="s">
        <v>1331</v>
      </c>
      <c r="C2" t="s">
        <v>1335</v>
      </c>
      <c r="D2" t="s">
        <v>1336</v>
      </c>
      <c r="E2" t="s">
        <v>1337</v>
      </c>
      <c r="F2" t="s">
        <v>1331</v>
      </c>
      <c r="G2" t="s">
        <v>1335</v>
      </c>
      <c r="H2" t="s">
        <v>1336</v>
      </c>
      <c r="I2" t="s">
        <v>1337</v>
      </c>
      <c r="J2" t="s">
        <v>1331</v>
      </c>
      <c r="K2" t="s">
        <v>1335</v>
      </c>
      <c r="L2" t="s">
        <v>1336</v>
      </c>
      <c r="M2" t="s">
        <v>1337</v>
      </c>
    </row>
    <row r="3" spans="1:13">
      <c r="A3" t="s">
        <v>16</v>
      </c>
      <c r="B3" s="3">
        <f>AVERAGE('FTE 계산'!W3,'FTE 계산'!AI3,'FTE 계산'!AU3)</f>
        <v>10.29032357155698</v>
      </c>
      <c r="C3" s="3">
        <f>AVERAGE('FTE 계산'!X3,'FTE 계산'!AJ3,'FTE 계산'!AV3)</f>
        <v>5.9911502296013168</v>
      </c>
      <c r="D3" s="3">
        <f>AVERAGE('FTE 계산'!Y3,'FTE 계산'!AK3,'FTE 계산'!AW3)</f>
        <v>2.0141762452107277</v>
      </c>
      <c r="E3" s="3">
        <f>AVERAGE('FTE 계산'!Z3,'FTE 계산'!AL3,'FTE 계산'!AX3)</f>
        <v>0.74734374999999997</v>
      </c>
      <c r="F3">
        <f>_xlfn.XLOOKUP($A3,Sheet3!$A:$A,Sheet3!K:K)</f>
        <v>11</v>
      </c>
      <c r="G3">
        <f>_xlfn.XLOOKUP($A3,Sheet3!$A:$A,Sheet3!L:L)</f>
        <v>5</v>
      </c>
      <c r="H3">
        <f>_xlfn.XLOOKUP($A3,Sheet3!$A:$A,Sheet3!M:M)</f>
        <v>2</v>
      </c>
      <c r="I3">
        <f>_xlfn.XLOOKUP($A3,Sheet3!$A:$A,Sheet3!N:N)</f>
        <v>4</v>
      </c>
      <c r="J3" s="3">
        <f>B3/F3</f>
        <v>0.93548396105063458</v>
      </c>
      <c r="K3" s="3">
        <f t="shared" ref="K3:M3" si="0">C3/G3</f>
        <v>1.1982300459202633</v>
      </c>
      <c r="L3" s="3">
        <f t="shared" si="0"/>
        <v>1.0070881226053638</v>
      </c>
      <c r="M3" s="3">
        <f t="shared" si="0"/>
        <v>0.18683593749999999</v>
      </c>
    </row>
    <row r="4" spans="1:13">
      <c r="A4" s="2" t="s">
        <v>19</v>
      </c>
      <c r="B4" s="3">
        <f>AVERAGE('FTE 계산'!W4,'FTE 계산'!AI4,'FTE 계산'!AU4)</f>
        <v>9.4379799788767968</v>
      </c>
      <c r="C4" s="3">
        <f>AVERAGE('FTE 계산'!X4,'FTE 계산'!AJ4,'FTE 계산'!AV4)</f>
        <v>4.6447768281101611</v>
      </c>
      <c r="D4" s="3">
        <f>AVERAGE('FTE 계산'!Y4,'FTE 계산'!AK4,'FTE 계산'!AW4)</f>
        <v>2.3962680862680865</v>
      </c>
      <c r="E4" s="3">
        <f>AVERAGE('FTE 계산'!Z4,'FTE 계산'!AL4,'FTE 계산'!AX4)</f>
        <v>2.379188981608336</v>
      </c>
      <c r="F4">
        <f>_xlfn.XLOOKUP($A4,Sheet3!$A:$A,Sheet3!K:K)</f>
        <v>8</v>
      </c>
      <c r="G4">
        <f>_xlfn.XLOOKUP($A4,Sheet3!$A:$A,Sheet3!L:L)</f>
        <v>4</v>
      </c>
      <c r="H4">
        <f>_xlfn.XLOOKUP($A4,Sheet3!$A:$A,Sheet3!M:M)</f>
        <v>2</v>
      </c>
      <c r="I4">
        <f>_xlfn.XLOOKUP($A4,Sheet3!$A:$A,Sheet3!N:N)</f>
        <v>2</v>
      </c>
      <c r="J4" s="3">
        <f t="shared" ref="J4:J67" si="1">B4/F4</f>
        <v>1.1797474973595996</v>
      </c>
      <c r="K4" s="3">
        <f t="shared" ref="K4:K67" si="2">C4/G4</f>
        <v>1.1611942070275403</v>
      </c>
      <c r="L4" s="3">
        <f t="shared" ref="L4:L67" si="3">D4/H4</f>
        <v>1.1981340431340433</v>
      </c>
      <c r="M4" s="3">
        <f t="shared" ref="M4:M67" si="4">E4/I4</f>
        <v>1.189594490804168</v>
      </c>
    </row>
    <row r="5" spans="1:13">
      <c r="A5" t="s">
        <v>22</v>
      </c>
      <c r="B5" s="3">
        <f>AVERAGE('FTE 계산'!W5,'FTE 계산'!AI5,'FTE 계산'!AU5)</f>
        <v>6.0174103082783956</v>
      </c>
      <c r="C5" s="3">
        <f>AVERAGE('FTE 계산'!X5,'FTE 계산'!AJ5,'FTE 계산'!AV5)</f>
        <v>2.3470046526789949</v>
      </c>
      <c r="D5" s="3">
        <f>AVERAGE('FTE 계산'!Y5,'FTE 계산'!AK5,'FTE 계산'!AW5)</f>
        <v>1.1297743055555556</v>
      </c>
      <c r="E5" s="3">
        <f>AVERAGE('FTE 계산'!Z5,'FTE 계산'!AL5,'FTE 계산'!AX5)</f>
        <v>2.5465474387800362</v>
      </c>
      <c r="F5">
        <f>_xlfn.XLOOKUP($A5,Sheet3!$A:$A,Sheet3!K:K)</f>
        <v>5</v>
      </c>
      <c r="G5">
        <f>_xlfn.XLOOKUP($A5,Sheet3!$A:$A,Sheet3!L:L)</f>
        <v>2</v>
      </c>
      <c r="H5">
        <f>_xlfn.XLOOKUP($A5,Sheet3!$A:$A,Sheet3!M:M)</f>
        <v>1</v>
      </c>
      <c r="I5">
        <f>_xlfn.XLOOKUP($A5,Sheet3!$A:$A,Sheet3!N:N)</f>
        <v>2</v>
      </c>
      <c r="J5" s="3">
        <f t="shared" si="1"/>
        <v>1.2034820616556792</v>
      </c>
      <c r="K5" s="3">
        <f t="shared" si="2"/>
        <v>1.1735023263394975</v>
      </c>
      <c r="L5" s="3">
        <f t="shared" si="3"/>
        <v>1.1297743055555556</v>
      </c>
      <c r="M5" s="3">
        <f t="shared" si="4"/>
        <v>1.2732737193900181</v>
      </c>
    </row>
    <row r="6" spans="1:13">
      <c r="A6" t="s">
        <v>27</v>
      </c>
      <c r="B6" s="3">
        <f>AVERAGE('FTE 계산'!W6,'FTE 계산'!AI6,'FTE 계산'!AU6)</f>
        <v>7.6317259029215547</v>
      </c>
      <c r="C6" s="3">
        <f>AVERAGE('FTE 계산'!X6,'FTE 계산'!AJ6,'FTE 계산'!AV6)</f>
        <v>2.5589117324561403</v>
      </c>
      <c r="D6" s="3">
        <f>AVERAGE('FTE 계산'!Y6,'FTE 계산'!AK6,'FTE 계산'!AW6)</f>
        <v>2.5706889307447116</v>
      </c>
      <c r="E6" s="3">
        <f>AVERAGE('FTE 계산'!Z6,'FTE 계산'!AL6,'FTE 계산'!AX6)</f>
        <v>2.5036064174773851</v>
      </c>
      <c r="F6">
        <f>_xlfn.XLOOKUP($A6,Sheet3!$A:$A,Sheet3!K:K)</f>
        <v>6</v>
      </c>
      <c r="G6">
        <f>_xlfn.XLOOKUP($A6,Sheet3!$A:$A,Sheet3!L:L)</f>
        <v>2</v>
      </c>
      <c r="H6">
        <f>_xlfn.XLOOKUP($A6,Sheet3!$A:$A,Sheet3!M:M)</f>
        <v>2</v>
      </c>
      <c r="I6">
        <f>_xlfn.XLOOKUP($A6,Sheet3!$A:$A,Sheet3!N:N)</f>
        <v>2</v>
      </c>
      <c r="J6" s="3">
        <f t="shared" si="1"/>
        <v>1.2719543171535925</v>
      </c>
      <c r="K6" s="3">
        <f t="shared" si="2"/>
        <v>1.2794558662280702</v>
      </c>
      <c r="L6" s="3">
        <f t="shared" si="3"/>
        <v>1.2853444653723558</v>
      </c>
      <c r="M6" s="3">
        <f t="shared" si="4"/>
        <v>1.2518032087386926</v>
      </c>
    </row>
    <row r="7" spans="1:13">
      <c r="A7" t="s">
        <v>31</v>
      </c>
      <c r="B7" s="3">
        <f>AVERAGE('FTE 계산'!W7,'FTE 계산'!AI7,'FTE 계산'!AU7)</f>
        <v>16.216856011853213</v>
      </c>
      <c r="C7" s="3">
        <f>AVERAGE('FTE 계산'!X7,'FTE 계산'!AJ7,'FTE 계산'!AV7)</f>
        <v>4.8307175032175023</v>
      </c>
      <c r="D7" s="3">
        <f>AVERAGE('FTE 계산'!Y7,'FTE 계산'!AK7,'FTE 계산'!AW7)</f>
        <v>4.7317786069651744</v>
      </c>
      <c r="E7" s="3">
        <f>AVERAGE('FTE 계산'!Z7,'FTE 계산'!AL7,'FTE 계산'!AX7)</f>
        <v>4.7387856125356116</v>
      </c>
      <c r="F7">
        <f>_xlfn.XLOOKUP($A7,Sheet3!$A:$A,Sheet3!K:K)</f>
        <v>12</v>
      </c>
      <c r="G7">
        <f>_xlfn.XLOOKUP($A7,Sheet3!$A:$A,Sheet3!L:L)</f>
        <v>4</v>
      </c>
      <c r="H7">
        <f>_xlfn.XLOOKUP($A7,Sheet3!$A:$A,Sheet3!M:M)</f>
        <v>4</v>
      </c>
      <c r="I7">
        <f>_xlfn.XLOOKUP($A7,Sheet3!$A:$A,Sheet3!N:N)</f>
        <v>4</v>
      </c>
      <c r="J7" s="3">
        <f t="shared" si="1"/>
        <v>1.3514046676544345</v>
      </c>
      <c r="K7" s="3">
        <f t="shared" si="2"/>
        <v>1.2076793758043756</v>
      </c>
      <c r="L7" s="3">
        <f t="shared" si="3"/>
        <v>1.1829446517412936</v>
      </c>
      <c r="M7" s="3">
        <f t="shared" si="4"/>
        <v>1.1846964031339029</v>
      </c>
    </row>
    <row r="8" spans="1:13">
      <c r="A8" t="s">
        <v>39</v>
      </c>
      <c r="B8" s="3">
        <f>AVERAGE('FTE 계산'!W8,'FTE 계산'!AI8,'FTE 계산'!AU8)</f>
        <v>14.796170843045843</v>
      </c>
      <c r="C8" s="3">
        <f>AVERAGE('FTE 계산'!X8,'FTE 계산'!AJ8,'FTE 계산'!AV8)</f>
        <v>3.3280902225755167</v>
      </c>
      <c r="D8" s="3">
        <f>AVERAGE('FTE 계산'!Y8,'FTE 계산'!AK8,'FTE 계산'!AW8)</f>
        <v>7.6721885649781525</v>
      </c>
      <c r="E8" s="3">
        <f>AVERAGE('FTE 계산'!Z8,'FTE 계산'!AL8,'FTE 계산'!AX8)</f>
        <v>3.2577987938596493</v>
      </c>
      <c r="F8">
        <f>_xlfn.XLOOKUP($A8,Sheet3!$A:$A,Sheet3!K:K)</f>
        <v>14</v>
      </c>
      <c r="G8">
        <f>_xlfn.XLOOKUP($A8,Sheet3!$A:$A,Sheet3!L:L)</f>
        <v>3</v>
      </c>
      <c r="H8">
        <f>_xlfn.XLOOKUP($A8,Sheet3!$A:$A,Sheet3!M:M)</f>
        <v>8</v>
      </c>
      <c r="I8">
        <f>_xlfn.XLOOKUP($A8,Sheet3!$A:$A,Sheet3!N:N)</f>
        <v>2</v>
      </c>
      <c r="J8" s="3">
        <f t="shared" si="1"/>
        <v>1.0568693459318459</v>
      </c>
      <c r="K8" s="3">
        <f t="shared" si="2"/>
        <v>1.1093634075251722</v>
      </c>
      <c r="L8" s="3">
        <f t="shared" si="3"/>
        <v>0.95902357062226906</v>
      </c>
      <c r="M8" s="3">
        <f t="shared" si="4"/>
        <v>1.6288993969298247</v>
      </c>
    </row>
    <row r="9" spans="1:13">
      <c r="A9" t="s">
        <v>41</v>
      </c>
      <c r="B9" s="3">
        <f>AVERAGE('FTE 계산'!W9,'FTE 계산'!AI9,'FTE 계산'!AU9)</f>
        <v>19.944953162873688</v>
      </c>
      <c r="C9" s="3">
        <f>AVERAGE('FTE 계산'!X9,'FTE 계산'!AJ9,'FTE 계산'!AV9)</f>
        <v>11.274102263856363</v>
      </c>
      <c r="D9" s="3">
        <f>AVERAGE('FTE 계산'!Y9,'FTE 계산'!AK9,'FTE 계산'!AW9)</f>
        <v>4.6361365915098487</v>
      </c>
      <c r="E9" s="3">
        <f>AVERAGE('FTE 계산'!Z9,'FTE 계산'!AL9,'FTE 계산'!AX9)</f>
        <v>3.320898692810458</v>
      </c>
      <c r="F9">
        <f>_xlfn.XLOOKUP($A9,Sheet3!$A:$A,Sheet3!K:K)</f>
        <v>13</v>
      </c>
      <c r="G9">
        <f>_xlfn.XLOOKUP($A9,Sheet3!$A:$A,Sheet3!L:L)</f>
        <v>4</v>
      </c>
      <c r="H9">
        <f>_xlfn.XLOOKUP($A9,Sheet3!$A:$A,Sheet3!M:M)</f>
        <v>5</v>
      </c>
      <c r="I9">
        <f>_xlfn.XLOOKUP($A9,Sheet3!$A:$A,Sheet3!N:N)</f>
        <v>3</v>
      </c>
      <c r="J9" s="3">
        <f t="shared" si="1"/>
        <v>1.534227166374899</v>
      </c>
      <c r="K9" s="3">
        <f t="shared" si="2"/>
        <v>2.8185255659640909</v>
      </c>
      <c r="L9" s="3">
        <f t="shared" si="3"/>
        <v>0.92722731830196969</v>
      </c>
      <c r="M9" s="3">
        <f t="shared" si="4"/>
        <v>1.1069662309368193</v>
      </c>
    </row>
    <row r="10" spans="1:13">
      <c r="A10" t="s">
        <v>44</v>
      </c>
      <c r="B10" s="3">
        <f>AVERAGE('FTE 계산'!W10,'FTE 계산'!AI10,'FTE 계산'!AU10)</f>
        <v>9.828711764705881</v>
      </c>
      <c r="C10" s="3">
        <f>AVERAGE('FTE 계산'!X10,'FTE 계산'!AJ10,'FTE 계산'!AV10)</f>
        <v>2.4849873310810811</v>
      </c>
      <c r="D10" s="3">
        <f>AVERAGE('FTE 계산'!Y10,'FTE 계산'!AK10,'FTE 계산'!AW10)</f>
        <v>3.6755939794974424</v>
      </c>
      <c r="E10" s="3">
        <f>AVERAGE('FTE 계산'!Z10,'FTE 계산'!AL10,'FTE 계산'!AX10)</f>
        <v>3.6642344062556833</v>
      </c>
      <c r="F10">
        <f>_xlfn.XLOOKUP($A10,Sheet3!$A:$A,Sheet3!K:K)</f>
        <v>10</v>
      </c>
      <c r="G10">
        <f>_xlfn.XLOOKUP($A10,Sheet3!$A:$A,Sheet3!L:L)</f>
        <v>2</v>
      </c>
      <c r="H10">
        <f>_xlfn.XLOOKUP($A10,Sheet3!$A:$A,Sheet3!M:M)</f>
        <v>5</v>
      </c>
      <c r="I10">
        <f>_xlfn.XLOOKUP($A10,Sheet3!$A:$A,Sheet3!N:N)</f>
        <v>3</v>
      </c>
      <c r="J10" s="3">
        <f t="shared" si="1"/>
        <v>0.98287117647058808</v>
      </c>
      <c r="K10" s="3">
        <f t="shared" si="2"/>
        <v>1.2424936655405405</v>
      </c>
      <c r="L10" s="3">
        <f t="shared" si="3"/>
        <v>0.73511879589948848</v>
      </c>
      <c r="M10" s="3">
        <f t="shared" si="4"/>
        <v>1.2214114687518944</v>
      </c>
    </row>
    <row r="11" spans="1:13">
      <c r="A11" t="s">
        <v>49</v>
      </c>
      <c r="B11" s="3">
        <f>AVERAGE('FTE 계산'!W11,'FTE 계산'!AI11,'FTE 계산'!AU11)</f>
        <v>18.043389929931013</v>
      </c>
      <c r="C11" s="3">
        <f>AVERAGE('FTE 계산'!X11,'FTE 계산'!AJ11,'FTE 계산'!AV11)</f>
        <v>3.9853009259259253</v>
      </c>
      <c r="D11" s="3">
        <f>AVERAGE('FTE 계산'!Y11,'FTE 계산'!AK11,'FTE 계산'!AW11)</f>
        <v>8.2897929606625258</v>
      </c>
      <c r="E11" s="3">
        <f>AVERAGE('FTE 계산'!Z11,'FTE 계산'!AL11,'FTE 계산'!AX11)</f>
        <v>4.3588347831285681</v>
      </c>
      <c r="F11">
        <f>_xlfn.XLOOKUP($A11,Sheet3!$A:$A,Sheet3!K:K)</f>
        <v>14</v>
      </c>
      <c r="G11">
        <f>_xlfn.XLOOKUP($A11,Sheet3!$A:$A,Sheet3!L:L)</f>
        <v>3</v>
      </c>
      <c r="H11">
        <f>_xlfn.XLOOKUP($A11,Sheet3!$A:$A,Sheet3!M:M)</f>
        <v>7</v>
      </c>
      <c r="I11">
        <f>_xlfn.XLOOKUP($A11,Sheet3!$A:$A,Sheet3!N:N)</f>
        <v>3</v>
      </c>
      <c r="J11" s="3">
        <f t="shared" si="1"/>
        <v>1.2888135664236438</v>
      </c>
      <c r="K11" s="3">
        <f t="shared" si="2"/>
        <v>1.3284336419753084</v>
      </c>
      <c r="L11" s="3">
        <f t="shared" si="3"/>
        <v>1.1842561372375038</v>
      </c>
      <c r="M11" s="3">
        <f t="shared" si="4"/>
        <v>1.4529449277095228</v>
      </c>
    </row>
    <row r="12" spans="1:13">
      <c r="A12" t="s">
        <v>61</v>
      </c>
      <c r="B12" s="3">
        <f>AVERAGE('FTE 계산'!W12,'FTE 계산'!AI12,'FTE 계산'!AU12)</f>
        <v>10.78029411764706</v>
      </c>
      <c r="C12" s="3">
        <f>AVERAGE('FTE 계산'!X12,'FTE 계산'!AJ12,'FTE 계산'!AV12)</f>
        <v>5.8705952380952375</v>
      </c>
      <c r="D12" s="3">
        <f>AVERAGE('FTE 계산'!Y12,'FTE 계산'!AK12,'FTE 계산'!AW12)</f>
        <v>3.693003812636166</v>
      </c>
      <c r="E12" s="3">
        <f>AVERAGE('FTE 계산'!Z12,'FTE 계산'!AL12,'FTE 계산'!AX12)</f>
        <v>1.2112723214285717</v>
      </c>
      <c r="F12">
        <f>_xlfn.XLOOKUP($A12,Sheet3!$A:$A,Sheet3!K:K)</f>
        <v>9</v>
      </c>
      <c r="G12">
        <f>_xlfn.XLOOKUP($A12,Sheet3!$A:$A,Sheet3!L:L)</f>
        <v>5</v>
      </c>
      <c r="H12">
        <f>_xlfn.XLOOKUP($A12,Sheet3!$A:$A,Sheet3!M:M)</f>
        <v>3</v>
      </c>
      <c r="I12">
        <f>_xlfn.XLOOKUP($A12,Sheet3!$A:$A,Sheet3!N:N)</f>
        <v>1</v>
      </c>
      <c r="J12" s="3">
        <f t="shared" si="1"/>
        <v>1.19781045751634</v>
      </c>
      <c r="K12" s="3">
        <f t="shared" si="2"/>
        <v>1.1741190476190475</v>
      </c>
      <c r="L12" s="3">
        <f t="shared" si="3"/>
        <v>1.2310012708787219</v>
      </c>
      <c r="M12" s="3">
        <f t="shared" si="4"/>
        <v>1.2112723214285717</v>
      </c>
    </row>
    <row r="13" spans="1:13">
      <c r="A13" t="s">
        <v>76</v>
      </c>
      <c r="B13" s="3">
        <f>AVERAGE('FTE 계산'!W13,'FTE 계산'!AI13,'FTE 계산'!AU13)</f>
        <v>14.789224808798965</v>
      </c>
      <c r="C13" s="3">
        <f>AVERAGE('FTE 계산'!X13,'FTE 계산'!AJ13,'FTE 계산'!AV13)</f>
        <v>4.5496891534391537</v>
      </c>
      <c r="D13" s="3">
        <f>AVERAGE('FTE 계산'!Y13,'FTE 계산'!AK13,'FTE 계산'!AW13)</f>
        <v>8.1785126007550257</v>
      </c>
      <c r="E13" s="3">
        <f>AVERAGE('FTE 계산'!Z13,'FTE 계산'!AL13,'FTE 계산'!AX13)</f>
        <v>1.1352056100217867</v>
      </c>
      <c r="F13">
        <f>_xlfn.XLOOKUP($A13,Sheet3!$A:$A,Sheet3!K:K)</f>
        <v>13</v>
      </c>
      <c r="G13">
        <f>_xlfn.XLOOKUP($A13,Sheet3!$A:$A,Sheet3!L:L)</f>
        <v>4</v>
      </c>
      <c r="H13">
        <f>_xlfn.XLOOKUP($A13,Sheet3!$A:$A,Sheet3!M:M)</f>
        <v>7</v>
      </c>
      <c r="I13">
        <f>_xlfn.XLOOKUP($A13,Sheet3!$A:$A,Sheet3!N:N)</f>
        <v>2</v>
      </c>
      <c r="J13" s="3">
        <f t="shared" si="1"/>
        <v>1.1376326775999204</v>
      </c>
      <c r="K13" s="3">
        <f t="shared" si="2"/>
        <v>1.1374222883597884</v>
      </c>
      <c r="L13" s="3">
        <f t="shared" si="3"/>
        <v>1.1683589429650036</v>
      </c>
      <c r="M13" s="3">
        <f t="shared" si="4"/>
        <v>0.56760280501089333</v>
      </c>
    </row>
    <row r="14" spans="1:13">
      <c r="A14" t="s">
        <v>79</v>
      </c>
      <c r="B14" s="3">
        <f>AVERAGE('FTE 계산'!W14,'FTE 계산'!AI14,'FTE 계산'!AU14)</f>
        <v>8.3166612319102313</v>
      </c>
      <c r="C14" s="3">
        <f>AVERAGE('FTE 계산'!X14,'FTE 계산'!AJ14,'FTE 계산'!AV14)</f>
        <v>2.4152769471026052</v>
      </c>
      <c r="D14" s="3">
        <f>AVERAGE('FTE 계산'!Y14,'FTE 계산'!AK14,'FTE 계산'!AW14)</f>
        <v>4.7317486873482828</v>
      </c>
      <c r="E14" s="3">
        <f>AVERAGE('FTE 계산'!Z14,'FTE 계산'!AL14,'FTE 계산'!AX14)</f>
        <v>1.1741365131578949</v>
      </c>
      <c r="F14">
        <f>_xlfn.XLOOKUP($A14,Sheet3!$A:$A,Sheet3!K:K)</f>
        <v>6</v>
      </c>
      <c r="G14">
        <f>_xlfn.XLOOKUP($A14,Sheet3!$A:$A,Sheet3!L:L)</f>
        <v>2</v>
      </c>
      <c r="H14">
        <f>_xlfn.XLOOKUP($A14,Sheet3!$A:$A,Sheet3!M:M)</f>
        <v>4</v>
      </c>
      <c r="I14">
        <f>_xlfn.XLOOKUP($A14,Sheet3!$A:$A,Sheet3!N:N)</f>
        <v>0</v>
      </c>
      <c r="J14" s="3">
        <f t="shared" si="1"/>
        <v>1.3861102053183718</v>
      </c>
      <c r="K14" s="3">
        <f t="shared" si="2"/>
        <v>1.2076384735513026</v>
      </c>
      <c r="L14" s="3">
        <f t="shared" si="3"/>
        <v>1.1829371718370707</v>
      </c>
      <c r="M14" s="3" t="e">
        <f t="shared" si="4"/>
        <v>#DIV/0!</v>
      </c>
    </row>
    <row r="15" spans="1:13">
      <c r="A15" s="2" t="s">
        <v>83</v>
      </c>
      <c r="B15" s="3">
        <f>AVERAGE('FTE 계산'!W15,'FTE 계산'!AI15,'FTE 계산'!AU15)</f>
        <v>15.676960511473268</v>
      </c>
      <c r="C15" s="3">
        <f>AVERAGE('FTE 계산'!X15,'FTE 계산'!AJ15,'FTE 계산'!AV15)</f>
        <v>5.1937983482504038</v>
      </c>
      <c r="D15" s="3">
        <f>AVERAGE('FTE 계산'!Y15,'FTE 계산'!AK15,'FTE 계산'!AW15)</f>
        <v>9.358411049415416</v>
      </c>
      <c r="E15" s="3">
        <f>AVERAGE('FTE 계산'!Z15,'FTE 계산'!AL15,'FTE 계산'!AX15)</f>
        <v>1.1277665317139001</v>
      </c>
      <c r="F15">
        <f>_xlfn.XLOOKUP($A15,Sheet3!$A:$A,Sheet3!K:K)</f>
        <v>11</v>
      </c>
      <c r="G15">
        <f>_xlfn.XLOOKUP($A15,Sheet3!$A:$A,Sheet3!L:L)</f>
        <v>4</v>
      </c>
      <c r="H15">
        <f>_xlfn.XLOOKUP($A15,Sheet3!$A:$A,Sheet3!M:M)</f>
        <v>6</v>
      </c>
      <c r="I15">
        <f>_xlfn.XLOOKUP($A15,Sheet3!$A:$A,Sheet3!N:N)</f>
        <v>1</v>
      </c>
      <c r="J15" s="3">
        <f t="shared" si="1"/>
        <v>1.4251782283157517</v>
      </c>
      <c r="K15" s="3">
        <f t="shared" si="2"/>
        <v>1.2984495870626009</v>
      </c>
      <c r="L15" s="3">
        <f t="shared" si="3"/>
        <v>1.5597351749025694</v>
      </c>
      <c r="M15" s="3">
        <f t="shared" si="4"/>
        <v>1.1277665317139001</v>
      </c>
    </row>
    <row r="16" spans="1:13">
      <c r="A16" t="s">
        <v>87</v>
      </c>
      <c r="B16" s="3">
        <f>AVERAGE('FTE 계산'!W16,'FTE 계산'!AI16,'FTE 계산'!AU16)</f>
        <v>7.29019114294654</v>
      </c>
      <c r="C16" s="3">
        <f>AVERAGE('FTE 계산'!X16,'FTE 계산'!AJ16,'FTE 계산'!AV16)</f>
        <v>2.416036184210526</v>
      </c>
      <c r="D16" s="3">
        <f>AVERAGE('FTE 계산'!Y16,'FTE 계산'!AK16,'FTE 계산'!AW16)</f>
        <v>4.8801901440611113</v>
      </c>
      <c r="E16" s="3" t="e">
        <f>AVERAGE('FTE 계산'!Z16,'FTE 계산'!AL16,'FTE 계산'!AX16)</f>
        <v>#DIV/0!</v>
      </c>
      <c r="F16">
        <f>_xlfn.XLOOKUP($A16,Sheet3!$A:$A,Sheet3!K:K)</f>
        <v>6</v>
      </c>
      <c r="G16">
        <f>_xlfn.XLOOKUP($A16,Sheet3!$A:$A,Sheet3!L:L)</f>
        <v>2</v>
      </c>
      <c r="H16">
        <f>_xlfn.XLOOKUP($A16,Sheet3!$A:$A,Sheet3!M:M)</f>
        <v>4</v>
      </c>
      <c r="I16">
        <f>_xlfn.XLOOKUP($A16,Sheet3!$A:$A,Sheet3!N:N)</f>
        <v>0</v>
      </c>
      <c r="J16" s="3">
        <f t="shared" si="1"/>
        <v>1.2150318571577567</v>
      </c>
      <c r="K16" s="3">
        <f t="shared" si="2"/>
        <v>1.208018092105263</v>
      </c>
      <c r="L16" s="3">
        <f t="shared" si="3"/>
        <v>1.2200475360152778</v>
      </c>
      <c r="M16" s="3" t="e">
        <f t="shared" si="4"/>
        <v>#DIV/0!</v>
      </c>
    </row>
    <row r="17" spans="1:13">
      <c r="A17" t="s">
        <v>93</v>
      </c>
      <c r="B17" s="3">
        <f>AVERAGE('FTE 계산'!W17,'FTE 계산'!AI17,'FTE 계산'!AU17)</f>
        <v>6.9288501286307964</v>
      </c>
      <c r="C17" s="3">
        <f>AVERAGE('FTE 계산'!X17,'FTE 계산'!AJ17,'FTE 계산'!AV17)</f>
        <v>1.1318121693121694</v>
      </c>
      <c r="D17" s="3">
        <f>AVERAGE('FTE 계산'!Y17,'FTE 계산'!AK17,'FTE 계산'!AW17)</f>
        <v>2.3994049692325556</v>
      </c>
      <c r="E17" s="3">
        <f>AVERAGE('FTE 계산'!Z17,'FTE 계산'!AL17,'FTE 계산'!AX17)</f>
        <v>2.3162349179536679</v>
      </c>
      <c r="F17">
        <f>_xlfn.XLOOKUP($A17,Sheet3!$A:$A,Sheet3!K:K)</f>
        <v>4</v>
      </c>
      <c r="G17">
        <f>_xlfn.XLOOKUP($A17,Sheet3!$A:$A,Sheet3!L:L)</f>
        <v>1</v>
      </c>
      <c r="H17">
        <f>_xlfn.XLOOKUP($A17,Sheet3!$A:$A,Sheet3!M:M)</f>
        <v>2</v>
      </c>
      <c r="I17">
        <f>_xlfn.XLOOKUP($A17,Sheet3!$A:$A,Sheet3!N:N)</f>
        <v>1</v>
      </c>
      <c r="J17" s="3">
        <f t="shared" si="1"/>
        <v>1.7322125321576991</v>
      </c>
      <c r="K17" s="3">
        <f t="shared" si="2"/>
        <v>1.1318121693121694</v>
      </c>
      <c r="L17" s="3">
        <f t="shared" si="3"/>
        <v>1.1997024846162778</v>
      </c>
      <c r="M17" s="3">
        <f t="shared" si="4"/>
        <v>2.3162349179536679</v>
      </c>
    </row>
    <row r="18" spans="1:13">
      <c r="A18" t="s">
        <v>96</v>
      </c>
      <c r="B18" s="3">
        <f>AVERAGE('FTE 계산'!W18,'FTE 계산'!AI18,'FTE 계산'!AU18)</f>
        <v>18.114738632178682</v>
      </c>
      <c r="C18" s="3">
        <f>AVERAGE('FTE 계산'!X18,'FTE 계산'!AJ18,'FTE 계산'!AV18)</f>
        <v>4.3175566206500831</v>
      </c>
      <c r="D18" s="3">
        <f>AVERAGE('FTE 계산'!Y18,'FTE 계산'!AK18,'FTE 계산'!AW18)</f>
        <v>8.3230401838154631</v>
      </c>
      <c r="E18" s="3">
        <f>AVERAGE('FTE 계산'!Z18,'FTE 계산'!AL18,'FTE 계산'!AX18)</f>
        <v>5.4462743593582346</v>
      </c>
      <c r="F18">
        <f>_xlfn.XLOOKUP($A18,Sheet3!$A:$A,Sheet3!K:K)</f>
        <v>13</v>
      </c>
      <c r="G18">
        <f>_xlfn.XLOOKUP($A18,Sheet3!$A:$A,Sheet3!L:L)</f>
        <v>3</v>
      </c>
      <c r="H18">
        <f>_xlfn.XLOOKUP($A18,Sheet3!$A:$A,Sheet3!M:M)</f>
        <v>6</v>
      </c>
      <c r="I18">
        <f>_xlfn.XLOOKUP($A18,Sheet3!$A:$A,Sheet3!N:N)</f>
        <v>3</v>
      </c>
      <c r="J18" s="3">
        <f t="shared" si="1"/>
        <v>1.393441433244514</v>
      </c>
      <c r="K18" s="3">
        <f t="shared" si="2"/>
        <v>1.4391855402166944</v>
      </c>
      <c r="L18" s="3">
        <f t="shared" si="3"/>
        <v>1.3871733639692438</v>
      </c>
      <c r="M18" s="3">
        <f t="shared" si="4"/>
        <v>1.8154247864527449</v>
      </c>
    </row>
    <row r="19" spans="1:13">
      <c r="A19" t="s">
        <v>103</v>
      </c>
      <c r="B19" s="3">
        <f>AVERAGE('FTE 계산'!W19,'FTE 계산'!AI19,'FTE 계산'!AU19)</f>
        <v>1.1761970029239766</v>
      </c>
      <c r="C19" s="3">
        <f>AVERAGE('FTE 계산'!X19,'FTE 계산'!AJ19,'FTE 계산'!AV19)</f>
        <v>1.1761970029239766</v>
      </c>
      <c r="D19" s="3" t="e">
        <f>AVERAGE('FTE 계산'!Y19,'FTE 계산'!AK19,'FTE 계산'!AW19)</f>
        <v>#DIV/0!</v>
      </c>
      <c r="E19" s="3" t="e">
        <f>AVERAGE('FTE 계산'!Z19,'FTE 계산'!AL19,'FTE 계산'!AX19)</f>
        <v>#DIV/0!</v>
      </c>
      <c r="F19">
        <f>_xlfn.XLOOKUP($A19,Sheet3!$A:$A,Sheet3!K:K)</f>
        <v>1</v>
      </c>
      <c r="G19">
        <f>_xlfn.XLOOKUP($A19,Sheet3!$A:$A,Sheet3!L:L)</f>
        <v>1</v>
      </c>
      <c r="H19">
        <f>_xlfn.XLOOKUP($A19,Sheet3!$A:$A,Sheet3!M:M)</f>
        <v>0</v>
      </c>
      <c r="I19">
        <f>_xlfn.XLOOKUP($A19,Sheet3!$A:$A,Sheet3!N:N)</f>
        <v>0</v>
      </c>
      <c r="J19" s="3">
        <f t="shared" si="1"/>
        <v>1.1761970029239766</v>
      </c>
      <c r="K19" s="3">
        <f t="shared" si="2"/>
        <v>1.1761970029239766</v>
      </c>
      <c r="L19" s="3" t="e">
        <f t="shared" si="3"/>
        <v>#DIV/0!</v>
      </c>
      <c r="M19" s="3" t="e">
        <f t="shared" si="4"/>
        <v>#DIV/0!</v>
      </c>
    </row>
    <row r="20" spans="1:13">
      <c r="A20" t="s">
        <v>113</v>
      </c>
      <c r="B20" s="3">
        <f>AVERAGE('FTE 계산'!W20,'FTE 계산'!AI20,'FTE 계산'!AU20)</f>
        <v>7.8753656933258211</v>
      </c>
      <c r="C20" s="3">
        <f>AVERAGE('FTE 계산'!X20,'FTE 계산'!AJ20,'FTE 계산'!AV20)</f>
        <v>2.7842984811734812</v>
      </c>
      <c r="D20" s="3">
        <f>AVERAGE('FTE 계산'!Y20,'FTE 계산'!AK20,'FTE 계산'!AW20)</f>
        <v>1.1849537037037037</v>
      </c>
      <c r="E20" s="3">
        <f>AVERAGE('FTE 계산'!Z20,'FTE 계산'!AL20,'FTE 계산'!AX20)</f>
        <v>3.9179383116883115</v>
      </c>
      <c r="F20">
        <f>_xlfn.XLOOKUP($A20,Sheet3!$A:$A,Sheet3!K:K)</f>
        <v>6</v>
      </c>
      <c r="G20">
        <f>_xlfn.XLOOKUP($A20,Sheet3!$A:$A,Sheet3!L:L)</f>
        <v>2</v>
      </c>
      <c r="H20">
        <f>_xlfn.XLOOKUP($A20,Sheet3!$A:$A,Sheet3!M:M)</f>
        <v>1</v>
      </c>
      <c r="I20">
        <f>_xlfn.XLOOKUP($A20,Sheet3!$A:$A,Sheet3!N:N)</f>
        <v>2</v>
      </c>
      <c r="J20" s="3">
        <f t="shared" si="1"/>
        <v>1.3125609488876369</v>
      </c>
      <c r="K20" s="3">
        <f t="shared" si="2"/>
        <v>1.3921492405867406</v>
      </c>
      <c r="L20" s="3">
        <f t="shared" si="3"/>
        <v>1.1849537037037037</v>
      </c>
      <c r="M20" s="3">
        <f t="shared" si="4"/>
        <v>1.9589691558441558</v>
      </c>
    </row>
    <row r="21" spans="1:13">
      <c r="A21" t="s">
        <v>117</v>
      </c>
      <c r="B21" s="3">
        <f>AVERAGE('FTE 계산'!W21,'FTE 계산'!AI21,'FTE 계산'!AU21)</f>
        <v>18.689368503118502</v>
      </c>
      <c r="C21" s="3">
        <f>AVERAGE('FTE 계산'!X21,'FTE 계산'!AJ21,'FTE 계산'!AV21)</f>
        <v>3.9246788438378162</v>
      </c>
      <c r="D21" s="3">
        <f>AVERAGE('FTE 계산'!Y21,'FTE 계산'!AK21,'FTE 계산'!AW21)</f>
        <v>4.1368932597193471</v>
      </c>
      <c r="E21" s="3">
        <f>AVERAGE('FTE 계산'!Z21,'FTE 계산'!AL21,'FTE 계산'!AX21)</f>
        <v>10.161469161469162</v>
      </c>
      <c r="F21">
        <f>_xlfn.XLOOKUP($A21,Sheet3!$A:$A,Sheet3!K:K)</f>
        <v>11</v>
      </c>
      <c r="G21">
        <f>_xlfn.XLOOKUP($A21,Sheet3!$A:$A,Sheet3!L:L)</f>
        <v>3</v>
      </c>
      <c r="H21">
        <f>_xlfn.XLOOKUP($A21,Sheet3!$A:$A,Sheet3!M:M)</f>
        <v>2</v>
      </c>
      <c r="I21">
        <f>_xlfn.XLOOKUP($A21,Sheet3!$A:$A,Sheet3!N:N)</f>
        <v>5</v>
      </c>
      <c r="J21" s="3">
        <f t="shared" si="1"/>
        <v>1.6990335002835002</v>
      </c>
      <c r="K21" s="3">
        <f t="shared" si="2"/>
        <v>1.308226281279272</v>
      </c>
      <c r="L21" s="3">
        <f t="shared" si="3"/>
        <v>2.0684466298596735</v>
      </c>
      <c r="M21" s="3">
        <f t="shared" si="4"/>
        <v>2.0322938322938322</v>
      </c>
    </row>
    <row r="22" spans="1:13">
      <c r="A22" t="s">
        <v>160</v>
      </c>
      <c r="B22" s="3">
        <f>AVERAGE('FTE 계산'!W22,'FTE 계산'!AI22,'FTE 계산'!AU22)</f>
        <v>15.345245869375633</v>
      </c>
      <c r="C22" s="3">
        <f>AVERAGE('FTE 계산'!X22,'FTE 계산'!AJ22,'FTE 계산'!AV22)</f>
        <v>2.6228758169934641</v>
      </c>
      <c r="D22" s="3">
        <f>AVERAGE('FTE 계산'!Y22,'FTE 계산'!AK22,'FTE 계산'!AW22)</f>
        <v>10.370816850871558</v>
      </c>
      <c r="E22" s="3">
        <f>AVERAGE('FTE 계산'!Z22,'FTE 계산'!AL22,'FTE 계산'!AX22)</f>
        <v>2.475377797151991</v>
      </c>
      <c r="F22">
        <f>_xlfn.XLOOKUP($A22,Sheet3!$A:$A,Sheet3!K:K)</f>
        <v>14</v>
      </c>
      <c r="G22">
        <f>_xlfn.XLOOKUP($A22,Sheet3!$A:$A,Sheet3!L:L)</f>
        <v>2</v>
      </c>
      <c r="H22">
        <f>_xlfn.XLOOKUP($A22,Sheet3!$A:$A,Sheet3!M:M)</f>
        <v>10</v>
      </c>
      <c r="I22">
        <f>_xlfn.XLOOKUP($A22,Sheet3!$A:$A,Sheet3!N:N)</f>
        <v>2</v>
      </c>
      <c r="J22" s="3">
        <f t="shared" si="1"/>
        <v>1.096088990669688</v>
      </c>
      <c r="K22" s="3">
        <f t="shared" si="2"/>
        <v>1.311437908496732</v>
      </c>
      <c r="L22" s="3">
        <f t="shared" si="3"/>
        <v>1.0370816850871558</v>
      </c>
      <c r="M22" s="3">
        <f t="shared" si="4"/>
        <v>1.2376888985759955</v>
      </c>
    </row>
    <row r="23" spans="1:13">
      <c r="A23" t="s">
        <v>177</v>
      </c>
      <c r="B23" s="3">
        <f>AVERAGE('FTE 계산'!W23,'FTE 계산'!AI23,'FTE 계산'!AU23)</f>
        <v>7.2555302581900678</v>
      </c>
      <c r="C23" s="3">
        <f>AVERAGE('FTE 계산'!X23,'FTE 계산'!AJ23,'FTE 계산'!AV23)</f>
        <v>0.73058712121212122</v>
      </c>
      <c r="D23" s="3">
        <f>AVERAGE('FTE 계산'!Y23,'FTE 계산'!AK23,'FTE 계산'!AW23)</f>
        <v>5.176325555386101</v>
      </c>
      <c r="E23" s="3">
        <f>AVERAGE('FTE 계산'!Z23,'FTE 계산'!AL23,'FTE 계산'!AX23)</f>
        <v>1.1118872549019609</v>
      </c>
      <c r="F23">
        <f>_xlfn.XLOOKUP($A23,Sheet3!$A:$A,Sheet3!K:K)</f>
        <v>7</v>
      </c>
      <c r="G23">
        <f>_xlfn.XLOOKUP($A23,Sheet3!$A:$A,Sheet3!L:L)</f>
        <v>1</v>
      </c>
      <c r="H23">
        <f>_xlfn.XLOOKUP($A23,Sheet3!$A:$A,Sheet3!M:M)</f>
        <v>5</v>
      </c>
      <c r="I23">
        <f>_xlfn.XLOOKUP($A23,Sheet3!$A:$A,Sheet3!N:N)</f>
        <v>1</v>
      </c>
      <c r="J23" s="3">
        <f t="shared" si="1"/>
        <v>1.0365043225985811</v>
      </c>
      <c r="K23" s="3">
        <f t="shared" si="2"/>
        <v>0.73058712121212122</v>
      </c>
      <c r="L23" s="3">
        <f t="shared" si="3"/>
        <v>1.0352651110772202</v>
      </c>
      <c r="M23" s="3">
        <f t="shared" si="4"/>
        <v>1.1118872549019609</v>
      </c>
    </row>
    <row r="24" spans="1:13">
      <c r="A24" t="s">
        <v>182</v>
      </c>
      <c r="B24" s="3">
        <f>AVERAGE('FTE 계산'!W24,'FTE 계산'!AI24,'FTE 계산'!AU24)</f>
        <v>14.906795121126285</v>
      </c>
      <c r="C24" s="3">
        <f>AVERAGE('FTE 계산'!X24,'FTE 계산'!AJ24,'FTE 계산'!AV24)</f>
        <v>6.4493052556905814</v>
      </c>
      <c r="D24" s="3">
        <f>AVERAGE('FTE 계산'!Y24,'FTE 계산'!AK24,'FTE 계산'!AW24)</f>
        <v>4.9839799476896252</v>
      </c>
      <c r="E24" s="3">
        <f>AVERAGE('FTE 계산'!Z24,'FTE 계산'!AL24,'FTE 계산'!AX24)</f>
        <v>3.4786260709914316</v>
      </c>
      <c r="F24">
        <f>_xlfn.XLOOKUP($A24,Sheet3!$A:$A,Sheet3!K:K)</f>
        <v>13</v>
      </c>
      <c r="G24">
        <f>_xlfn.XLOOKUP($A24,Sheet3!$A:$A,Sheet3!L:L)</f>
        <v>5</v>
      </c>
      <c r="H24">
        <f>_xlfn.XLOOKUP($A24,Sheet3!$A:$A,Sheet3!M:M)</f>
        <v>4</v>
      </c>
      <c r="I24">
        <f>_xlfn.XLOOKUP($A24,Sheet3!$A:$A,Sheet3!N:N)</f>
        <v>3</v>
      </c>
      <c r="J24" s="3">
        <f t="shared" si="1"/>
        <v>1.1466765477789449</v>
      </c>
      <c r="K24" s="3">
        <f t="shared" si="2"/>
        <v>1.2898610511381163</v>
      </c>
      <c r="L24" s="3">
        <f t="shared" si="3"/>
        <v>1.2459949869224063</v>
      </c>
      <c r="M24" s="3">
        <f t="shared" si="4"/>
        <v>1.1595420236638105</v>
      </c>
    </row>
    <row r="25" spans="1:13">
      <c r="A25" t="s">
        <v>210</v>
      </c>
      <c r="B25" s="3">
        <f>AVERAGE('FTE 계산'!W25,'FTE 계산'!AI25,'FTE 계산'!AU25)</f>
        <v>21.728907682434912</v>
      </c>
      <c r="C25" s="3">
        <f>AVERAGE('FTE 계산'!X25,'FTE 계산'!AJ25,'FTE 계산'!AV25)</f>
        <v>1.1466666666666667</v>
      </c>
      <c r="D25" s="3">
        <f>AVERAGE('FTE 계산'!Y25,'FTE 계산'!AK25,'FTE 계산'!AW25)</f>
        <v>17.659633108112892</v>
      </c>
      <c r="E25" s="3">
        <f>AVERAGE('FTE 계산'!Z25,'FTE 계산'!AL25,'FTE 계산'!AX25)</f>
        <v>3.3210945399393328</v>
      </c>
      <c r="F25">
        <f>_xlfn.XLOOKUP($A25,Sheet3!$A:$A,Sheet3!K:K)</f>
        <v>18</v>
      </c>
      <c r="G25">
        <f>_xlfn.XLOOKUP($A25,Sheet3!$A:$A,Sheet3!L:L)</f>
        <v>2</v>
      </c>
      <c r="H25">
        <f>_xlfn.XLOOKUP($A25,Sheet3!$A:$A,Sheet3!M:M)</f>
        <v>13</v>
      </c>
      <c r="I25">
        <f>_xlfn.XLOOKUP($A25,Sheet3!$A:$A,Sheet3!N:N)</f>
        <v>3</v>
      </c>
      <c r="J25" s="3">
        <f t="shared" si="1"/>
        <v>1.2071615379130507</v>
      </c>
      <c r="K25" s="3">
        <f t="shared" si="2"/>
        <v>0.57333333333333336</v>
      </c>
      <c r="L25" s="3">
        <f t="shared" si="3"/>
        <v>1.3584333160086841</v>
      </c>
      <c r="M25" s="3">
        <f t="shared" si="4"/>
        <v>1.107031513313111</v>
      </c>
    </row>
    <row r="26" spans="1:13">
      <c r="A26" t="s">
        <v>213</v>
      </c>
      <c r="B26" s="3">
        <f>AVERAGE('FTE 계산'!W26,'FTE 계산'!AI26,'FTE 계산'!AU26)</f>
        <v>7.4535985366851607</v>
      </c>
      <c r="C26" s="3">
        <f>AVERAGE('FTE 계산'!X26,'FTE 계산'!AJ26,'FTE 계산'!AV26)</f>
        <v>2.5782367523668506</v>
      </c>
      <c r="D26" s="3">
        <f>AVERAGE('FTE 계산'!Y26,'FTE 계산'!AK26,'FTE 계산'!AW26)</f>
        <v>2.43944315283025</v>
      </c>
      <c r="E26" s="3">
        <f>AVERAGE('FTE 계산'!Z26,'FTE 계산'!AL26,'FTE 계산'!AX26)</f>
        <v>2.4322398507702183</v>
      </c>
      <c r="F26">
        <f>_xlfn.XLOOKUP($A26,Sheet3!$A:$A,Sheet3!K:K)</f>
        <v>6</v>
      </c>
      <c r="G26">
        <f>_xlfn.XLOOKUP($A26,Sheet3!$A:$A,Sheet3!L:L)</f>
        <v>2</v>
      </c>
      <c r="H26">
        <f>_xlfn.XLOOKUP($A26,Sheet3!$A:$A,Sheet3!M:M)</f>
        <v>2</v>
      </c>
      <c r="I26">
        <f>_xlfn.XLOOKUP($A26,Sheet3!$A:$A,Sheet3!N:N)</f>
        <v>2</v>
      </c>
      <c r="J26" s="3">
        <f t="shared" si="1"/>
        <v>1.2422664227808602</v>
      </c>
      <c r="K26" s="3">
        <f t="shared" si="2"/>
        <v>1.2891183761834253</v>
      </c>
      <c r="L26" s="3">
        <f t="shared" si="3"/>
        <v>1.219721576415125</v>
      </c>
      <c r="M26" s="3">
        <f t="shared" si="4"/>
        <v>1.2161199253851092</v>
      </c>
    </row>
    <row r="27" spans="1:13">
      <c r="A27" t="s">
        <v>218</v>
      </c>
      <c r="B27" s="3">
        <f>AVERAGE('FTE 계산'!W27,'FTE 계산'!AI27,'FTE 계산'!AU27)</f>
        <v>12.462305437267942</v>
      </c>
      <c r="C27" s="3">
        <f>AVERAGE('FTE 계산'!X27,'FTE 계산'!AJ27,'FTE 계산'!AV27)</f>
        <v>2.3226107226107224</v>
      </c>
      <c r="D27" s="3">
        <f>AVERAGE('FTE 계산'!Y27,'FTE 계산'!AK27,'FTE 계산'!AW27)</f>
        <v>6.0067080171918876</v>
      </c>
      <c r="E27" s="3">
        <f>AVERAGE('FTE 계산'!Z27,'FTE 계산'!AL27,'FTE 계산'!AX27)</f>
        <v>4.1384660421545663</v>
      </c>
      <c r="F27">
        <f>_xlfn.XLOOKUP($A27,Sheet3!$A:$A,Sheet3!K:K)</f>
        <v>11</v>
      </c>
      <c r="G27">
        <f>_xlfn.XLOOKUP($A27,Sheet3!$A:$A,Sheet3!L:L)</f>
        <v>2</v>
      </c>
      <c r="H27">
        <f>_xlfn.XLOOKUP($A27,Sheet3!$A:$A,Sheet3!M:M)</f>
        <v>5</v>
      </c>
      <c r="I27">
        <f>_xlfn.XLOOKUP($A27,Sheet3!$A:$A,Sheet3!N:N)</f>
        <v>3</v>
      </c>
      <c r="J27" s="3">
        <f t="shared" si="1"/>
        <v>1.1329368579334493</v>
      </c>
      <c r="K27" s="3">
        <f t="shared" si="2"/>
        <v>1.1613053613053612</v>
      </c>
      <c r="L27" s="3">
        <f t="shared" si="3"/>
        <v>1.2013416034383775</v>
      </c>
      <c r="M27" s="3">
        <f t="shared" si="4"/>
        <v>1.3794886807181888</v>
      </c>
    </row>
    <row r="28" spans="1:13">
      <c r="A28" t="s">
        <v>225</v>
      </c>
      <c r="B28" s="3">
        <f>AVERAGE('FTE 계산'!W28,'FTE 계산'!AI28,'FTE 계산'!AU28)</f>
        <v>9.1860001353143357</v>
      </c>
      <c r="C28" s="3">
        <f>AVERAGE('FTE 계산'!X28,'FTE 계산'!AJ28,'FTE 계산'!AV28)</f>
        <v>1.0705531189083821</v>
      </c>
      <c r="D28" s="3">
        <f>AVERAGE('FTE 계산'!Y28,'FTE 계산'!AK28,'FTE 계산'!AW28)</f>
        <v>6.9856121575342476</v>
      </c>
      <c r="E28" s="3">
        <f>AVERAGE('FTE 계산'!Z28,'FTE 계산'!AL28,'FTE 계산'!AX28)</f>
        <v>1.1552415966386553</v>
      </c>
      <c r="F28">
        <f>_xlfn.XLOOKUP($A28,Sheet3!$A:$A,Sheet3!K:K)</f>
        <v>11</v>
      </c>
      <c r="G28">
        <f>_xlfn.XLOOKUP($A28,Sheet3!$A:$A,Sheet3!L:L)</f>
        <v>3</v>
      </c>
      <c r="H28">
        <f>_xlfn.XLOOKUP($A28,Sheet3!$A:$A,Sheet3!M:M)</f>
        <v>8</v>
      </c>
      <c r="I28">
        <f>_xlfn.XLOOKUP($A28,Sheet3!$A:$A,Sheet3!N:N)</f>
        <v>0</v>
      </c>
      <c r="J28" s="3">
        <f t="shared" si="1"/>
        <v>0.8350909213922123</v>
      </c>
      <c r="K28" s="3">
        <f t="shared" si="2"/>
        <v>0.35685103963612735</v>
      </c>
      <c r="L28" s="3">
        <f t="shared" si="3"/>
        <v>0.87320151969178095</v>
      </c>
      <c r="M28" s="3" t="e">
        <f t="shared" si="4"/>
        <v>#DIV/0!</v>
      </c>
    </row>
    <row r="29" spans="1:13">
      <c r="A29" t="s">
        <v>239</v>
      </c>
      <c r="B29" s="3">
        <f>AVERAGE('FTE 계산'!W29,'FTE 계산'!AI29,'FTE 계산'!AU29)</f>
        <v>7.0788438668025826</v>
      </c>
      <c r="C29" s="3" t="e">
        <f>AVERAGE('FTE 계산'!X29,'FTE 계산'!AJ29,'FTE 계산'!AV29)</f>
        <v>#DIV/0!</v>
      </c>
      <c r="D29" s="3">
        <f>AVERAGE('FTE 계산'!Y29,'FTE 계산'!AK29,'FTE 계산'!AW29)</f>
        <v>4.8210995544416591</v>
      </c>
      <c r="E29" s="3">
        <f>AVERAGE('FTE 계산'!Z29,'FTE 계산'!AL29,'FTE 계산'!AX29)</f>
        <v>2.2373957345034783</v>
      </c>
      <c r="F29">
        <f>_xlfn.XLOOKUP($A29,Sheet3!$A:$A,Sheet3!K:K)</f>
        <v>7</v>
      </c>
      <c r="G29">
        <f>_xlfn.XLOOKUP($A29,Sheet3!$A:$A,Sheet3!L:L)</f>
        <v>1</v>
      </c>
      <c r="H29">
        <f>_xlfn.XLOOKUP($A29,Sheet3!$A:$A,Sheet3!M:M)</f>
        <v>4</v>
      </c>
      <c r="I29">
        <f>_xlfn.XLOOKUP($A29,Sheet3!$A:$A,Sheet3!N:N)</f>
        <v>2</v>
      </c>
      <c r="J29" s="3">
        <f t="shared" si="1"/>
        <v>1.011263409543226</v>
      </c>
      <c r="K29" s="3" t="e">
        <f t="shared" si="2"/>
        <v>#DIV/0!</v>
      </c>
      <c r="L29" s="3">
        <f t="shared" si="3"/>
        <v>1.2052748886104148</v>
      </c>
      <c r="M29" s="3">
        <f t="shared" si="4"/>
        <v>1.1186978672517391</v>
      </c>
    </row>
    <row r="30" spans="1:13">
      <c r="A30" t="s">
        <v>264</v>
      </c>
      <c r="B30" s="3">
        <f>AVERAGE('FTE 계산'!W30,'FTE 계산'!AI30,'FTE 계산'!AU30)</f>
        <v>2.8388355685230686</v>
      </c>
      <c r="C30" s="3">
        <f>AVERAGE('FTE 계산'!X30,'FTE 계산'!AJ30,'FTE 계산'!AV30)</f>
        <v>1.6689814814814816</v>
      </c>
      <c r="D30" s="3" t="e">
        <f>AVERAGE('FTE 계산'!Y30,'FTE 계산'!AK30,'FTE 계산'!AW30)</f>
        <v>#DIV/0!</v>
      </c>
      <c r="E30" s="3">
        <f>AVERAGE('FTE 계산'!Z30,'FTE 계산'!AL30,'FTE 계산'!AX30)</f>
        <v>1.1803881256449946</v>
      </c>
      <c r="F30">
        <f>_xlfn.XLOOKUP($A30,Sheet3!$A:$A,Sheet3!K:K)</f>
        <v>2</v>
      </c>
      <c r="G30">
        <f>_xlfn.XLOOKUP($A30,Sheet3!$A:$A,Sheet3!L:L)</f>
        <v>1</v>
      </c>
      <c r="H30">
        <f>_xlfn.XLOOKUP($A30,Sheet3!$A:$A,Sheet3!M:M)</f>
        <v>0</v>
      </c>
      <c r="I30">
        <f>_xlfn.XLOOKUP($A30,Sheet3!$A:$A,Sheet3!N:N)</f>
        <v>1</v>
      </c>
      <c r="J30" s="3">
        <f t="shared" si="1"/>
        <v>1.4194177842615343</v>
      </c>
      <c r="K30" s="3">
        <f t="shared" si="2"/>
        <v>1.6689814814814816</v>
      </c>
      <c r="L30" s="3" t="e">
        <f t="shared" si="3"/>
        <v>#DIV/0!</v>
      </c>
      <c r="M30" s="3">
        <f t="shared" si="4"/>
        <v>1.1803881256449946</v>
      </c>
    </row>
    <row r="31" spans="1:13">
      <c r="A31" t="s">
        <v>308</v>
      </c>
      <c r="B31" s="3">
        <f>AVERAGE('FTE 계산'!W31,'FTE 계산'!AI31,'FTE 계산'!AU31)</f>
        <v>11.749363800871526</v>
      </c>
      <c r="C31" s="3">
        <f>AVERAGE('FTE 계산'!X31,'FTE 계산'!AJ31,'FTE 계산'!AV31)</f>
        <v>3.3909474206349208</v>
      </c>
      <c r="D31" s="3">
        <f>AVERAGE('FTE 계산'!Y31,'FTE 계산'!AK31,'FTE 계산'!AW31)</f>
        <v>4.2062145877378434</v>
      </c>
      <c r="E31" s="3">
        <f>AVERAGE('FTE 계산'!Z31,'FTE 계산'!AL31,'FTE 계산'!AX31)</f>
        <v>3.3648406593406595</v>
      </c>
      <c r="F31">
        <f>_xlfn.XLOOKUP($A31,Sheet3!$A:$A,Sheet3!K:K)</f>
        <v>7</v>
      </c>
      <c r="G31">
        <f>_xlfn.XLOOKUP($A31,Sheet3!$A:$A,Sheet3!L:L)</f>
        <v>1</v>
      </c>
      <c r="H31">
        <f>_xlfn.XLOOKUP($A31,Sheet3!$A:$A,Sheet3!M:M)</f>
        <v>3</v>
      </c>
      <c r="I31">
        <f>_xlfn.XLOOKUP($A31,Sheet3!$A:$A,Sheet3!N:N)</f>
        <v>2</v>
      </c>
      <c r="J31" s="3">
        <f t="shared" si="1"/>
        <v>1.6784805429816465</v>
      </c>
      <c r="K31" s="3">
        <f t="shared" si="2"/>
        <v>3.3909474206349208</v>
      </c>
      <c r="L31" s="3">
        <f t="shared" si="3"/>
        <v>1.4020715292459478</v>
      </c>
      <c r="M31" s="3">
        <f t="shared" si="4"/>
        <v>1.6824203296703297</v>
      </c>
    </row>
    <row r="32" spans="1:13">
      <c r="A32" t="s">
        <v>328</v>
      </c>
      <c r="B32" s="3">
        <f>AVERAGE('FTE 계산'!W32,'FTE 계산'!AI32,'FTE 계산'!AU32)</f>
        <v>9.3278219357270391</v>
      </c>
      <c r="C32" s="3">
        <f>AVERAGE('FTE 계산'!X32,'FTE 계산'!AJ32,'FTE 계산'!AV32)</f>
        <v>2.3851779755283649</v>
      </c>
      <c r="D32" s="3">
        <f>AVERAGE('FTE 계산'!Y32,'FTE 계산'!AK32,'FTE 계산'!AW32)</f>
        <v>4.7535017111151605</v>
      </c>
      <c r="E32" s="3">
        <f>AVERAGE('FTE 계산'!Z32,'FTE 계산'!AL32,'FTE 계산'!AX32)</f>
        <v>2.1312122584541062</v>
      </c>
      <c r="F32">
        <f>_xlfn.XLOOKUP($A32,Sheet3!$A:$A,Sheet3!K:K)</f>
        <v>11</v>
      </c>
      <c r="G32">
        <f>_xlfn.XLOOKUP($A32,Sheet3!$A:$A,Sheet3!L:L)</f>
        <v>3</v>
      </c>
      <c r="H32">
        <f>_xlfn.XLOOKUP($A32,Sheet3!$A:$A,Sheet3!M:M)</f>
        <v>6</v>
      </c>
      <c r="I32">
        <f>_xlfn.XLOOKUP($A32,Sheet3!$A:$A,Sheet3!N:N)</f>
        <v>2</v>
      </c>
      <c r="J32" s="3">
        <f t="shared" si="1"/>
        <v>0.8479838123388217</v>
      </c>
      <c r="K32" s="3">
        <f t="shared" si="2"/>
        <v>0.79505932517612166</v>
      </c>
      <c r="L32" s="3">
        <f t="shared" si="3"/>
        <v>0.79225028518586005</v>
      </c>
      <c r="M32" s="3">
        <f t="shared" si="4"/>
        <v>1.0656061292270531</v>
      </c>
    </row>
    <row r="33" spans="1:13">
      <c r="A33" t="s">
        <v>348</v>
      </c>
      <c r="B33" s="3">
        <f>AVERAGE('FTE 계산'!W33,'FTE 계산'!AI33,'FTE 계산'!AU33)</f>
        <v>1.1070997807017544</v>
      </c>
      <c r="C33" s="3" t="e">
        <f>AVERAGE('FTE 계산'!X33,'FTE 계산'!AJ33,'FTE 계산'!AV33)</f>
        <v>#DIV/0!</v>
      </c>
      <c r="D33" s="3" t="e">
        <f>AVERAGE('FTE 계산'!Y33,'FTE 계산'!AK33,'FTE 계산'!AW33)</f>
        <v>#DIV/0!</v>
      </c>
      <c r="E33" s="3">
        <f>AVERAGE('FTE 계산'!Z33,'FTE 계산'!AL33,'FTE 계산'!AX33)</f>
        <v>1.1070997807017544</v>
      </c>
      <c r="F33" t="e">
        <f>_xlfn.XLOOKUP($A33,Sheet3!$A:$A,Sheet3!K:K)</f>
        <v>#N/A</v>
      </c>
      <c r="G33" t="e">
        <f>_xlfn.XLOOKUP($A33,Sheet3!$A:$A,Sheet3!L:L)</f>
        <v>#N/A</v>
      </c>
      <c r="H33" t="e">
        <f>_xlfn.XLOOKUP($A33,Sheet3!$A:$A,Sheet3!M:M)</f>
        <v>#N/A</v>
      </c>
      <c r="I33" t="e">
        <f>_xlfn.XLOOKUP($A33,Sheet3!$A:$A,Sheet3!N:N)</f>
        <v>#N/A</v>
      </c>
      <c r="J33" s="3" t="e">
        <f t="shared" si="1"/>
        <v>#N/A</v>
      </c>
      <c r="K33" s="3" t="e">
        <f t="shared" si="2"/>
        <v>#DIV/0!</v>
      </c>
      <c r="L33" s="3" t="e">
        <f t="shared" si="3"/>
        <v>#DIV/0!</v>
      </c>
      <c r="M33" s="3" t="e">
        <f t="shared" si="4"/>
        <v>#N/A</v>
      </c>
    </row>
    <row r="34" spans="1:13">
      <c r="A34" t="s">
        <v>622</v>
      </c>
      <c r="B34" s="3">
        <f>AVERAGE('FTE 계산'!W34,'FTE 계산'!AI34,'FTE 계산'!AU34)</f>
        <v>4.6618142076502735</v>
      </c>
      <c r="C34" s="3">
        <f>AVERAGE('FTE 계산'!X34,'FTE 계산'!AJ34,'FTE 계산'!AV34)</f>
        <v>1.1920504385964912</v>
      </c>
      <c r="D34" s="3">
        <f>AVERAGE('FTE 계산'!Y34,'FTE 계산'!AK34,'FTE 계산'!AW34)</f>
        <v>2.3056849953401679</v>
      </c>
      <c r="E34" s="3">
        <f>AVERAGE('FTE 계산'!Z34,'FTE 계산'!AL34,'FTE 계산'!AX34)</f>
        <v>1.1621710526315789</v>
      </c>
      <c r="F34">
        <f>_xlfn.XLOOKUP($A34,Sheet3!$A:$A,Sheet3!K:K)</f>
        <v>4</v>
      </c>
      <c r="G34">
        <f>_xlfn.XLOOKUP($A34,Sheet3!$A:$A,Sheet3!L:L)</f>
        <v>1</v>
      </c>
      <c r="H34">
        <f>_xlfn.XLOOKUP($A34,Sheet3!$A:$A,Sheet3!M:M)</f>
        <v>2</v>
      </c>
      <c r="I34">
        <f>_xlfn.XLOOKUP($A34,Sheet3!$A:$A,Sheet3!N:N)</f>
        <v>1</v>
      </c>
      <c r="J34" s="3">
        <f t="shared" si="1"/>
        <v>1.1654535519125684</v>
      </c>
      <c r="K34" s="3">
        <f t="shared" si="2"/>
        <v>1.1920504385964912</v>
      </c>
      <c r="L34" s="3">
        <f t="shared" si="3"/>
        <v>1.152842497670084</v>
      </c>
      <c r="M34" s="3">
        <f t="shared" si="4"/>
        <v>1.1621710526315789</v>
      </c>
    </row>
    <row r="35" spans="1:13">
      <c r="A35" t="s">
        <v>625</v>
      </c>
      <c r="B35" s="3">
        <f>AVERAGE('FTE 계산'!W35,'FTE 계산'!AI35,'FTE 계산'!AU35)</f>
        <v>2.554107276819205</v>
      </c>
      <c r="C35" s="3">
        <f>AVERAGE('FTE 계산'!X35,'FTE 계산'!AJ35,'FTE 계산'!AV35)</f>
        <v>1.2405456216577539</v>
      </c>
      <c r="D35" s="3">
        <f>AVERAGE('FTE 계산'!Y35,'FTE 계산'!AK35,'FTE 계산'!AW35)</f>
        <v>1.3161383928571428</v>
      </c>
      <c r="E35" s="3" t="e">
        <f>AVERAGE('FTE 계산'!Z35,'FTE 계산'!AL35,'FTE 계산'!AX35)</f>
        <v>#DIV/0!</v>
      </c>
      <c r="F35">
        <f>_xlfn.XLOOKUP($A35,Sheet3!$A:$A,Sheet3!K:K)</f>
        <v>2</v>
      </c>
      <c r="G35">
        <f>_xlfn.XLOOKUP($A35,Sheet3!$A:$A,Sheet3!L:L)</f>
        <v>1</v>
      </c>
      <c r="H35">
        <f>_xlfn.XLOOKUP($A35,Sheet3!$A:$A,Sheet3!M:M)</f>
        <v>1</v>
      </c>
      <c r="I35">
        <f>_xlfn.XLOOKUP($A35,Sheet3!$A:$A,Sheet3!N:N)</f>
        <v>0</v>
      </c>
      <c r="J35" s="3">
        <f t="shared" si="1"/>
        <v>1.2770536384096025</v>
      </c>
      <c r="K35" s="3">
        <f t="shared" si="2"/>
        <v>1.2405456216577539</v>
      </c>
      <c r="L35" s="3">
        <f t="shared" si="3"/>
        <v>1.3161383928571428</v>
      </c>
      <c r="M35" s="3" t="e">
        <f t="shared" si="4"/>
        <v>#DIV/0!</v>
      </c>
    </row>
    <row r="36" spans="1:13">
      <c r="A36" t="s">
        <v>635</v>
      </c>
      <c r="B36" s="3">
        <f>AVERAGE('FTE 계산'!W36,'FTE 계산'!AI36,'FTE 계산'!AU36)</f>
        <v>1.2084429824561405</v>
      </c>
      <c r="C36" s="3">
        <f>AVERAGE('FTE 계산'!X36,'FTE 계산'!AJ36,'FTE 계산'!AV36)</f>
        <v>1.2084429824561405</v>
      </c>
      <c r="D36" s="3" t="e">
        <f>AVERAGE('FTE 계산'!Y36,'FTE 계산'!AK36,'FTE 계산'!AW36)</f>
        <v>#DIV/0!</v>
      </c>
      <c r="E36" s="3" t="e">
        <f>AVERAGE('FTE 계산'!Z36,'FTE 계산'!AL36,'FTE 계산'!AX36)</f>
        <v>#DIV/0!</v>
      </c>
      <c r="F36">
        <f>_xlfn.XLOOKUP($A36,Sheet3!$A:$A,Sheet3!K:K)</f>
        <v>1</v>
      </c>
      <c r="G36">
        <f>_xlfn.XLOOKUP($A36,Sheet3!$A:$A,Sheet3!L:L)</f>
        <v>1</v>
      </c>
      <c r="H36">
        <f>_xlfn.XLOOKUP($A36,Sheet3!$A:$A,Sheet3!M:M)</f>
        <v>0</v>
      </c>
      <c r="I36">
        <f>_xlfn.XLOOKUP($A36,Sheet3!$A:$A,Sheet3!N:N)</f>
        <v>0</v>
      </c>
      <c r="J36" s="3">
        <f t="shared" si="1"/>
        <v>1.2084429824561405</v>
      </c>
      <c r="K36" s="3">
        <f t="shared" si="2"/>
        <v>1.2084429824561405</v>
      </c>
      <c r="L36" s="3" t="e">
        <f t="shared" si="3"/>
        <v>#DIV/0!</v>
      </c>
      <c r="M36" s="3" t="e">
        <f t="shared" si="4"/>
        <v>#DIV/0!</v>
      </c>
    </row>
    <row r="37" spans="1:13">
      <c r="A37" t="s">
        <v>638</v>
      </c>
      <c r="B37" s="3">
        <f>AVERAGE('FTE 계산'!W37,'FTE 계산'!AI37,'FTE 계산'!AU37)</f>
        <v>2.3028927364864864</v>
      </c>
      <c r="C37" s="3">
        <f>AVERAGE('FTE 계산'!X37,'FTE 계산'!AJ37,'FTE 계산'!AV37)</f>
        <v>2.3028927364864864</v>
      </c>
      <c r="D37" s="3" t="e">
        <f>AVERAGE('FTE 계산'!Y37,'FTE 계산'!AK37,'FTE 계산'!AW37)</f>
        <v>#DIV/0!</v>
      </c>
      <c r="E37" s="3" t="e">
        <f>AVERAGE('FTE 계산'!Z37,'FTE 계산'!AL37,'FTE 계산'!AX37)</f>
        <v>#DIV/0!</v>
      </c>
      <c r="F37">
        <f>_xlfn.XLOOKUP($A37,Sheet3!$A:$A,Sheet3!K:K)</f>
        <v>2</v>
      </c>
      <c r="G37">
        <f>_xlfn.XLOOKUP($A37,Sheet3!$A:$A,Sheet3!L:L)</f>
        <v>2</v>
      </c>
      <c r="H37">
        <f>_xlfn.XLOOKUP($A37,Sheet3!$A:$A,Sheet3!M:M)</f>
        <v>0</v>
      </c>
      <c r="I37">
        <f>_xlfn.XLOOKUP($A37,Sheet3!$A:$A,Sheet3!N:N)</f>
        <v>0</v>
      </c>
      <c r="J37" s="3">
        <f t="shared" si="1"/>
        <v>1.1514463682432432</v>
      </c>
      <c r="K37" s="3">
        <f t="shared" si="2"/>
        <v>1.1514463682432432</v>
      </c>
      <c r="L37" s="3" t="e">
        <f t="shared" si="3"/>
        <v>#DIV/0!</v>
      </c>
      <c r="M37" s="3" t="e">
        <f t="shared" si="4"/>
        <v>#DIV/0!</v>
      </c>
    </row>
    <row r="38" spans="1:13">
      <c r="A38" t="s">
        <v>646</v>
      </c>
      <c r="B38" s="3">
        <f>AVERAGE('FTE 계산'!W38,'FTE 계산'!AI38,'FTE 계산'!AU38)</f>
        <v>10.297648014916041</v>
      </c>
      <c r="C38" s="3">
        <f>AVERAGE('FTE 계산'!X38,'FTE 계산'!AJ38,'FTE 계산'!AV38)</f>
        <v>0.97015749601275914</v>
      </c>
      <c r="D38" s="3">
        <f>AVERAGE('FTE 계산'!Y38,'FTE 계산'!AK38,'FTE 계산'!AW38)</f>
        <v>7.1214542210172498</v>
      </c>
      <c r="E38" s="3">
        <f>AVERAGE('FTE 계산'!Z38,'FTE 계산'!AL38,'FTE 계산'!AX38)</f>
        <v>2.2630307735742519</v>
      </c>
      <c r="F38">
        <f>_xlfn.XLOOKUP($A38,Sheet3!$A:$A,Sheet3!K:K)</f>
        <v>7</v>
      </c>
      <c r="G38">
        <f>_xlfn.XLOOKUP($A38,Sheet3!$A:$A,Sheet3!L:L)</f>
        <v>1</v>
      </c>
      <c r="H38">
        <f>_xlfn.XLOOKUP($A38,Sheet3!$A:$A,Sheet3!M:M)</f>
        <v>4</v>
      </c>
      <c r="I38">
        <f>_xlfn.XLOOKUP($A38,Sheet3!$A:$A,Sheet3!N:N)</f>
        <v>2</v>
      </c>
      <c r="J38" s="3">
        <f t="shared" si="1"/>
        <v>1.4710925735594345</v>
      </c>
      <c r="K38" s="3">
        <f t="shared" si="2"/>
        <v>0.97015749601275914</v>
      </c>
      <c r="L38" s="3">
        <f t="shared" si="3"/>
        <v>1.7803635552543124</v>
      </c>
      <c r="M38" s="3">
        <f t="shared" si="4"/>
        <v>1.1315153867871259</v>
      </c>
    </row>
    <row r="39" spans="1:13">
      <c r="A39" t="s">
        <v>654</v>
      </c>
      <c r="B39" s="3">
        <f>AVERAGE('FTE 계산'!W39,'FTE 계산'!AI39,'FTE 계산'!AU39)</f>
        <v>6.6828327408290642</v>
      </c>
      <c r="C39" s="3">
        <f>AVERAGE('FTE 계산'!X39,'FTE 계산'!AJ39,'FTE 계산'!AV39)</f>
        <v>1.4584113190730836</v>
      </c>
      <c r="D39" s="3">
        <f>AVERAGE('FTE 계산'!Y39,'FTE 계산'!AK39,'FTE 계산'!AW39)</f>
        <v>3.9481953197945843</v>
      </c>
      <c r="E39" s="3">
        <f>AVERAGE('FTE 계산'!Z39,'FTE 계산'!AL39,'FTE 계산'!AX39)</f>
        <v>0.92499999999999993</v>
      </c>
      <c r="F39">
        <f>_xlfn.XLOOKUP($A39,Sheet3!$A:$A,Sheet3!K:K)</f>
        <v>5</v>
      </c>
      <c r="G39">
        <f>_xlfn.XLOOKUP($A39,Sheet3!$A:$A,Sheet3!L:L)</f>
        <v>1</v>
      </c>
      <c r="H39">
        <f>_xlfn.XLOOKUP($A39,Sheet3!$A:$A,Sheet3!M:M)</f>
        <v>3</v>
      </c>
      <c r="I39">
        <f>_xlfn.XLOOKUP($A39,Sheet3!$A:$A,Sheet3!N:N)</f>
        <v>0</v>
      </c>
      <c r="J39" s="3">
        <f t="shared" si="1"/>
        <v>1.3365665481658129</v>
      </c>
      <c r="K39" s="3">
        <f t="shared" si="2"/>
        <v>1.4584113190730836</v>
      </c>
      <c r="L39" s="3">
        <f t="shared" si="3"/>
        <v>1.3160651065981948</v>
      </c>
      <c r="M39" s="3" t="e">
        <f t="shared" si="4"/>
        <v>#DIV/0!</v>
      </c>
    </row>
    <row r="40" spans="1:13">
      <c r="A40" t="s">
        <v>664</v>
      </c>
      <c r="B40" s="3">
        <f>AVERAGE('FTE 계산'!W40,'FTE 계산'!AI40,'FTE 계산'!AU40)</f>
        <v>14.836970823095825</v>
      </c>
      <c r="C40" s="3">
        <f>AVERAGE('FTE 계산'!X40,'FTE 계산'!AJ40,'FTE 계산'!AV40)</f>
        <v>2.4733010752688172</v>
      </c>
      <c r="D40" s="3">
        <f>AVERAGE('FTE 계산'!Y40,'FTE 계산'!AK40,'FTE 계산'!AW40)</f>
        <v>6.9443527506574476</v>
      </c>
      <c r="E40" s="3">
        <f>AVERAGE('FTE 계산'!Z40,'FTE 계산'!AL40,'FTE 계산'!AX40)</f>
        <v>5.269669642857143</v>
      </c>
      <c r="F40">
        <f>_xlfn.XLOOKUP($A40,Sheet3!$A:$A,Sheet3!K:K)</f>
        <v>9</v>
      </c>
      <c r="G40">
        <f>_xlfn.XLOOKUP($A40,Sheet3!$A:$A,Sheet3!L:L)</f>
        <v>2</v>
      </c>
      <c r="H40">
        <f>_xlfn.XLOOKUP($A40,Sheet3!$A:$A,Sheet3!M:M)</f>
        <v>4</v>
      </c>
      <c r="I40">
        <f>_xlfn.XLOOKUP($A40,Sheet3!$A:$A,Sheet3!N:N)</f>
        <v>3</v>
      </c>
      <c r="J40" s="3">
        <f t="shared" si="1"/>
        <v>1.6485523136773139</v>
      </c>
      <c r="K40" s="3">
        <f t="shared" si="2"/>
        <v>1.2366505376344086</v>
      </c>
      <c r="L40" s="3">
        <f t="shared" si="3"/>
        <v>1.7360881876643619</v>
      </c>
      <c r="M40" s="3">
        <f t="shared" si="4"/>
        <v>1.7565565476190477</v>
      </c>
    </row>
    <row r="41" spans="1:13">
      <c r="A41" t="s">
        <v>668</v>
      </c>
      <c r="B41" s="3">
        <f>AVERAGE('FTE 계산'!W41,'FTE 계산'!AI41,'FTE 계산'!AU41)</f>
        <v>5.7234061820816224</v>
      </c>
      <c r="C41" s="3">
        <f>AVERAGE('FTE 계산'!X41,'FTE 계산'!AJ41,'FTE 계산'!AV41)</f>
        <v>2.3566610962566843</v>
      </c>
      <c r="D41" s="3">
        <f>AVERAGE('FTE 계산'!Y41,'FTE 계산'!AK41,'FTE 계산'!AW41)</f>
        <v>1.0848735810113521</v>
      </c>
      <c r="E41" s="3">
        <f>AVERAGE('FTE 계산'!Z41,'FTE 계산'!AL41,'FTE 계산'!AX41)</f>
        <v>2.2854976045296165</v>
      </c>
      <c r="F41">
        <f>_xlfn.XLOOKUP($A41,Sheet3!$A:$A,Sheet3!K:K)</f>
        <v>10</v>
      </c>
      <c r="G41">
        <f>_xlfn.XLOOKUP($A41,Sheet3!$A:$A,Sheet3!L:L)</f>
        <v>2</v>
      </c>
      <c r="H41">
        <f>_xlfn.XLOOKUP($A41,Sheet3!$A:$A,Sheet3!M:M)</f>
        <v>1</v>
      </c>
      <c r="I41">
        <f>_xlfn.XLOOKUP($A41,Sheet3!$A:$A,Sheet3!N:N)</f>
        <v>2</v>
      </c>
      <c r="J41" s="3">
        <f t="shared" si="1"/>
        <v>0.57234061820816229</v>
      </c>
      <c r="K41" s="3">
        <f t="shared" si="2"/>
        <v>1.1783305481283421</v>
      </c>
      <c r="L41" s="3">
        <f t="shared" si="3"/>
        <v>1.0848735810113521</v>
      </c>
      <c r="M41" s="3">
        <f t="shared" si="4"/>
        <v>1.1427488022648082</v>
      </c>
    </row>
    <row r="42" spans="1:13">
      <c r="A42" s="2" t="s">
        <v>682</v>
      </c>
      <c r="B42" s="3">
        <f>AVERAGE('FTE 계산'!W42,'FTE 계산'!AI42,'FTE 계산'!AU42)</f>
        <v>15.821689348435489</v>
      </c>
      <c r="C42" s="3">
        <f>AVERAGE('FTE 계산'!X42,'FTE 계산'!AJ42,'FTE 계산'!AV42)</f>
        <v>2.4477082404743573</v>
      </c>
      <c r="D42" s="3">
        <f>AVERAGE('FTE 계산'!Y42,'FTE 계산'!AK42,'FTE 계산'!AW42)</f>
        <v>6.0842139652773986</v>
      </c>
      <c r="E42" s="3">
        <f>AVERAGE('FTE 계산'!Z42,'FTE 계산'!AL42,'FTE 계산'!AX42)</f>
        <v>7.2730543745993179</v>
      </c>
      <c r="F42">
        <f>_xlfn.XLOOKUP($A42,Sheet3!$A:$A,Sheet3!K:K)</f>
        <v>12</v>
      </c>
      <c r="G42">
        <f>_xlfn.XLOOKUP($A42,Sheet3!$A:$A,Sheet3!L:L)</f>
        <v>2</v>
      </c>
      <c r="H42">
        <f>_xlfn.XLOOKUP($A42,Sheet3!$A:$A,Sheet3!M:M)</f>
        <v>5</v>
      </c>
      <c r="I42">
        <f>_xlfn.XLOOKUP($A42,Sheet3!$A:$A,Sheet3!N:N)</f>
        <v>5</v>
      </c>
      <c r="J42" s="3">
        <f t="shared" si="1"/>
        <v>1.3184741123696242</v>
      </c>
      <c r="K42" s="3">
        <f t="shared" si="2"/>
        <v>1.2238541202371787</v>
      </c>
      <c r="L42" s="3">
        <f t="shared" si="3"/>
        <v>1.2168427930554797</v>
      </c>
      <c r="M42" s="3">
        <f t="shared" si="4"/>
        <v>1.4546108749198636</v>
      </c>
    </row>
    <row r="43" spans="1:13">
      <c r="A43" t="s">
        <v>691</v>
      </c>
      <c r="B43" s="3">
        <f>AVERAGE('FTE 계산'!W43,'FTE 계산'!AI43,'FTE 계산'!AU43)</f>
        <v>4.1660796387520529</v>
      </c>
      <c r="C43" s="3">
        <f>AVERAGE('FTE 계산'!X43,'FTE 계산'!AJ43,'FTE 계산'!AV43)</f>
        <v>0.70824074074074073</v>
      </c>
      <c r="D43" s="3">
        <f>AVERAGE('FTE 계산'!Y43,'FTE 계산'!AK43,'FTE 계산'!AW43)</f>
        <v>0.73972222222222228</v>
      </c>
      <c r="E43" s="3">
        <f>AVERAGE('FTE 계산'!Z43,'FTE 계산'!AL43,'FTE 계산'!AX43)</f>
        <v>2.4780195681511472</v>
      </c>
      <c r="F43">
        <f>_xlfn.XLOOKUP($A43,Sheet3!$A:$A,Sheet3!K:K)</f>
        <v>3</v>
      </c>
      <c r="G43">
        <f>_xlfn.XLOOKUP($A43,Sheet3!$A:$A,Sheet3!L:L)</f>
        <v>1</v>
      </c>
      <c r="H43">
        <f>_xlfn.XLOOKUP($A43,Sheet3!$A:$A,Sheet3!M:M)</f>
        <v>1</v>
      </c>
      <c r="I43">
        <f>_xlfn.XLOOKUP($A43,Sheet3!$A:$A,Sheet3!N:N)</f>
        <v>1</v>
      </c>
      <c r="J43" s="3">
        <f t="shared" si="1"/>
        <v>1.388693212917351</v>
      </c>
      <c r="K43" s="3">
        <f t="shared" si="2"/>
        <v>0.70824074074074073</v>
      </c>
      <c r="L43" s="3">
        <f t="shared" si="3"/>
        <v>0.73972222222222228</v>
      </c>
      <c r="M43" s="3">
        <f t="shared" si="4"/>
        <v>2.4780195681511472</v>
      </c>
    </row>
    <row r="44" spans="1:13">
      <c r="A44" t="s">
        <v>696</v>
      </c>
      <c r="B44" s="3">
        <f>AVERAGE('FTE 계산'!W44,'FTE 계산'!AI44,'FTE 계산'!AU44)</f>
        <v>3.0214985380116963</v>
      </c>
      <c r="C44" s="3">
        <f>AVERAGE('FTE 계산'!X44,'FTE 계산'!AJ44,'FTE 계산'!AV44)</f>
        <v>1.186738782051282</v>
      </c>
      <c r="D44" s="3">
        <f>AVERAGE('FTE 계산'!Y44,'FTE 계산'!AK44,'FTE 계산'!AW44)</f>
        <v>1.7516961898395722</v>
      </c>
      <c r="E44" s="3" t="e">
        <f>AVERAGE('FTE 계산'!Z44,'FTE 계산'!AL44,'FTE 계산'!AX44)</f>
        <v>#DIV/0!</v>
      </c>
      <c r="F44">
        <f>_xlfn.XLOOKUP($A44,Sheet3!$A:$A,Sheet3!K:K)</f>
        <v>2</v>
      </c>
      <c r="G44">
        <f>_xlfn.XLOOKUP($A44,Sheet3!$A:$A,Sheet3!L:L)</f>
        <v>1</v>
      </c>
      <c r="H44">
        <f>_xlfn.XLOOKUP($A44,Sheet3!$A:$A,Sheet3!M:M)</f>
        <v>1</v>
      </c>
      <c r="I44">
        <f>_xlfn.XLOOKUP($A44,Sheet3!$A:$A,Sheet3!N:N)</f>
        <v>0</v>
      </c>
      <c r="J44" s="3">
        <f t="shared" si="1"/>
        <v>1.5107492690058482</v>
      </c>
      <c r="K44" s="3">
        <f t="shared" si="2"/>
        <v>1.186738782051282</v>
      </c>
      <c r="L44" s="3">
        <f t="shared" si="3"/>
        <v>1.7516961898395722</v>
      </c>
      <c r="M44" s="3" t="e">
        <f t="shared" si="4"/>
        <v>#DIV/0!</v>
      </c>
    </row>
    <row r="45" spans="1:13">
      <c r="A45" t="s">
        <v>700</v>
      </c>
      <c r="B45" s="3">
        <f>AVERAGE('FTE 계산'!W45,'FTE 계산'!AI45,'FTE 계산'!AU45)</f>
        <v>7.1965476190476183</v>
      </c>
      <c r="C45" s="3">
        <f>AVERAGE('FTE 계산'!X45,'FTE 계산'!AJ45,'FTE 계산'!AV45)</f>
        <v>2.4287263826326329</v>
      </c>
      <c r="D45" s="3">
        <f>AVERAGE('FTE 계산'!Y45,'FTE 계산'!AK45,'FTE 계산'!AW45)</f>
        <v>3.536722482266081</v>
      </c>
      <c r="E45" s="3">
        <f>AVERAGE('FTE 계산'!Z45,'FTE 계산'!AL45,'FTE 계산'!AX45)</f>
        <v>1.1125</v>
      </c>
      <c r="F45">
        <f>_xlfn.XLOOKUP($A45,Sheet3!$A:$A,Sheet3!K:K)</f>
        <v>6</v>
      </c>
      <c r="G45">
        <f>_xlfn.XLOOKUP($A45,Sheet3!$A:$A,Sheet3!L:L)</f>
        <v>2</v>
      </c>
      <c r="H45">
        <f>_xlfn.XLOOKUP($A45,Sheet3!$A:$A,Sheet3!M:M)</f>
        <v>3</v>
      </c>
      <c r="I45">
        <f>_xlfn.XLOOKUP($A45,Sheet3!$A:$A,Sheet3!N:N)</f>
        <v>0</v>
      </c>
      <c r="J45" s="3">
        <f t="shared" si="1"/>
        <v>1.199424603174603</v>
      </c>
      <c r="K45" s="3">
        <f t="shared" si="2"/>
        <v>1.2143631913163164</v>
      </c>
      <c r="L45" s="3">
        <f t="shared" si="3"/>
        <v>1.1789074940886937</v>
      </c>
      <c r="M45" s="3" t="e">
        <f t="shared" si="4"/>
        <v>#DIV/0!</v>
      </c>
    </row>
    <row r="46" spans="1:13">
      <c r="A46" t="s">
        <v>705</v>
      </c>
      <c r="B46" s="3">
        <f>AVERAGE('FTE 계산'!W46,'FTE 계산'!AI46,'FTE 계산'!AU46)</f>
        <v>4.0271259469696972</v>
      </c>
      <c r="C46" s="3">
        <f>AVERAGE('FTE 계산'!X46,'FTE 계산'!AJ46,'FTE 계산'!AV46)</f>
        <v>2.6886013068990042</v>
      </c>
      <c r="D46" s="3">
        <f>AVERAGE('FTE 계산'!Y46,'FTE 계산'!AK46,'FTE 계산'!AW46)</f>
        <v>1.338578216374269</v>
      </c>
      <c r="E46" s="3" t="e">
        <f>AVERAGE('FTE 계산'!Z46,'FTE 계산'!AL46,'FTE 계산'!AX46)</f>
        <v>#DIV/0!</v>
      </c>
      <c r="F46">
        <f>_xlfn.XLOOKUP($A46,Sheet3!$A:$A,Sheet3!K:K)</f>
        <v>3</v>
      </c>
      <c r="G46">
        <f>_xlfn.XLOOKUP($A46,Sheet3!$A:$A,Sheet3!L:L)</f>
        <v>2</v>
      </c>
      <c r="H46">
        <f>_xlfn.XLOOKUP($A46,Sheet3!$A:$A,Sheet3!M:M)</f>
        <v>1</v>
      </c>
      <c r="I46">
        <f>_xlfn.XLOOKUP($A46,Sheet3!$A:$A,Sheet3!N:N)</f>
        <v>0</v>
      </c>
      <c r="J46" s="3">
        <f t="shared" si="1"/>
        <v>1.3423753156565656</v>
      </c>
      <c r="K46" s="3">
        <f t="shared" si="2"/>
        <v>1.3443006534495021</v>
      </c>
      <c r="L46" s="3">
        <f t="shared" si="3"/>
        <v>1.338578216374269</v>
      </c>
      <c r="M46" s="3" t="e">
        <f t="shared" si="4"/>
        <v>#DIV/0!</v>
      </c>
    </row>
    <row r="47" spans="1:13">
      <c r="A47" s="2" t="s">
        <v>709</v>
      </c>
      <c r="B47" s="3">
        <f>AVERAGE('FTE 계산'!W47,'FTE 계산'!AI47,'FTE 계산'!AU47)</f>
        <v>33.407379453776322</v>
      </c>
      <c r="C47" s="3">
        <f>AVERAGE('FTE 계산'!X47,'FTE 계산'!AJ47,'FTE 계산'!AV47)</f>
        <v>8.8479372229372242</v>
      </c>
      <c r="D47" s="3">
        <f>AVERAGE('FTE 계산'!Y47,'FTE 계산'!AK47,'FTE 계산'!AW47)</f>
        <v>15.385723397546153</v>
      </c>
      <c r="E47" s="3">
        <f>AVERAGE('FTE 계산'!Z47,'FTE 계산'!AL47,'FTE 계산'!AX47)</f>
        <v>9.0356613161839032</v>
      </c>
      <c r="F47">
        <f>_xlfn.XLOOKUP($A47,Sheet3!$A:$A,Sheet3!K:K)</f>
        <v>18</v>
      </c>
      <c r="G47">
        <f>_xlfn.XLOOKUP($A47,Sheet3!$A:$A,Sheet3!L:L)</f>
        <v>4</v>
      </c>
      <c r="H47">
        <f>_xlfn.XLOOKUP($A47,Sheet3!$A:$A,Sheet3!M:M)</f>
        <v>7</v>
      </c>
      <c r="I47">
        <f>_xlfn.XLOOKUP($A47,Sheet3!$A:$A,Sheet3!N:N)</f>
        <v>7</v>
      </c>
      <c r="J47" s="3">
        <f t="shared" si="1"/>
        <v>1.8559655252097957</v>
      </c>
      <c r="K47" s="3">
        <f t="shared" si="2"/>
        <v>2.211984305734306</v>
      </c>
      <c r="L47" s="3">
        <f t="shared" si="3"/>
        <v>2.197960485363736</v>
      </c>
      <c r="M47" s="3">
        <f t="shared" si="4"/>
        <v>1.2908087594548434</v>
      </c>
    </row>
    <row r="48" spans="1:13">
      <c r="A48" t="s">
        <v>713</v>
      </c>
      <c r="B48" s="3">
        <f>AVERAGE('FTE 계산'!W48,'FTE 계산'!AI48,'FTE 계산'!AU48)</f>
        <v>9.6019401582741324</v>
      </c>
      <c r="C48" s="3">
        <f>AVERAGE('FTE 계산'!X48,'FTE 계산'!AJ48,'FTE 계산'!AV48)</f>
        <v>5.1628179170218802</v>
      </c>
      <c r="D48" s="3">
        <f>AVERAGE('FTE 계산'!Y48,'FTE 계산'!AK48,'FTE 계산'!AW48)</f>
        <v>2.8476045853123857</v>
      </c>
      <c r="E48" s="3">
        <f>AVERAGE('FTE 계산'!Z48,'FTE 계산'!AL48,'FTE 계산'!AX48)</f>
        <v>1.5992236024844722</v>
      </c>
      <c r="F48">
        <f>_xlfn.XLOOKUP($A48,Sheet3!$A:$A,Sheet3!K:K)</f>
        <v>6</v>
      </c>
      <c r="G48">
        <f>_xlfn.XLOOKUP($A48,Sheet3!$A:$A,Sheet3!L:L)</f>
        <v>4</v>
      </c>
      <c r="H48">
        <f>_xlfn.XLOOKUP($A48,Sheet3!$A:$A,Sheet3!M:M)</f>
        <v>1</v>
      </c>
      <c r="I48">
        <f>_xlfn.XLOOKUP($A48,Sheet3!$A:$A,Sheet3!N:N)</f>
        <v>1</v>
      </c>
      <c r="J48" s="3">
        <f t="shared" si="1"/>
        <v>1.6003233597123554</v>
      </c>
      <c r="K48" s="3">
        <f t="shared" si="2"/>
        <v>1.29070447925547</v>
      </c>
      <c r="L48" s="3">
        <f t="shared" si="3"/>
        <v>2.8476045853123857</v>
      </c>
      <c r="M48" s="3">
        <f t="shared" si="4"/>
        <v>1.5992236024844722</v>
      </c>
    </row>
    <row r="49" spans="1:13">
      <c r="A49" t="s">
        <v>726</v>
      </c>
      <c r="B49" s="3">
        <f>AVERAGE('FTE 계산'!W49,'FTE 계산'!AI49,'FTE 계산'!AU49)</f>
        <v>9.5875736342635296</v>
      </c>
      <c r="C49" s="3">
        <f>AVERAGE('FTE 계산'!X49,'FTE 계산'!AJ49,'FTE 계산'!AV49)</f>
        <v>2.488211848211848</v>
      </c>
      <c r="D49" s="3">
        <f>AVERAGE('FTE 계산'!Y49,'FTE 계산'!AK49,'FTE 계산'!AW49)</f>
        <v>4.6194533225719665</v>
      </c>
      <c r="E49" s="3">
        <f>AVERAGE('FTE 계산'!Z49,'FTE 계산'!AL49,'FTE 계산'!AX49)</f>
        <v>2.4781206609835644</v>
      </c>
      <c r="F49">
        <f>_xlfn.XLOOKUP($A49,Sheet3!$A:$A,Sheet3!K:K)</f>
        <v>8</v>
      </c>
      <c r="G49">
        <f>_xlfn.XLOOKUP($A49,Sheet3!$A:$A,Sheet3!L:L)</f>
        <v>2</v>
      </c>
      <c r="H49">
        <f>_xlfn.XLOOKUP($A49,Sheet3!$A:$A,Sheet3!M:M)</f>
        <v>4</v>
      </c>
      <c r="I49">
        <f>_xlfn.XLOOKUP($A49,Sheet3!$A:$A,Sheet3!N:N)</f>
        <v>2</v>
      </c>
      <c r="J49" s="3">
        <f t="shared" si="1"/>
        <v>1.1984467042829412</v>
      </c>
      <c r="K49" s="3">
        <f t="shared" si="2"/>
        <v>1.244105924105924</v>
      </c>
      <c r="L49" s="3">
        <f t="shared" si="3"/>
        <v>1.1548633306429916</v>
      </c>
      <c r="M49" s="3">
        <f t="shared" si="4"/>
        <v>1.2390603304917822</v>
      </c>
    </row>
    <row r="50" spans="1:13">
      <c r="A50" t="s">
        <v>730</v>
      </c>
      <c r="B50" s="3">
        <f>AVERAGE('FTE 계산'!W50,'FTE 계산'!AI50,'FTE 계산'!AU50)</f>
        <v>6.7736429937828788</v>
      </c>
      <c r="C50" s="3">
        <f>AVERAGE('FTE 계산'!X50,'FTE 계산'!AJ50,'FTE 계산'!AV50)</f>
        <v>2.3857018849206346</v>
      </c>
      <c r="D50" s="3">
        <f>AVERAGE('FTE 계산'!Y50,'FTE 계산'!AK50,'FTE 계산'!AW50)</f>
        <v>2.1937384354051024</v>
      </c>
      <c r="E50" s="3">
        <f>AVERAGE('FTE 계산'!Z50,'FTE 계산'!AL50,'FTE 계산'!AX50)</f>
        <v>2.1884657384657382</v>
      </c>
      <c r="F50">
        <f>_xlfn.XLOOKUP($A50,Sheet3!$A:$A,Sheet3!K:K)</f>
        <v>6</v>
      </c>
      <c r="G50">
        <f>_xlfn.XLOOKUP($A50,Sheet3!$A:$A,Sheet3!L:L)</f>
        <v>2</v>
      </c>
      <c r="H50">
        <f>_xlfn.XLOOKUP($A50,Sheet3!$A:$A,Sheet3!M:M)</f>
        <v>2</v>
      </c>
      <c r="I50">
        <f>_xlfn.XLOOKUP($A50,Sheet3!$A:$A,Sheet3!N:N)</f>
        <v>2</v>
      </c>
      <c r="J50" s="3">
        <f t="shared" si="1"/>
        <v>1.1289404989638132</v>
      </c>
      <c r="K50" s="3">
        <f t="shared" si="2"/>
        <v>1.1928509424603173</v>
      </c>
      <c r="L50" s="3">
        <f t="shared" si="3"/>
        <v>1.0968692177025512</v>
      </c>
      <c r="M50" s="3">
        <f t="shared" si="4"/>
        <v>1.0942328692328691</v>
      </c>
    </row>
    <row r="51" spans="1:13">
      <c r="A51" t="s">
        <v>733</v>
      </c>
      <c r="B51" s="3">
        <f>AVERAGE('FTE 계산'!W51,'FTE 계산'!AI51,'FTE 계산'!AU51)</f>
        <v>9.0065011342178192</v>
      </c>
      <c r="C51" s="3">
        <f>AVERAGE('FTE 계산'!X51,'FTE 계산'!AJ51,'FTE 계산'!AV51)</f>
        <v>2.2993865453542872</v>
      </c>
      <c r="D51" s="3">
        <f>AVERAGE('FTE 계산'!Y51,'FTE 계산'!AK51,'FTE 계산'!AW51)</f>
        <v>2.226245265151515</v>
      </c>
      <c r="E51" s="3">
        <f>AVERAGE('FTE 계산'!Z51,'FTE 계산'!AL51,'FTE 계산'!AX51)</f>
        <v>4.4815783097499517</v>
      </c>
      <c r="F51">
        <f>_xlfn.XLOOKUP($A51,Sheet3!$A:$A,Sheet3!K:K)</f>
        <v>8</v>
      </c>
      <c r="G51">
        <f>_xlfn.XLOOKUP($A51,Sheet3!$A:$A,Sheet3!L:L)</f>
        <v>3</v>
      </c>
      <c r="H51">
        <f>_xlfn.XLOOKUP($A51,Sheet3!$A:$A,Sheet3!M:M)</f>
        <v>2</v>
      </c>
      <c r="I51">
        <f>_xlfn.XLOOKUP($A51,Sheet3!$A:$A,Sheet3!N:N)</f>
        <v>3</v>
      </c>
      <c r="J51" s="3">
        <f t="shared" si="1"/>
        <v>1.1258126417772274</v>
      </c>
      <c r="K51" s="3">
        <f t="shared" si="2"/>
        <v>0.76646218178476244</v>
      </c>
      <c r="L51" s="3">
        <f t="shared" si="3"/>
        <v>1.1131226325757575</v>
      </c>
      <c r="M51" s="3">
        <f t="shared" si="4"/>
        <v>1.4938594365833173</v>
      </c>
    </row>
    <row r="52" spans="1:13">
      <c r="A52" t="s">
        <v>757</v>
      </c>
      <c r="B52" s="3">
        <f>AVERAGE('FTE 계산'!W52,'FTE 계산'!AI52,'FTE 계산'!AU52)</f>
        <v>9.6730771575525978</v>
      </c>
      <c r="C52" s="3">
        <f>AVERAGE('FTE 계산'!X52,'FTE 계산'!AJ52,'FTE 계산'!AV52)</f>
        <v>2.2501736111111112</v>
      </c>
      <c r="D52" s="3">
        <f>AVERAGE('FTE 계산'!Y52,'FTE 계산'!AK52,'FTE 계산'!AW52)</f>
        <v>2.4273359980620155</v>
      </c>
      <c r="E52" s="3">
        <f>AVERAGE('FTE 계산'!Z52,'FTE 계산'!AL52,'FTE 계산'!AX52)</f>
        <v>4.9445996995785126</v>
      </c>
      <c r="F52">
        <f>_xlfn.XLOOKUP($A52,Sheet3!$A:$A,Sheet3!K:K)</f>
        <v>6</v>
      </c>
      <c r="G52">
        <f>_xlfn.XLOOKUP($A52,Sheet3!$A:$A,Sheet3!L:L)</f>
        <v>2</v>
      </c>
      <c r="H52">
        <f>_xlfn.XLOOKUP($A52,Sheet3!$A:$A,Sheet3!M:M)</f>
        <v>2</v>
      </c>
      <c r="I52">
        <f>_xlfn.XLOOKUP($A52,Sheet3!$A:$A,Sheet3!N:N)</f>
        <v>1</v>
      </c>
      <c r="J52" s="3">
        <f t="shared" si="1"/>
        <v>1.6121795262587664</v>
      </c>
      <c r="K52" s="3">
        <f t="shared" si="2"/>
        <v>1.1250868055555556</v>
      </c>
      <c r="L52" s="3">
        <f t="shared" si="3"/>
        <v>1.2136679990310077</v>
      </c>
      <c r="M52" s="3">
        <f t="shared" si="4"/>
        <v>4.9445996995785126</v>
      </c>
    </row>
    <row r="53" spans="1:13">
      <c r="A53" t="s">
        <v>763</v>
      </c>
      <c r="B53" s="3">
        <f>AVERAGE('FTE 계산'!W53,'FTE 계산'!AI53,'FTE 계산'!AU53)</f>
        <v>6.3149681656995478</v>
      </c>
      <c r="C53" s="3">
        <f>AVERAGE('FTE 계산'!X53,'FTE 계산'!AJ53,'FTE 계산'!AV53)</f>
        <v>1.276158930311891</v>
      </c>
      <c r="D53" s="3">
        <f>AVERAGE('FTE 계산'!Y53,'FTE 계산'!AK53,'FTE 계산'!AW53)</f>
        <v>3.5907006345651364</v>
      </c>
      <c r="E53" s="3">
        <f>AVERAGE('FTE 계산'!Z53,'FTE 계산'!AL53,'FTE 계산'!AX53)</f>
        <v>1.4331398348813209</v>
      </c>
      <c r="F53">
        <f>_xlfn.XLOOKUP($A53,Sheet3!$A:$A,Sheet3!K:K)</f>
        <v>5</v>
      </c>
      <c r="G53">
        <f>_xlfn.XLOOKUP($A53,Sheet3!$A:$A,Sheet3!L:L)</f>
        <v>1</v>
      </c>
      <c r="H53">
        <f>_xlfn.XLOOKUP($A53,Sheet3!$A:$A,Sheet3!M:M)</f>
        <v>3</v>
      </c>
      <c r="I53">
        <f>_xlfn.XLOOKUP($A53,Sheet3!$A:$A,Sheet3!N:N)</f>
        <v>1</v>
      </c>
      <c r="J53" s="3">
        <f t="shared" si="1"/>
        <v>1.2629936331399096</v>
      </c>
      <c r="K53" s="3">
        <f t="shared" si="2"/>
        <v>1.276158930311891</v>
      </c>
      <c r="L53" s="3">
        <f t="shared" si="3"/>
        <v>1.1969002115217122</v>
      </c>
      <c r="M53" s="3">
        <f t="shared" si="4"/>
        <v>1.4331398348813209</v>
      </c>
    </row>
    <row r="54" spans="1:13">
      <c r="A54" t="s">
        <v>773</v>
      </c>
      <c r="B54" s="3">
        <f>AVERAGE('FTE 계산'!W54,'FTE 계산'!AI54,'FTE 계산'!AU54)</f>
        <v>6.9161235747117713</v>
      </c>
      <c r="C54" s="3">
        <f>AVERAGE('FTE 계산'!X54,'FTE 계산'!AJ54,'FTE 계산'!AV54)</f>
        <v>2.3484339525283797</v>
      </c>
      <c r="D54" s="3" t="e">
        <f>AVERAGE('FTE 계산'!Y54,'FTE 계산'!AK54,'FTE 계산'!AW54)</f>
        <v>#DIV/0!</v>
      </c>
      <c r="E54" s="3">
        <f>AVERAGE('FTE 계산'!Z54,'FTE 계산'!AL54,'FTE 계산'!AX54)</f>
        <v>4.5715257431301088</v>
      </c>
      <c r="F54">
        <f>_xlfn.XLOOKUP($A54,Sheet3!$A:$A,Sheet3!K:K)</f>
        <v>6</v>
      </c>
      <c r="G54">
        <f>_xlfn.XLOOKUP($A54,Sheet3!$A:$A,Sheet3!L:L)</f>
        <v>2</v>
      </c>
      <c r="H54">
        <f>_xlfn.XLOOKUP($A54,Sheet3!$A:$A,Sheet3!M:M)</f>
        <v>0</v>
      </c>
      <c r="I54">
        <f>_xlfn.XLOOKUP($A54,Sheet3!$A:$A,Sheet3!N:N)</f>
        <v>4</v>
      </c>
      <c r="J54" s="3">
        <f t="shared" si="1"/>
        <v>1.152687262451962</v>
      </c>
      <c r="K54" s="3">
        <f t="shared" si="2"/>
        <v>1.1742169762641899</v>
      </c>
      <c r="L54" s="3" t="e">
        <f t="shared" si="3"/>
        <v>#DIV/0!</v>
      </c>
      <c r="M54" s="3">
        <f t="shared" si="4"/>
        <v>1.1428814357825272</v>
      </c>
    </row>
    <row r="55" spans="1:13">
      <c r="A55" t="s">
        <v>781</v>
      </c>
      <c r="B55" s="3">
        <f>AVERAGE('FTE 계산'!W55,'FTE 계산'!AI55,'FTE 계산'!AU55)</f>
        <v>2.4406835183397679</v>
      </c>
      <c r="C55" s="3" t="e">
        <f>AVERAGE('FTE 계산'!X55,'FTE 계산'!AJ55,'FTE 계산'!AV55)</f>
        <v>#DIV/0!</v>
      </c>
      <c r="D55" s="3">
        <f>AVERAGE('FTE 계산'!Y55,'FTE 계산'!AK55,'FTE 계산'!AW55)</f>
        <v>1.28718798374613</v>
      </c>
      <c r="E55" s="3">
        <f>AVERAGE('FTE 계산'!Z55,'FTE 계산'!AL55,'FTE 계산'!AX55)</f>
        <v>1.1537615740740741</v>
      </c>
      <c r="F55">
        <f>_xlfn.XLOOKUP($A55,Sheet3!$A:$A,Sheet3!K:K)</f>
        <v>2</v>
      </c>
      <c r="G55">
        <f>_xlfn.XLOOKUP($A55,Sheet3!$A:$A,Sheet3!L:L)</f>
        <v>0</v>
      </c>
      <c r="H55">
        <f>_xlfn.XLOOKUP($A55,Sheet3!$A:$A,Sheet3!M:M)</f>
        <v>1</v>
      </c>
      <c r="I55">
        <f>_xlfn.XLOOKUP($A55,Sheet3!$A:$A,Sheet3!N:N)</f>
        <v>1</v>
      </c>
      <c r="J55" s="3">
        <f t="shared" si="1"/>
        <v>1.220341759169884</v>
      </c>
      <c r="K55" s="3" t="e">
        <f t="shared" si="2"/>
        <v>#DIV/0!</v>
      </c>
      <c r="L55" s="3">
        <f t="shared" si="3"/>
        <v>1.28718798374613</v>
      </c>
      <c r="M55" s="3">
        <f t="shared" si="4"/>
        <v>1.1537615740740741</v>
      </c>
    </row>
    <row r="56" spans="1:13">
      <c r="A56" t="s">
        <v>795</v>
      </c>
      <c r="B56" s="3">
        <f>AVERAGE('FTE 계산'!W56,'FTE 계산'!AI56,'FTE 계산'!AU56)</f>
        <v>6.3246879563519771</v>
      </c>
      <c r="C56" s="3">
        <f>AVERAGE('FTE 계산'!X56,'FTE 계산'!AJ56,'FTE 계산'!AV56)</f>
        <v>4.0111696428571433</v>
      </c>
      <c r="D56" s="3">
        <f>AVERAGE('FTE 계산'!Y56,'FTE 계산'!AK56,'FTE 계산'!AW56)</f>
        <v>1.1825925925925926</v>
      </c>
      <c r="E56" s="3">
        <f>AVERAGE('FTE 계산'!Z56,'FTE 계산'!AL56,'FTE 계산'!AX56)</f>
        <v>1.1392092363261093</v>
      </c>
      <c r="F56">
        <f>_xlfn.XLOOKUP($A56,Sheet3!$A:$A,Sheet3!K:K)</f>
        <v>5</v>
      </c>
      <c r="G56">
        <f>_xlfn.XLOOKUP($A56,Sheet3!$A:$A,Sheet3!L:L)</f>
        <v>3</v>
      </c>
      <c r="H56">
        <f>_xlfn.XLOOKUP($A56,Sheet3!$A:$A,Sheet3!M:M)</f>
        <v>1</v>
      </c>
      <c r="I56">
        <f>_xlfn.XLOOKUP($A56,Sheet3!$A:$A,Sheet3!N:N)</f>
        <v>1</v>
      </c>
      <c r="J56" s="3">
        <f t="shared" si="1"/>
        <v>1.2649375912703955</v>
      </c>
      <c r="K56" s="3">
        <f t="shared" si="2"/>
        <v>1.3370565476190477</v>
      </c>
      <c r="L56" s="3">
        <f t="shared" si="3"/>
        <v>1.1825925925925926</v>
      </c>
      <c r="M56" s="3">
        <f t="shared" si="4"/>
        <v>1.1392092363261093</v>
      </c>
    </row>
    <row r="57" spans="1:13">
      <c r="A57" t="s">
        <v>856</v>
      </c>
      <c r="B57" s="3">
        <f>AVERAGE('FTE 계산'!W57,'FTE 계산'!AI57,'FTE 계산'!AU57)</f>
        <v>2.7212542087542086</v>
      </c>
      <c r="C57" s="3">
        <f>AVERAGE('FTE 계산'!X57,'FTE 계산'!AJ57,'FTE 계산'!AV57)</f>
        <v>1.2362500000000001</v>
      </c>
      <c r="D57" s="3">
        <f>AVERAGE('FTE 계산'!Y57,'FTE 계산'!AK57,'FTE 계산'!AW57)</f>
        <v>1.238031537176274</v>
      </c>
      <c r="E57" s="3" t="e">
        <f>AVERAGE('FTE 계산'!Z57,'FTE 계산'!AL57,'FTE 계산'!AX57)</f>
        <v>#DIV/0!</v>
      </c>
      <c r="F57">
        <f>_xlfn.XLOOKUP($A57,Sheet3!$A:$A,Sheet3!K:K)</f>
        <v>3</v>
      </c>
      <c r="G57">
        <f>_xlfn.XLOOKUP($A57,Sheet3!$A:$A,Sheet3!L:L)</f>
        <v>1</v>
      </c>
      <c r="H57">
        <f>_xlfn.XLOOKUP($A57,Sheet3!$A:$A,Sheet3!M:M)</f>
        <v>1</v>
      </c>
      <c r="I57">
        <f>_xlfn.XLOOKUP($A57,Sheet3!$A:$A,Sheet3!N:N)</f>
        <v>1</v>
      </c>
      <c r="J57" s="3">
        <f t="shared" si="1"/>
        <v>0.90708473625140285</v>
      </c>
      <c r="K57" s="3">
        <f t="shared" si="2"/>
        <v>1.2362500000000001</v>
      </c>
      <c r="L57" s="3">
        <f t="shared" si="3"/>
        <v>1.238031537176274</v>
      </c>
      <c r="M57" s="3" t="e">
        <f t="shared" si="4"/>
        <v>#DIV/0!</v>
      </c>
    </row>
    <row r="58" spans="1:13">
      <c r="A58" t="s">
        <v>886</v>
      </c>
      <c r="B58" s="3">
        <f>AVERAGE('FTE 계산'!W58,'FTE 계산'!AI58,'FTE 계산'!AU58)</f>
        <v>8.0298139812021461</v>
      </c>
      <c r="C58" s="3">
        <f>AVERAGE('FTE 계산'!X58,'FTE 계산'!AJ58,'FTE 계산'!AV58)</f>
        <v>1.1434225755360623</v>
      </c>
      <c r="D58" s="3">
        <f>AVERAGE('FTE 계산'!Y58,'FTE 계산'!AK58,'FTE 계산'!AW58)</f>
        <v>2.2792187500000001</v>
      </c>
      <c r="E58" s="3">
        <f>AVERAGE('FTE 계산'!Z58,'FTE 계산'!AL58,'FTE 계산'!AX58)</f>
        <v>4.6120256371282364</v>
      </c>
      <c r="F58">
        <f>_xlfn.XLOOKUP($A58,Sheet3!$A:$A,Sheet3!K:K)</f>
        <v>7</v>
      </c>
      <c r="G58">
        <f>_xlfn.XLOOKUP($A58,Sheet3!$A:$A,Sheet3!L:L)</f>
        <v>1</v>
      </c>
      <c r="H58">
        <f>_xlfn.XLOOKUP($A58,Sheet3!$A:$A,Sheet3!M:M)</f>
        <v>2</v>
      </c>
      <c r="I58">
        <f>_xlfn.XLOOKUP($A58,Sheet3!$A:$A,Sheet3!N:N)</f>
        <v>4</v>
      </c>
      <c r="J58" s="3">
        <f t="shared" si="1"/>
        <v>1.1471162830288779</v>
      </c>
      <c r="K58" s="3">
        <f t="shared" si="2"/>
        <v>1.1434225755360623</v>
      </c>
      <c r="L58" s="3">
        <f t="shared" si="3"/>
        <v>1.139609375</v>
      </c>
      <c r="M58" s="3">
        <f t="shared" si="4"/>
        <v>1.1530064092820591</v>
      </c>
    </row>
    <row r="59" spans="1:13">
      <c r="A59" t="s">
        <v>893</v>
      </c>
      <c r="B59" s="3">
        <f>AVERAGE('FTE 계산'!W59,'FTE 계산'!AI59,'FTE 계산'!AU59)</f>
        <v>6.699251148686078</v>
      </c>
      <c r="C59" s="3">
        <f>AVERAGE('FTE 계산'!X59,'FTE 계산'!AJ59,'FTE 계산'!AV59)</f>
        <v>2.1828703703703707</v>
      </c>
      <c r="D59" s="3">
        <f>AVERAGE('FTE 계산'!Y59,'FTE 계산'!AK59,'FTE 계산'!AW59)</f>
        <v>4.518201382792669</v>
      </c>
      <c r="E59" s="3" t="e">
        <f>AVERAGE('FTE 계산'!Z59,'FTE 계산'!AL59,'FTE 계산'!AX59)</f>
        <v>#DIV/0!</v>
      </c>
      <c r="F59">
        <f>_xlfn.XLOOKUP($A59,Sheet3!$A:$A,Sheet3!K:K)</f>
        <v>6</v>
      </c>
      <c r="G59">
        <f>_xlfn.XLOOKUP($A59,Sheet3!$A:$A,Sheet3!L:L)</f>
        <v>2</v>
      </c>
      <c r="H59">
        <f>_xlfn.XLOOKUP($A59,Sheet3!$A:$A,Sheet3!M:M)</f>
        <v>4</v>
      </c>
      <c r="I59">
        <f>_xlfn.XLOOKUP($A59,Sheet3!$A:$A,Sheet3!N:N)</f>
        <v>0</v>
      </c>
      <c r="J59" s="3">
        <f t="shared" si="1"/>
        <v>1.1165418581143463</v>
      </c>
      <c r="K59" s="3">
        <f t="shared" si="2"/>
        <v>1.0914351851851853</v>
      </c>
      <c r="L59" s="3">
        <f t="shared" si="3"/>
        <v>1.1295503456981673</v>
      </c>
      <c r="M59" s="3" t="e">
        <f t="shared" si="4"/>
        <v>#DIV/0!</v>
      </c>
    </row>
    <row r="60" spans="1:13">
      <c r="A60" t="s">
        <v>905</v>
      </c>
      <c r="B60" s="3">
        <f>AVERAGE('FTE 계산'!W60,'FTE 계산'!AI60,'FTE 계산'!AU60)</f>
        <v>6.9362788600288594</v>
      </c>
      <c r="C60" s="3">
        <f>AVERAGE('FTE 계산'!X60,'FTE 계산'!AJ60,'FTE 계산'!AV60)</f>
        <v>2.3369677871148462</v>
      </c>
      <c r="D60" s="3">
        <f>AVERAGE('FTE 계산'!Y60,'FTE 계산'!AK60,'FTE 계산'!AW60)</f>
        <v>2.3250150150150151</v>
      </c>
      <c r="E60" s="3">
        <f>AVERAGE('FTE 계산'!Z60,'FTE 계산'!AL60,'FTE 계산'!AX60)</f>
        <v>2.2421052631578946</v>
      </c>
      <c r="F60">
        <f>_xlfn.XLOOKUP($A60,Sheet3!$A:$A,Sheet3!K:K)</f>
        <v>6</v>
      </c>
      <c r="G60">
        <f>_xlfn.XLOOKUP($A60,Sheet3!$A:$A,Sheet3!L:L)</f>
        <v>2</v>
      </c>
      <c r="H60">
        <f>_xlfn.XLOOKUP($A60,Sheet3!$A:$A,Sheet3!M:M)</f>
        <v>2</v>
      </c>
      <c r="I60">
        <f>_xlfn.XLOOKUP($A60,Sheet3!$A:$A,Sheet3!N:N)</f>
        <v>2</v>
      </c>
      <c r="J60" s="3">
        <f t="shared" si="1"/>
        <v>1.1560464766714766</v>
      </c>
      <c r="K60" s="3">
        <f t="shared" si="2"/>
        <v>1.1684838935574231</v>
      </c>
      <c r="L60" s="3">
        <f t="shared" si="3"/>
        <v>1.1625075075075075</v>
      </c>
      <c r="M60" s="3">
        <f t="shared" si="4"/>
        <v>1.1210526315789473</v>
      </c>
    </row>
    <row r="61" spans="1:13">
      <c r="A61" t="s">
        <v>912</v>
      </c>
      <c r="B61" s="3">
        <f>AVERAGE('FTE 계산'!W61,'FTE 계산'!AI61,'FTE 계산'!AU61)</f>
        <v>6.2759982703466752</v>
      </c>
      <c r="C61" s="3">
        <f>AVERAGE('FTE 계산'!X61,'FTE 계산'!AJ61,'FTE 계산'!AV61)</f>
        <v>1.231111111111111</v>
      </c>
      <c r="D61" s="3">
        <f>AVERAGE('FTE 계산'!Y61,'FTE 계산'!AK61,'FTE 계산'!AW61)</f>
        <v>2.8213474893162398</v>
      </c>
      <c r="E61" s="3">
        <f>AVERAGE('FTE 계산'!Z61,'FTE 계산'!AL61,'FTE 계산'!AX61)</f>
        <v>2.21389857599535</v>
      </c>
      <c r="F61">
        <f>_xlfn.XLOOKUP($A61,Sheet3!$A:$A,Sheet3!K:K)</f>
        <v>5</v>
      </c>
      <c r="G61">
        <f>_xlfn.XLOOKUP($A61,Sheet3!$A:$A,Sheet3!L:L)</f>
        <v>1</v>
      </c>
      <c r="H61">
        <f>_xlfn.XLOOKUP($A61,Sheet3!$A:$A,Sheet3!M:M)</f>
        <v>2</v>
      </c>
      <c r="I61">
        <f>_xlfn.XLOOKUP($A61,Sheet3!$A:$A,Sheet3!N:N)</f>
        <v>2</v>
      </c>
      <c r="J61" s="3">
        <f t="shared" si="1"/>
        <v>1.2551996540693351</v>
      </c>
      <c r="K61" s="3">
        <f t="shared" si="2"/>
        <v>1.231111111111111</v>
      </c>
      <c r="L61" s="3">
        <f t="shared" si="3"/>
        <v>1.4106737446581199</v>
      </c>
      <c r="M61" s="3">
        <f t="shared" si="4"/>
        <v>1.106949287997675</v>
      </c>
    </row>
    <row r="62" spans="1:13">
      <c r="A62" t="s">
        <v>915</v>
      </c>
      <c r="B62" s="3">
        <f>AVERAGE('FTE 계산'!W62,'FTE 계산'!AI62,'FTE 계산'!AU62)</f>
        <v>13.948715924668946</v>
      </c>
      <c r="C62" s="3">
        <f>AVERAGE('FTE 계산'!X62,'FTE 계산'!AJ62,'FTE 계산'!AV62)</f>
        <v>5.6657607105538146</v>
      </c>
      <c r="D62" s="3">
        <f>AVERAGE('FTE 계산'!Y62,'FTE 계산'!AK62,'FTE 계산'!AW62)</f>
        <v>4.7154310966810966</v>
      </c>
      <c r="E62" s="3">
        <f>AVERAGE('FTE 계산'!Z62,'FTE 계산'!AL62,'FTE 계산'!AX62)</f>
        <v>3.388025210084034</v>
      </c>
      <c r="F62">
        <f>_xlfn.XLOOKUP($A62,Sheet3!$A:$A,Sheet3!K:K)</f>
        <v>11</v>
      </c>
      <c r="G62">
        <f>_xlfn.XLOOKUP($A62,Sheet3!$A:$A,Sheet3!L:L)</f>
        <v>4</v>
      </c>
      <c r="H62">
        <f>_xlfn.XLOOKUP($A62,Sheet3!$A:$A,Sheet3!M:M)</f>
        <v>4</v>
      </c>
      <c r="I62">
        <f>_xlfn.XLOOKUP($A62,Sheet3!$A:$A,Sheet3!N:N)</f>
        <v>2</v>
      </c>
      <c r="J62" s="3">
        <f t="shared" si="1"/>
        <v>1.2680650840608132</v>
      </c>
      <c r="K62" s="3">
        <f t="shared" si="2"/>
        <v>1.4164401776384536</v>
      </c>
      <c r="L62" s="3">
        <f t="shared" si="3"/>
        <v>1.1788577741702742</v>
      </c>
      <c r="M62" s="3">
        <f t="shared" si="4"/>
        <v>1.694012605042017</v>
      </c>
    </row>
    <row r="63" spans="1:13">
      <c r="A63" t="s">
        <v>933</v>
      </c>
      <c r="B63" s="3">
        <f>AVERAGE('FTE 계산'!W63,'FTE 계산'!AI63,'FTE 계산'!AU63)</f>
        <v>8.6441668713665774</v>
      </c>
      <c r="C63" s="3" t="e">
        <f>AVERAGE('FTE 계산'!X63,'FTE 계산'!AJ63,'FTE 계산'!AV63)</f>
        <v>#DIV/0!</v>
      </c>
      <c r="D63" s="3">
        <f>AVERAGE('FTE 계산'!Y63,'FTE 계산'!AK63,'FTE 계산'!AW63)</f>
        <v>5.2135168057748702</v>
      </c>
      <c r="E63" s="3">
        <f>AVERAGE('FTE 계산'!Z63,'FTE 계산'!AL63,'FTE 계산'!AX63)</f>
        <v>3.4337366012662187</v>
      </c>
      <c r="F63">
        <f>_xlfn.XLOOKUP($A63,Sheet3!$A:$A,Sheet3!K:K)</f>
        <v>7</v>
      </c>
      <c r="G63">
        <f>_xlfn.XLOOKUP($A63,Sheet3!$A:$A,Sheet3!L:L)</f>
        <v>0</v>
      </c>
      <c r="H63">
        <f>_xlfn.XLOOKUP($A63,Sheet3!$A:$A,Sheet3!M:M)</f>
        <v>4</v>
      </c>
      <c r="I63">
        <f>_xlfn.XLOOKUP($A63,Sheet3!$A:$A,Sheet3!N:N)</f>
        <v>3</v>
      </c>
      <c r="J63" s="3">
        <f t="shared" si="1"/>
        <v>1.2348809816237967</v>
      </c>
      <c r="K63" s="3" t="e">
        <f t="shared" si="2"/>
        <v>#DIV/0!</v>
      </c>
      <c r="L63" s="3">
        <f t="shared" si="3"/>
        <v>1.3033792014437175</v>
      </c>
      <c r="M63" s="3">
        <f t="shared" si="4"/>
        <v>1.1445788670887396</v>
      </c>
    </row>
    <row r="64" spans="1:13">
      <c r="A64" t="s">
        <v>950</v>
      </c>
      <c r="B64" s="3">
        <f>AVERAGE('FTE 계산'!W64,'FTE 계산'!AI64,'FTE 계산'!AU64)</f>
        <v>4.5504901960784316</v>
      </c>
      <c r="C64" s="3">
        <f>AVERAGE('FTE 계산'!X64,'FTE 계산'!AJ64,'FTE 계산'!AV64)</f>
        <v>2.3856060606060607</v>
      </c>
      <c r="D64" s="3">
        <f>AVERAGE('FTE 계산'!Y64,'FTE 계산'!AK64,'FTE 계산'!AW64)</f>
        <v>1.0384356725146198</v>
      </c>
      <c r="E64" s="3">
        <f>AVERAGE('FTE 계산'!Z64,'FTE 계산'!AL64,'FTE 계산'!AX64)</f>
        <v>1.1361694677871148</v>
      </c>
      <c r="F64">
        <f>_xlfn.XLOOKUP($A64,Sheet3!$A:$A,Sheet3!K:K)</f>
        <v>4</v>
      </c>
      <c r="G64">
        <f>_xlfn.XLOOKUP($A64,Sheet3!$A:$A,Sheet3!L:L)</f>
        <v>2</v>
      </c>
      <c r="H64">
        <f>_xlfn.XLOOKUP($A64,Sheet3!$A:$A,Sheet3!M:M)</f>
        <v>1</v>
      </c>
      <c r="I64">
        <f>_xlfn.XLOOKUP($A64,Sheet3!$A:$A,Sheet3!N:N)</f>
        <v>1</v>
      </c>
      <c r="J64" s="3">
        <f t="shared" si="1"/>
        <v>1.1376225490196079</v>
      </c>
      <c r="K64" s="3">
        <f t="shared" si="2"/>
        <v>1.1928030303030304</v>
      </c>
      <c r="L64" s="3">
        <f t="shared" si="3"/>
        <v>1.0384356725146198</v>
      </c>
      <c r="M64" s="3">
        <f t="shared" si="4"/>
        <v>1.1361694677871148</v>
      </c>
    </row>
    <row r="65" spans="1:13">
      <c r="A65" t="s">
        <v>961</v>
      </c>
      <c r="B65" s="3">
        <f>AVERAGE('FTE 계산'!W65,'FTE 계산'!AI65,'FTE 계산'!AU65)</f>
        <v>1.1450280112044819</v>
      </c>
      <c r="C65" s="3">
        <f>AVERAGE('FTE 계산'!X65,'FTE 계산'!AJ65,'FTE 계산'!AV65)</f>
        <v>1.1450280112044819</v>
      </c>
      <c r="D65" s="3" t="e">
        <f>AVERAGE('FTE 계산'!Y65,'FTE 계산'!AK65,'FTE 계산'!AW65)</f>
        <v>#DIV/0!</v>
      </c>
      <c r="E65" s="3" t="e">
        <f>AVERAGE('FTE 계산'!Z65,'FTE 계산'!AL65,'FTE 계산'!AX65)</f>
        <v>#DIV/0!</v>
      </c>
      <c r="F65">
        <f>_xlfn.XLOOKUP($A65,Sheet3!$A:$A,Sheet3!K:K)</f>
        <v>1</v>
      </c>
      <c r="G65">
        <f>_xlfn.XLOOKUP($A65,Sheet3!$A:$A,Sheet3!L:L)</f>
        <v>1</v>
      </c>
      <c r="H65">
        <f>_xlfn.XLOOKUP($A65,Sheet3!$A:$A,Sheet3!M:M)</f>
        <v>0</v>
      </c>
      <c r="I65">
        <f>_xlfn.XLOOKUP($A65,Sheet3!$A:$A,Sheet3!N:N)</f>
        <v>0</v>
      </c>
      <c r="J65" s="3">
        <f t="shared" si="1"/>
        <v>1.1450280112044819</v>
      </c>
      <c r="K65" s="3">
        <f t="shared" si="2"/>
        <v>1.1450280112044819</v>
      </c>
      <c r="L65" s="3" t="e">
        <f t="shared" si="3"/>
        <v>#DIV/0!</v>
      </c>
      <c r="M65" s="3" t="e">
        <f t="shared" si="4"/>
        <v>#DIV/0!</v>
      </c>
    </row>
    <row r="66" spans="1:13">
      <c r="A66" t="s">
        <v>964</v>
      </c>
      <c r="B66" s="3">
        <f>AVERAGE('FTE 계산'!W66,'FTE 계산'!AI66,'FTE 계산'!AU66)</f>
        <v>5.6364138420225975</v>
      </c>
      <c r="C66" s="3">
        <f>AVERAGE('FTE 계산'!X66,'FTE 계산'!AJ66,'FTE 계산'!AV66)</f>
        <v>1.125</v>
      </c>
      <c r="D66" s="3">
        <f>AVERAGE('FTE 계산'!Y66,'FTE 계산'!AK66,'FTE 계산'!AW66)</f>
        <v>1.091869212962963</v>
      </c>
      <c r="E66" s="3">
        <f>AVERAGE('FTE 계산'!Z66,'FTE 계산'!AL66,'FTE 계산'!AX66)</f>
        <v>3.5163785689714486</v>
      </c>
      <c r="F66">
        <f>_xlfn.XLOOKUP($A66,Sheet3!$A:$A,Sheet3!K:K)</f>
        <v>5</v>
      </c>
      <c r="G66">
        <f>_xlfn.XLOOKUP($A66,Sheet3!$A:$A,Sheet3!L:L)</f>
        <v>1</v>
      </c>
      <c r="H66">
        <f>_xlfn.XLOOKUP($A66,Sheet3!$A:$A,Sheet3!M:M)</f>
        <v>1</v>
      </c>
      <c r="I66">
        <f>_xlfn.XLOOKUP($A66,Sheet3!$A:$A,Sheet3!N:N)</f>
        <v>2</v>
      </c>
      <c r="J66" s="3">
        <f t="shared" si="1"/>
        <v>1.1272827684045195</v>
      </c>
      <c r="K66" s="3">
        <f t="shared" si="2"/>
        <v>1.125</v>
      </c>
      <c r="L66" s="3">
        <f t="shared" si="3"/>
        <v>1.091869212962963</v>
      </c>
      <c r="M66" s="3">
        <f t="shared" si="4"/>
        <v>1.7581892844857243</v>
      </c>
    </row>
    <row r="67" spans="1:13">
      <c r="A67" t="s">
        <v>970</v>
      </c>
      <c r="B67" s="3">
        <f>AVERAGE('FTE 계산'!W67,'FTE 계산'!AI67,'FTE 계산'!AU67)</f>
        <v>5.8033795101112551</v>
      </c>
      <c r="C67" s="3" t="e">
        <f>AVERAGE('FTE 계산'!X67,'FTE 계산'!AJ67,'FTE 계산'!AV67)</f>
        <v>#DIV/0!</v>
      </c>
      <c r="D67" s="3">
        <f>AVERAGE('FTE 계산'!Y67,'FTE 계산'!AK67,'FTE 계산'!AW67)</f>
        <v>2.3770204428218538</v>
      </c>
      <c r="E67" s="3">
        <f>AVERAGE('FTE 계산'!Z67,'FTE 계산'!AL67,'FTE 계산'!AX67)</f>
        <v>3.3484405458089674</v>
      </c>
      <c r="F67">
        <f>_xlfn.XLOOKUP($A67,Sheet3!$A:$A,Sheet3!K:K)</f>
        <v>5</v>
      </c>
      <c r="G67">
        <f>_xlfn.XLOOKUP($A67,Sheet3!$A:$A,Sheet3!L:L)</f>
        <v>0</v>
      </c>
      <c r="H67">
        <f>_xlfn.XLOOKUP($A67,Sheet3!$A:$A,Sheet3!M:M)</f>
        <v>2</v>
      </c>
      <c r="I67">
        <f>_xlfn.XLOOKUP($A67,Sheet3!$A:$A,Sheet3!N:N)</f>
        <v>1</v>
      </c>
      <c r="J67" s="3">
        <f t="shared" si="1"/>
        <v>1.160675902022251</v>
      </c>
      <c r="K67" s="3" t="e">
        <f t="shared" si="2"/>
        <v>#DIV/0!</v>
      </c>
      <c r="L67" s="3">
        <f t="shared" si="3"/>
        <v>1.1885102214109269</v>
      </c>
      <c r="M67" s="3">
        <f t="shared" si="4"/>
        <v>3.3484405458089674</v>
      </c>
    </row>
    <row r="68" spans="1:13">
      <c r="A68" t="s">
        <v>978</v>
      </c>
      <c r="B68" s="3">
        <f>AVERAGE('FTE 계산'!W68,'FTE 계산'!AI68,'FTE 계산'!AU68)</f>
        <v>6.6523176965638138</v>
      </c>
      <c r="C68" s="3">
        <f>AVERAGE('FTE 계산'!X68,'FTE 계산'!AJ68,'FTE 계산'!AV68)</f>
        <v>1.255811403508772</v>
      </c>
      <c r="D68" s="3">
        <f>AVERAGE('FTE 계산'!Y68,'FTE 계산'!AK68,'FTE 계산'!AW68)</f>
        <v>5.4183115909431701</v>
      </c>
      <c r="E68" s="3" t="e">
        <f>AVERAGE('FTE 계산'!Z68,'FTE 계산'!AL68,'FTE 계산'!AX68)</f>
        <v>#DIV/0!</v>
      </c>
      <c r="F68">
        <f>_xlfn.XLOOKUP($A68,Sheet3!$A:$A,Sheet3!K:K)</f>
        <v>6</v>
      </c>
      <c r="G68">
        <f>_xlfn.XLOOKUP($A68,Sheet3!$A:$A,Sheet3!L:L)</f>
        <v>1</v>
      </c>
      <c r="H68">
        <f>_xlfn.XLOOKUP($A68,Sheet3!$A:$A,Sheet3!M:M)</f>
        <v>5</v>
      </c>
      <c r="I68">
        <f>_xlfn.XLOOKUP($A68,Sheet3!$A:$A,Sheet3!N:N)</f>
        <v>0</v>
      </c>
      <c r="J68" s="3">
        <f t="shared" ref="J68:J77" si="5">B68/F68</f>
        <v>1.108719616093969</v>
      </c>
      <c r="K68" s="3">
        <f t="shared" ref="K68:K77" si="6">C68/G68</f>
        <v>1.255811403508772</v>
      </c>
      <c r="L68" s="3">
        <f t="shared" ref="L68:L77" si="7">D68/H68</f>
        <v>1.083662318188634</v>
      </c>
      <c r="M68" s="3" t="e">
        <f t="shared" ref="M68:M77" si="8">E68/I68</f>
        <v>#DIV/0!</v>
      </c>
    </row>
    <row r="69" spans="1:13">
      <c r="A69" t="s">
        <v>981</v>
      </c>
      <c r="B69" s="3">
        <f>AVERAGE('FTE 계산'!W69,'FTE 계산'!AI69,'FTE 계산'!AU69)</f>
        <v>3.7371736230226795</v>
      </c>
      <c r="C69" s="3" t="e">
        <f>AVERAGE('FTE 계산'!X69,'FTE 계산'!AJ69,'FTE 계산'!AV69)</f>
        <v>#DIV/0!</v>
      </c>
      <c r="D69" s="3">
        <f>AVERAGE('FTE 계산'!Y69,'FTE 계산'!AK69,'FTE 계산'!AW69)</f>
        <v>2.6119708994708994</v>
      </c>
      <c r="E69" s="3">
        <f>AVERAGE('FTE 계산'!Z69,'FTE 계산'!AL69,'FTE 계산'!AX69)</f>
        <v>1.1277314814814814</v>
      </c>
      <c r="F69">
        <f>_xlfn.XLOOKUP($A69,Sheet3!$A:$A,Sheet3!K:K)</f>
        <v>4</v>
      </c>
      <c r="G69">
        <f>_xlfn.XLOOKUP($A69,Sheet3!$A:$A,Sheet3!L:L)</f>
        <v>1</v>
      </c>
      <c r="H69">
        <f>_xlfn.XLOOKUP($A69,Sheet3!$A:$A,Sheet3!M:M)</f>
        <v>2</v>
      </c>
      <c r="I69">
        <f>_xlfn.XLOOKUP($A69,Sheet3!$A:$A,Sheet3!N:N)</f>
        <v>1</v>
      </c>
      <c r="J69" s="3">
        <f t="shared" si="5"/>
        <v>0.93429340575566988</v>
      </c>
      <c r="K69" s="3" t="e">
        <f t="shared" si="6"/>
        <v>#DIV/0!</v>
      </c>
      <c r="L69" s="3">
        <f t="shared" si="7"/>
        <v>1.3059854497354497</v>
      </c>
      <c r="M69" s="3">
        <f t="shared" si="8"/>
        <v>1.1277314814814814</v>
      </c>
    </row>
    <row r="70" spans="1:13">
      <c r="A70" t="s">
        <v>1013</v>
      </c>
      <c r="B70" s="3">
        <f>AVERAGE('FTE 계산'!W70,'FTE 계산'!AI70,'FTE 계산'!AU70)</f>
        <v>4.173233321050664</v>
      </c>
      <c r="C70" s="3">
        <f>AVERAGE('FTE 계산'!X70,'FTE 계산'!AJ70,'FTE 계산'!AV70)</f>
        <v>1.0615407107512371</v>
      </c>
      <c r="D70" s="3">
        <f>AVERAGE('FTE 계산'!Y70,'FTE 계산'!AK70,'FTE 계산'!AW70)</f>
        <v>2.207810629514964</v>
      </c>
      <c r="E70" s="3" t="e">
        <f>AVERAGE('FTE 계산'!Z70,'FTE 계산'!AL70,'FTE 계산'!AX70)</f>
        <v>#DIV/0!</v>
      </c>
      <c r="F70">
        <f>_xlfn.XLOOKUP($A70,Sheet3!$A:$A,Sheet3!K:K)</f>
        <v>3</v>
      </c>
      <c r="G70">
        <f>_xlfn.XLOOKUP($A70,Sheet3!$A:$A,Sheet3!L:L)</f>
        <v>1</v>
      </c>
      <c r="H70">
        <f>_xlfn.XLOOKUP($A70,Sheet3!$A:$A,Sheet3!M:M)</f>
        <v>2</v>
      </c>
      <c r="I70">
        <f>_xlfn.XLOOKUP($A70,Sheet3!$A:$A,Sheet3!N:N)</f>
        <v>0</v>
      </c>
      <c r="J70" s="3">
        <f t="shared" si="5"/>
        <v>1.3910777736835547</v>
      </c>
      <c r="K70" s="3">
        <f t="shared" si="6"/>
        <v>1.0615407107512371</v>
      </c>
      <c r="L70" s="3">
        <f t="shared" si="7"/>
        <v>1.103905314757482</v>
      </c>
      <c r="M70" s="3" t="e">
        <f t="shared" si="8"/>
        <v>#DIV/0!</v>
      </c>
    </row>
    <row r="71" spans="1:13">
      <c r="A71" t="s">
        <v>1032</v>
      </c>
      <c r="B71" s="3">
        <f>AVERAGE('FTE 계산'!W71,'FTE 계산'!AI71,'FTE 계산'!AU71)</f>
        <v>2.3747090591918183</v>
      </c>
      <c r="C71" s="3">
        <f>AVERAGE('FTE 계산'!X71,'FTE 계산'!AJ71,'FTE 계산'!AV71)</f>
        <v>2.3747090591918183</v>
      </c>
      <c r="D71" s="3" t="e">
        <f>AVERAGE('FTE 계산'!Y71,'FTE 계산'!AK71,'FTE 계산'!AW71)</f>
        <v>#DIV/0!</v>
      </c>
      <c r="E71" s="3" t="e">
        <f>AVERAGE('FTE 계산'!Z71,'FTE 계산'!AL71,'FTE 계산'!AX71)</f>
        <v>#DIV/0!</v>
      </c>
      <c r="F71">
        <f>_xlfn.XLOOKUP($A71,Sheet3!$A:$A,Sheet3!K:K)</f>
        <v>4</v>
      </c>
      <c r="G71">
        <f>_xlfn.XLOOKUP($A71,Sheet3!$A:$A,Sheet3!L:L)</f>
        <v>3</v>
      </c>
      <c r="H71">
        <f>_xlfn.XLOOKUP($A71,Sheet3!$A:$A,Sheet3!M:M)</f>
        <v>0</v>
      </c>
      <c r="I71">
        <f>_xlfn.XLOOKUP($A71,Sheet3!$A:$A,Sheet3!N:N)</f>
        <v>1</v>
      </c>
      <c r="J71" s="3">
        <f t="shared" si="5"/>
        <v>0.59367726479795457</v>
      </c>
      <c r="K71" s="3">
        <f t="shared" si="6"/>
        <v>0.79156968639727276</v>
      </c>
      <c r="L71" s="3" t="e">
        <f t="shared" si="7"/>
        <v>#DIV/0!</v>
      </c>
      <c r="M71" s="3" t="e">
        <f t="shared" si="8"/>
        <v>#DIV/0!</v>
      </c>
    </row>
    <row r="72" spans="1:13">
      <c r="A72" t="s">
        <v>1044</v>
      </c>
      <c r="B72" s="3">
        <f>AVERAGE('FTE 계산'!W72,'FTE 계산'!AI72,'FTE 계산'!AU72)</f>
        <v>2.1436149691358022</v>
      </c>
      <c r="C72" s="3">
        <f>AVERAGE('FTE 계산'!X72,'FTE 계산'!AJ72,'FTE 계산'!AV72)</f>
        <v>0.91591435185185188</v>
      </c>
      <c r="D72" s="3">
        <f>AVERAGE('FTE 계산'!Y72,'FTE 계산'!AK72,'FTE 계산'!AW72)</f>
        <v>1.1973214285714286</v>
      </c>
      <c r="E72" s="3" t="e">
        <f>AVERAGE('FTE 계산'!Z72,'FTE 계산'!AL72,'FTE 계산'!AX72)</f>
        <v>#DIV/0!</v>
      </c>
      <c r="F72">
        <f>_xlfn.XLOOKUP($A72,Sheet3!$A:$A,Sheet3!K:K)</f>
        <v>2</v>
      </c>
      <c r="G72">
        <f>_xlfn.XLOOKUP($A72,Sheet3!$A:$A,Sheet3!L:L)</f>
        <v>1</v>
      </c>
      <c r="H72">
        <f>_xlfn.XLOOKUP($A72,Sheet3!$A:$A,Sheet3!M:M)</f>
        <v>1</v>
      </c>
      <c r="I72">
        <f>_xlfn.XLOOKUP($A72,Sheet3!$A:$A,Sheet3!N:N)</f>
        <v>0</v>
      </c>
      <c r="J72" s="3">
        <f t="shared" si="5"/>
        <v>1.0718074845679011</v>
      </c>
      <c r="K72" s="3">
        <f t="shared" si="6"/>
        <v>0.91591435185185188</v>
      </c>
      <c r="L72" s="3">
        <f t="shared" si="7"/>
        <v>1.1973214285714286</v>
      </c>
      <c r="M72" s="3" t="e">
        <f t="shared" si="8"/>
        <v>#DIV/0!</v>
      </c>
    </row>
    <row r="73" spans="1:13">
      <c r="A73" t="s">
        <v>1057</v>
      </c>
      <c r="B73" s="3">
        <f>AVERAGE('FTE 계산'!W73,'FTE 계산'!AI73,'FTE 계산'!AU73)</f>
        <v>3.332699494271393</v>
      </c>
      <c r="C73" s="3" t="e">
        <f>AVERAGE('FTE 계산'!X73,'FTE 계산'!AJ73,'FTE 계산'!AV73)</f>
        <v>#DIV/0!</v>
      </c>
      <c r="D73" s="3">
        <f>AVERAGE('FTE 계산'!Y73,'FTE 계산'!AK73,'FTE 계산'!AW73)</f>
        <v>2.2423028291449341</v>
      </c>
      <c r="E73" s="3">
        <f>AVERAGE('FTE 계산'!Z73,'FTE 계산'!AL73,'FTE 계산'!AX73)</f>
        <v>1.0910361842105265</v>
      </c>
      <c r="F73">
        <f>_xlfn.XLOOKUP($A73,Sheet3!$A:$A,Sheet3!K:K)</f>
        <v>4</v>
      </c>
      <c r="G73">
        <f>_xlfn.XLOOKUP($A73,Sheet3!$A:$A,Sheet3!L:L)</f>
        <v>0</v>
      </c>
      <c r="H73">
        <f>_xlfn.XLOOKUP($A73,Sheet3!$A:$A,Sheet3!M:M)</f>
        <v>3</v>
      </c>
      <c r="I73">
        <f>_xlfn.XLOOKUP($A73,Sheet3!$A:$A,Sheet3!N:N)</f>
        <v>1</v>
      </c>
      <c r="J73" s="3">
        <f t="shared" si="5"/>
        <v>0.83317487356784825</v>
      </c>
      <c r="K73" s="3" t="e">
        <f t="shared" si="6"/>
        <v>#DIV/0!</v>
      </c>
      <c r="L73" s="3">
        <f t="shared" si="7"/>
        <v>0.74743427638164472</v>
      </c>
      <c r="M73" s="3">
        <f t="shared" si="8"/>
        <v>1.0910361842105265</v>
      </c>
    </row>
    <row r="74" spans="1:13">
      <c r="A74" t="s">
        <v>1069</v>
      </c>
      <c r="B74" s="3">
        <f>AVERAGE('FTE 계산'!W74,'FTE 계산'!AI74,'FTE 계산'!AU74)</f>
        <v>6.4939055141469204</v>
      </c>
      <c r="C74" s="3">
        <f>AVERAGE('FTE 계산'!X74,'FTE 계산'!AJ74,'FTE 계산'!AV74)</f>
        <v>2.0652904040404043</v>
      </c>
      <c r="D74" s="3">
        <f>AVERAGE('FTE 계산'!Y74,'FTE 계산'!AK74,'FTE 계산'!AW74)</f>
        <v>2.1480960648148151</v>
      </c>
      <c r="E74" s="3">
        <f>AVERAGE('FTE 계산'!Z74,'FTE 계산'!AL74,'FTE 계산'!AX74)</f>
        <v>2.2772988505747125</v>
      </c>
      <c r="F74">
        <f>_xlfn.XLOOKUP($A74,Sheet3!$A:$A,Sheet3!K:K)</f>
        <v>5</v>
      </c>
      <c r="G74">
        <f>_xlfn.XLOOKUP($A74,Sheet3!$A:$A,Sheet3!L:L)</f>
        <v>2</v>
      </c>
      <c r="H74">
        <f>_xlfn.XLOOKUP($A74,Sheet3!$A:$A,Sheet3!M:M)</f>
        <v>2</v>
      </c>
      <c r="I74">
        <f>_xlfn.XLOOKUP($A74,Sheet3!$A:$A,Sheet3!N:N)</f>
        <v>1</v>
      </c>
      <c r="J74" s="3">
        <f t="shared" si="5"/>
        <v>1.2987811028293841</v>
      </c>
      <c r="K74" s="3">
        <f t="shared" si="6"/>
        <v>1.0326452020202022</v>
      </c>
      <c r="L74" s="3">
        <f t="shared" si="7"/>
        <v>1.0740480324074075</v>
      </c>
      <c r="M74" s="3">
        <f t="shared" si="8"/>
        <v>2.2772988505747125</v>
      </c>
    </row>
    <row r="75" spans="1:13">
      <c r="A75" t="s">
        <v>1089</v>
      </c>
      <c r="B75" s="3">
        <f>AVERAGE('FTE 계산'!W75,'FTE 계산'!AI75,'FTE 계산'!AU75)</f>
        <v>5.691820354709475</v>
      </c>
      <c r="C75" s="3">
        <f>AVERAGE('FTE 계산'!X75,'FTE 계산'!AJ75,'FTE 계산'!AV75)</f>
        <v>2.29111768018018</v>
      </c>
      <c r="D75" s="3">
        <f>AVERAGE('FTE 계산'!Y75,'FTE 계산'!AK75,'FTE 계산'!AW75)</f>
        <v>3.4012222222222221</v>
      </c>
      <c r="E75" s="3" t="e">
        <f>AVERAGE('FTE 계산'!Z75,'FTE 계산'!AL75,'FTE 계산'!AX75)</f>
        <v>#DIV/0!</v>
      </c>
      <c r="F75">
        <f>_xlfn.XLOOKUP($A75,Sheet3!$A:$A,Sheet3!K:K)</f>
        <v>5</v>
      </c>
      <c r="G75">
        <f>_xlfn.XLOOKUP($A75,Sheet3!$A:$A,Sheet3!L:L)</f>
        <v>2</v>
      </c>
      <c r="H75">
        <f>_xlfn.XLOOKUP($A75,Sheet3!$A:$A,Sheet3!M:M)</f>
        <v>3</v>
      </c>
      <c r="I75">
        <f>_xlfn.XLOOKUP($A75,Sheet3!$A:$A,Sheet3!N:N)</f>
        <v>0</v>
      </c>
      <c r="J75" s="3">
        <f t="shared" si="5"/>
        <v>1.138364070941895</v>
      </c>
      <c r="K75" s="3">
        <f t="shared" si="6"/>
        <v>1.14555884009009</v>
      </c>
      <c r="L75" s="3">
        <f t="shared" si="7"/>
        <v>1.1337407407407407</v>
      </c>
      <c r="M75" s="3" t="e">
        <f t="shared" si="8"/>
        <v>#DIV/0!</v>
      </c>
    </row>
    <row r="76" spans="1:13">
      <c r="A76" s="2" t="s">
        <v>1108</v>
      </c>
      <c r="B76" s="3">
        <f>AVERAGE('FTE 계산'!W76,'FTE 계산'!AI76,'FTE 계산'!AU76)</f>
        <v>9.195341897590902</v>
      </c>
      <c r="C76" s="3">
        <f>AVERAGE('FTE 계산'!X76,'FTE 계산'!AJ76,'FTE 계산'!AV76)</f>
        <v>1.1633084831154685</v>
      </c>
      <c r="D76" s="3">
        <f>AVERAGE('FTE 계산'!Y76,'FTE 계산'!AK76,'FTE 계산'!AW76)</f>
        <v>4.4310898314969815</v>
      </c>
      <c r="E76" s="3">
        <f>AVERAGE('FTE 계산'!Z76,'FTE 계산'!AL76,'FTE 계산'!AX76)</f>
        <v>3.6379337532386313</v>
      </c>
      <c r="F76">
        <f>_xlfn.XLOOKUP($A76,Sheet3!$A:$A,Sheet3!K:K)</f>
        <v>8</v>
      </c>
      <c r="G76">
        <f>_xlfn.XLOOKUP($A76,Sheet3!$A:$A,Sheet3!L:L)</f>
        <v>1</v>
      </c>
      <c r="H76">
        <f>_xlfn.XLOOKUP($A76,Sheet3!$A:$A,Sheet3!M:M)</f>
        <v>4</v>
      </c>
      <c r="I76">
        <f>_xlfn.XLOOKUP($A76,Sheet3!$A:$A,Sheet3!N:N)</f>
        <v>2</v>
      </c>
      <c r="J76" s="3">
        <f t="shared" si="5"/>
        <v>1.1494177371988628</v>
      </c>
      <c r="K76" s="3">
        <f t="shared" si="6"/>
        <v>1.1633084831154685</v>
      </c>
      <c r="L76" s="3">
        <f t="shared" si="7"/>
        <v>1.1077724578742454</v>
      </c>
      <c r="M76" s="3">
        <f t="shared" si="8"/>
        <v>1.8189668766193157</v>
      </c>
    </row>
    <row r="77" spans="1:13">
      <c r="A77" t="s">
        <v>1144</v>
      </c>
      <c r="B77" s="3">
        <f>AVERAGE('FTE 계산'!W77,'FTE 계산'!AI77,'FTE 계산'!AU77)</f>
        <v>4.6809889331263923</v>
      </c>
      <c r="C77" s="3">
        <f>AVERAGE('FTE 계산'!X77,'FTE 계산'!AJ77,'FTE 계산'!AV77)</f>
        <v>2.3659812999273782</v>
      </c>
      <c r="D77" s="3" t="e">
        <f>AVERAGE('FTE 계산'!Y77,'FTE 계산'!AK77,'FTE 계산'!AW77)</f>
        <v>#DIV/0!</v>
      </c>
      <c r="E77" s="3">
        <f>AVERAGE('FTE 계산'!Z77,'FTE 계산'!AL77,'FTE 계산'!AX77)</f>
        <v>2.3169510236042492</v>
      </c>
      <c r="F77">
        <f>_xlfn.XLOOKUP($A77,Sheet3!$A:$A,Sheet3!K:K)</f>
        <v>4</v>
      </c>
      <c r="G77">
        <f>_xlfn.XLOOKUP($A77,Sheet3!$A:$A,Sheet3!L:L)</f>
        <v>2</v>
      </c>
      <c r="H77">
        <f>_xlfn.XLOOKUP($A77,Sheet3!$A:$A,Sheet3!M:M)</f>
        <v>0</v>
      </c>
      <c r="I77">
        <f>_xlfn.XLOOKUP($A77,Sheet3!$A:$A,Sheet3!N:N)</f>
        <v>2</v>
      </c>
      <c r="J77" s="3">
        <f t="shared" si="5"/>
        <v>1.1702472332815981</v>
      </c>
      <c r="K77" s="3">
        <f t="shared" si="6"/>
        <v>1.1829906499636891</v>
      </c>
      <c r="L77" s="3" t="e">
        <f t="shared" si="7"/>
        <v>#DIV/0!</v>
      </c>
      <c r="M77" s="3">
        <f t="shared" si="8"/>
        <v>1.1584755118021246</v>
      </c>
    </row>
  </sheetData>
  <mergeCells count="3">
    <mergeCell ref="B1:E1"/>
    <mergeCell ref="F1:I1"/>
    <mergeCell ref="J1:M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928-6FF4-4B1C-B7CC-94E39E07176B}">
  <dimension ref="A1:O1447"/>
  <sheetViews>
    <sheetView workbookViewId="0">
      <selection activeCell="Q7" sqref="Q7"/>
    </sheetView>
  </sheetViews>
  <sheetFormatPr baseColWidth="10" defaultColWidth="8.83203125" defaultRowHeight="17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1199158</v>
      </c>
      <c r="B2" t="s">
        <v>15</v>
      </c>
      <c r="C2" t="s">
        <v>16</v>
      </c>
      <c r="D2" t="s">
        <v>17</v>
      </c>
      <c r="E2">
        <v>2025</v>
      </c>
      <c r="F2">
        <v>6</v>
      </c>
      <c r="G2">
        <v>30</v>
      </c>
      <c r="H2">
        <v>8053</v>
      </c>
      <c r="I2">
        <v>0</v>
      </c>
      <c r="J2">
        <v>9</v>
      </c>
      <c r="K2">
        <v>134.19999999999999</v>
      </c>
      <c r="L2">
        <v>0</v>
      </c>
      <c r="M2">
        <v>4.5</v>
      </c>
      <c r="N2">
        <v>168</v>
      </c>
      <c r="O2">
        <v>-33.799999999999997</v>
      </c>
    </row>
    <row r="3" spans="1:15">
      <c r="A3">
        <v>1199158</v>
      </c>
      <c r="B3" t="s">
        <v>15</v>
      </c>
      <c r="C3" t="s">
        <v>16</v>
      </c>
      <c r="D3" t="s">
        <v>17</v>
      </c>
      <c r="E3">
        <v>2025</v>
      </c>
      <c r="F3">
        <v>7</v>
      </c>
      <c r="G3">
        <v>31</v>
      </c>
      <c r="H3">
        <v>7095</v>
      </c>
      <c r="I3">
        <v>0</v>
      </c>
      <c r="J3">
        <v>8</v>
      </c>
      <c r="K3">
        <v>118.2</v>
      </c>
      <c r="L3">
        <v>0</v>
      </c>
      <c r="M3">
        <v>3.8</v>
      </c>
      <c r="N3">
        <v>184</v>
      </c>
      <c r="O3">
        <v>-65.8</v>
      </c>
    </row>
    <row r="4" spans="1:15">
      <c r="A4">
        <v>1199158</v>
      </c>
      <c r="B4" t="s">
        <v>15</v>
      </c>
      <c r="C4" t="s">
        <v>16</v>
      </c>
      <c r="D4" t="s">
        <v>17</v>
      </c>
      <c r="E4">
        <v>2025</v>
      </c>
      <c r="F4">
        <v>8</v>
      </c>
      <c r="G4">
        <v>22</v>
      </c>
      <c r="H4">
        <v>4949</v>
      </c>
      <c r="I4">
        <v>0</v>
      </c>
      <c r="J4">
        <v>5</v>
      </c>
      <c r="K4">
        <v>82.5</v>
      </c>
      <c r="L4">
        <v>0</v>
      </c>
      <c r="M4">
        <v>3.8</v>
      </c>
      <c r="N4">
        <v>136</v>
      </c>
      <c r="O4">
        <v>-53.5</v>
      </c>
    </row>
    <row r="5" spans="1:15">
      <c r="A5">
        <v>1202155</v>
      </c>
      <c r="B5" t="s">
        <v>18</v>
      </c>
      <c r="C5" t="s">
        <v>19</v>
      </c>
      <c r="D5" t="s">
        <v>20</v>
      </c>
      <c r="E5">
        <v>2025</v>
      </c>
      <c r="F5">
        <v>6</v>
      </c>
      <c r="G5">
        <v>1</v>
      </c>
      <c r="H5">
        <v>207</v>
      </c>
      <c r="I5">
        <v>0</v>
      </c>
      <c r="J5">
        <v>0</v>
      </c>
      <c r="K5">
        <v>3.4</v>
      </c>
      <c r="L5">
        <v>0</v>
      </c>
      <c r="M5">
        <v>3.4</v>
      </c>
      <c r="N5">
        <v>8</v>
      </c>
      <c r="O5">
        <v>-4.5999999999999996</v>
      </c>
    </row>
    <row r="6" spans="1:15">
      <c r="A6">
        <v>1202183</v>
      </c>
      <c r="B6" t="s">
        <v>21</v>
      </c>
      <c r="C6" t="s">
        <v>22</v>
      </c>
      <c r="D6" t="s">
        <v>20</v>
      </c>
      <c r="E6">
        <v>2025</v>
      </c>
      <c r="F6">
        <v>6</v>
      </c>
      <c r="G6">
        <v>20</v>
      </c>
      <c r="H6">
        <v>10677</v>
      </c>
      <c r="I6">
        <v>0</v>
      </c>
      <c r="J6">
        <v>1</v>
      </c>
      <c r="K6">
        <v>178</v>
      </c>
      <c r="L6">
        <v>0</v>
      </c>
      <c r="M6">
        <v>8.9</v>
      </c>
      <c r="N6">
        <v>152</v>
      </c>
      <c r="O6">
        <v>26</v>
      </c>
    </row>
    <row r="7" spans="1:15">
      <c r="A7">
        <v>1202183</v>
      </c>
      <c r="B7" t="s">
        <v>21</v>
      </c>
      <c r="C7" t="s">
        <v>22</v>
      </c>
      <c r="D7" t="s">
        <v>20</v>
      </c>
      <c r="E7">
        <v>2025</v>
      </c>
      <c r="F7">
        <v>7</v>
      </c>
      <c r="G7">
        <v>20</v>
      </c>
      <c r="H7">
        <v>10409</v>
      </c>
      <c r="I7">
        <v>0</v>
      </c>
      <c r="J7">
        <v>0</v>
      </c>
      <c r="K7">
        <v>173.5</v>
      </c>
      <c r="L7">
        <v>0</v>
      </c>
      <c r="M7">
        <v>8.6999999999999993</v>
      </c>
      <c r="N7">
        <v>160</v>
      </c>
      <c r="O7">
        <v>13.5</v>
      </c>
    </row>
    <row r="8" spans="1:15">
      <c r="A8">
        <v>1202183</v>
      </c>
      <c r="B8" t="s">
        <v>21</v>
      </c>
      <c r="C8" t="s">
        <v>22</v>
      </c>
      <c r="D8" t="s">
        <v>20</v>
      </c>
      <c r="E8">
        <v>2025</v>
      </c>
      <c r="F8">
        <v>8</v>
      </c>
      <c r="G8">
        <v>17</v>
      </c>
      <c r="H8">
        <v>8607</v>
      </c>
      <c r="I8">
        <v>0</v>
      </c>
      <c r="J8">
        <v>1</v>
      </c>
      <c r="K8">
        <v>143.4</v>
      </c>
      <c r="L8">
        <v>0</v>
      </c>
      <c r="M8">
        <v>8.4</v>
      </c>
      <c r="N8">
        <v>128</v>
      </c>
      <c r="O8" s="1" t="s">
        <v>23</v>
      </c>
    </row>
    <row r="9" spans="1:15">
      <c r="A9">
        <v>1203036</v>
      </c>
      <c r="B9" t="s">
        <v>24</v>
      </c>
      <c r="C9" t="s">
        <v>16</v>
      </c>
      <c r="D9" t="s">
        <v>20</v>
      </c>
      <c r="E9">
        <v>2025</v>
      </c>
      <c r="F9">
        <v>6</v>
      </c>
      <c r="G9">
        <v>18</v>
      </c>
      <c r="H9">
        <v>9663</v>
      </c>
      <c r="I9">
        <v>0</v>
      </c>
      <c r="J9">
        <v>0</v>
      </c>
      <c r="K9">
        <v>161</v>
      </c>
      <c r="L9">
        <v>0</v>
      </c>
      <c r="M9">
        <v>8.9</v>
      </c>
      <c r="N9">
        <v>144</v>
      </c>
      <c r="O9">
        <v>17</v>
      </c>
    </row>
    <row r="10" spans="1:15">
      <c r="A10">
        <v>1203036</v>
      </c>
      <c r="B10" t="s">
        <v>24</v>
      </c>
      <c r="C10" t="s">
        <v>16</v>
      </c>
      <c r="D10" t="s">
        <v>20</v>
      </c>
      <c r="E10">
        <v>2025</v>
      </c>
      <c r="F10">
        <v>7</v>
      </c>
      <c r="G10">
        <v>19</v>
      </c>
      <c r="H10">
        <v>10298</v>
      </c>
      <c r="I10">
        <v>0</v>
      </c>
      <c r="J10">
        <v>0</v>
      </c>
      <c r="K10">
        <v>171.6</v>
      </c>
      <c r="L10">
        <v>0</v>
      </c>
      <c r="M10">
        <v>9</v>
      </c>
      <c r="N10">
        <v>152</v>
      </c>
      <c r="O10" s="1" t="s">
        <v>25</v>
      </c>
    </row>
    <row r="11" spans="1:15">
      <c r="A11">
        <v>1203036</v>
      </c>
      <c r="B11" t="s">
        <v>24</v>
      </c>
      <c r="C11" t="s">
        <v>16</v>
      </c>
      <c r="D11" t="s">
        <v>20</v>
      </c>
      <c r="E11">
        <v>2025</v>
      </c>
      <c r="F11">
        <v>8</v>
      </c>
      <c r="G11">
        <v>14</v>
      </c>
      <c r="H11">
        <v>7532</v>
      </c>
      <c r="I11">
        <v>0</v>
      </c>
      <c r="J11">
        <v>0</v>
      </c>
      <c r="K11">
        <v>125.5</v>
      </c>
      <c r="L11">
        <v>0</v>
      </c>
      <c r="M11">
        <v>9</v>
      </c>
      <c r="N11">
        <v>112</v>
      </c>
      <c r="O11">
        <v>13.5</v>
      </c>
    </row>
    <row r="12" spans="1:15">
      <c r="A12">
        <v>1203052</v>
      </c>
      <c r="B12" t="s">
        <v>26</v>
      </c>
      <c r="C12" t="s">
        <v>27</v>
      </c>
      <c r="D12" t="s">
        <v>20</v>
      </c>
      <c r="E12">
        <v>2025</v>
      </c>
      <c r="F12">
        <v>6</v>
      </c>
      <c r="G12">
        <v>17</v>
      </c>
      <c r="H12">
        <v>10472</v>
      </c>
      <c r="I12">
        <v>1160</v>
      </c>
      <c r="J12">
        <v>0</v>
      </c>
      <c r="K12">
        <v>174.5</v>
      </c>
      <c r="L12">
        <v>19.3</v>
      </c>
      <c r="M12">
        <v>10.3</v>
      </c>
      <c r="N12">
        <v>136</v>
      </c>
      <c r="O12">
        <v>38.5</v>
      </c>
    </row>
    <row r="13" spans="1:15">
      <c r="A13">
        <v>1203052</v>
      </c>
      <c r="B13" t="s">
        <v>26</v>
      </c>
      <c r="C13" t="s">
        <v>27</v>
      </c>
      <c r="D13" t="s">
        <v>20</v>
      </c>
      <c r="E13">
        <v>2025</v>
      </c>
      <c r="F13">
        <v>7</v>
      </c>
      <c r="G13">
        <v>19</v>
      </c>
      <c r="H13">
        <v>11600</v>
      </c>
      <c r="I13">
        <v>1221</v>
      </c>
      <c r="J13">
        <v>0</v>
      </c>
      <c r="K13">
        <v>193.3</v>
      </c>
      <c r="L13">
        <v>20.399999999999999</v>
      </c>
      <c r="M13">
        <v>10.199999999999999</v>
      </c>
      <c r="N13">
        <v>152</v>
      </c>
      <c r="O13" s="1" t="s">
        <v>28</v>
      </c>
    </row>
    <row r="14" spans="1:15">
      <c r="A14">
        <v>1203052</v>
      </c>
      <c r="B14" t="s">
        <v>26</v>
      </c>
      <c r="C14" t="s">
        <v>27</v>
      </c>
      <c r="D14" t="s">
        <v>20</v>
      </c>
      <c r="E14">
        <v>2025</v>
      </c>
      <c r="F14">
        <v>8</v>
      </c>
      <c r="G14">
        <v>16</v>
      </c>
      <c r="H14">
        <v>10220</v>
      </c>
      <c r="I14">
        <v>1240</v>
      </c>
      <c r="J14">
        <v>0</v>
      </c>
      <c r="K14">
        <v>170.3</v>
      </c>
      <c r="L14">
        <v>20.7</v>
      </c>
      <c r="M14">
        <v>10.6</v>
      </c>
      <c r="N14">
        <v>128</v>
      </c>
      <c r="O14" s="1" t="s">
        <v>29</v>
      </c>
    </row>
    <row r="15" spans="1:15">
      <c r="A15">
        <v>1203053</v>
      </c>
      <c r="B15" t="s">
        <v>30</v>
      </c>
      <c r="C15" t="s">
        <v>31</v>
      </c>
      <c r="D15" t="s">
        <v>20</v>
      </c>
      <c r="E15">
        <v>2025</v>
      </c>
      <c r="F15">
        <v>6</v>
      </c>
      <c r="G15">
        <v>17</v>
      </c>
      <c r="H15">
        <v>10225</v>
      </c>
      <c r="I15">
        <v>753</v>
      </c>
      <c r="J15">
        <v>0</v>
      </c>
      <c r="K15">
        <v>170.4</v>
      </c>
      <c r="L15">
        <v>12.6</v>
      </c>
      <c r="M15">
        <v>10</v>
      </c>
      <c r="N15">
        <v>136</v>
      </c>
      <c r="O15" s="1" t="s">
        <v>32</v>
      </c>
    </row>
    <row r="16" spans="1:15">
      <c r="A16">
        <v>1203053</v>
      </c>
      <c r="B16" t="s">
        <v>30</v>
      </c>
      <c r="C16" t="s">
        <v>31</v>
      </c>
      <c r="D16" t="s">
        <v>20</v>
      </c>
      <c r="E16">
        <v>2025</v>
      </c>
      <c r="F16">
        <v>7</v>
      </c>
      <c r="G16">
        <v>18</v>
      </c>
      <c r="H16">
        <v>9923</v>
      </c>
      <c r="I16">
        <v>191</v>
      </c>
      <c r="J16">
        <v>0</v>
      </c>
      <c r="K16">
        <v>165.4</v>
      </c>
      <c r="L16">
        <v>3.2</v>
      </c>
      <c r="M16">
        <v>9.1999999999999993</v>
      </c>
      <c r="N16">
        <v>144</v>
      </c>
      <c r="O16" s="1" t="s">
        <v>33</v>
      </c>
    </row>
    <row r="17" spans="1:15">
      <c r="A17">
        <v>1203053</v>
      </c>
      <c r="B17" t="s">
        <v>30</v>
      </c>
      <c r="C17" t="s">
        <v>31</v>
      </c>
      <c r="D17" t="s">
        <v>20</v>
      </c>
      <c r="E17">
        <v>2025</v>
      </c>
      <c r="F17">
        <v>8</v>
      </c>
      <c r="G17">
        <v>16</v>
      </c>
      <c r="H17">
        <v>8418</v>
      </c>
      <c r="I17">
        <v>124</v>
      </c>
      <c r="J17">
        <v>0</v>
      </c>
      <c r="K17">
        <v>140.30000000000001</v>
      </c>
      <c r="L17">
        <v>2.1</v>
      </c>
      <c r="M17">
        <v>8.8000000000000007</v>
      </c>
      <c r="N17">
        <v>128</v>
      </c>
      <c r="O17" s="1" t="s">
        <v>34</v>
      </c>
    </row>
    <row r="18" spans="1:15">
      <c r="A18">
        <v>1204003</v>
      </c>
      <c r="B18" t="s">
        <v>35</v>
      </c>
      <c r="C18" t="s">
        <v>16</v>
      </c>
      <c r="D18" t="s">
        <v>20</v>
      </c>
      <c r="E18">
        <v>2025</v>
      </c>
      <c r="F18">
        <v>6</v>
      </c>
      <c r="G18">
        <v>17</v>
      </c>
      <c r="H18">
        <v>8872</v>
      </c>
      <c r="I18">
        <v>0</v>
      </c>
      <c r="J18">
        <v>0</v>
      </c>
      <c r="K18">
        <v>147.9</v>
      </c>
      <c r="L18">
        <v>0</v>
      </c>
      <c r="M18">
        <v>8.6999999999999993</v>
      </c>
      <c r="N18">
        <v>136</v>
      </c>
      <c r="O18" s="1" t="s">
        <v>36</v>
      </c>
    </row>
    <row r="19" spans="1:15">
      <c r="A19">
        <v>1204003</v>
      </c>
      <c r="B19" t="s">
        <v>35</v>
      </c>
      <c r="C19" t="s">
        <v>16</v>
      </c>
      <c r="D19" t="s">
        <v>20</v>
      </c>
      <c r="E19">
        <v>2025</v>
      </c>
      <c r="F19">
        <v>7</v>
      </c>
      <c r="G19">
        <v>19</v>
      </c>
      <c r="H19">
        <v>11481</v>
      </c>
      <c r="I19">
        <v>0</v>
      </c>
      <c r="J19">
        <v>0</v>
      </c>
      <c r="K19">
        <v>191.4</v>
      </c>
      <c r="L19">
        <v>0</v>
      </c>
      <c r="M19">
        <v>10.1</v>
      </c>
      <c r="N19">
        <v>152</v>
      </c>
      <c r="O19" s="1" t="s">
        <v>37</v>
      </c>
    </row>
    <row r="20" spans="1:15">
      <c r="A20">
        <v>1204003</v>
      </c>
      <c r="B20" t="s">
        <v>35</v>
      </c>
      <c r="C20" t="s">
        <v>16</v>
      </c>
      <c r="D20" t="s">
        <v>20</v>
      </c>
      <c r="E20">
        <v>2025</v>
      </c>
      <c r="F20">
        <v>8</v>
      </c>
      <c r="G20">
        <v>16</v>
      </c>
      <c r="H20">
        <v>8970</v>
      </c>
      <c r="I20">
        <v>0</v>
      </c>
      <c r="J20">
        <v>0</v>
      </c>
      <c r="K20">
        <v>149.5</v>
      </c>
      <c r="L20">
        <v>0</v>
      </c>
      <c r="M20">
        <v>9.3000000000000007</v>
      </c>
      <c r="N20">
        <v>128</v>
      </c>
      <c r="O20">
        <v>21.5</v>
      </c>
    </row>
    <row r="21" spans="1:15">
      <c r="A21">
        <v>1204063</v>
      </c>
      <c r="B21" t="s">
        <v>38</v>
      </c>
      <c r="C21" t="s">
        <v>39</v>
      </c>
      <c r="D21" t="s">
        <v>20</v>
      </c>
      <c r="E21">
        <v>2025</v>
      </c>
      <c r="F21">
        <v>6</v>
      </c>
      <c r="G21">
        <v>2</v>
      </c>
      <c r="H21">
        <v>417</v>
      </c>
      <c r="I21">
        <v>0</v>
      </c>
      <c r="J21">
        <v>0</v>
      </c>
      <c r="K21">
        <v>7</v>
      </c>
      <c r="L21">
        <v>0</v>
      </c>
      <c r="M21">
        <v>3.5</v>
      </c>
      <c r="N21">
        <v>16</v>
      </c>
      <c r="O21">
        <v>-9</v>
      </c>
    </row>
    <row r="22" spans="1:15">
      <c r="A22">
        <v>1204063</v>
      </c>
      <c r="B22" t="s">
        <v>38</v>
      </c>
      <c r="C22" t="s">
        <v>39</v>
      </c>
      <c r="D22" t="s">
        <v>20</v>
      </c>
      <c r="E22">
        <v>2025</v>
      </c>
      <c r="F22">
        <v>7</v>
      </c>
      <c r="G22">
        <v>4</v>
      </c>
      <c r="H22">
        <v>27</v>
      </c>
      <c r="I22">
        <v>0</v>
      </c>
      <c r="J22">
        <v>0</v>
      </c>
      <c r="K22">
        <v>0.4</v>
      </c>
      <c r="L22">
        <v>0</v>
      </c>
      <c r="M22">
        <v>0.1</v>
      </c>
      <c r="N22">
        <v>32</v>
      </c>
      <c r="O22">
        <v>-31.6</v>
      </c>
    </row>
    <row r="23" spans="1:15">
      <c r="A23">
        <v>1204063</v>
      </c>
      <c r="B23" t="s">
        <v>38</v>
      </c>
      <c r="C23" t="s">
        <v>39</v>
      </c>
      <c r="D23" t="s">
        <v>20</v>
      </c>
      <c r="E23">
        <v>2025</v>
      </c>
      <c r="F23">
        <v>8</v>
      </c>
      <c r="G23">
        <v>4</v>
      </c>
      <c r="H23">
        <v>1365</v>
      </c>
      <c r="I23">
        <v>0</v>
      </c>
      <c r="J23">
        <v>0</v>
      </c>
      <c r="K23">
        <v>22.8</v>
      </c>
      <c r="L23">
        <v>0</v>
      </c>
      <c r="M23">
        <v>5.7</v>
      </c>
      <c r="N23">
        <v>32</v>
      </c>
      <c r="O23">
        <v>-9.1999999999999993</v>
      </c>
    </row>
    <row r="24" spans="1:15">
      <c r="A24">
        <v>1204106</v>
      </c>
      <c r="B24" t="s">
        <v>40</v>
      </c>
      <c r="C24" t="s">
        <v>41</v>
      </c>
      <c r="D24" t="s">
        <v>20</v>
      </c>
      <c r="E24">
        <v>2025</v>
      </c>
      <c r="F24">
        <v>6</v>
      </c>
      <c r="G24">
        <v>19</v>
      </c>
      <c r="H24">
        <v>13135</v>
      </c>
      <c r="I24">
        <v>0</v>
      </c>
      <c r="J24">
        <v>5</v>
      </c>
      <c r="K24">
        <v>218.9</v>
      </c>
      <c r="L24">
        <v>0</v>
      </c>
      <c r="M24">
        <v>11.5</v>
      </c>
      <c r="N24">
        <v>112</v>
      </c>
      <c r="O24">
        <v>106.9</v>
      </c>
    </row>
    <row r="25" spans="1:15">
      <c r="A25">
        <v>1204106</v>
      </c>
      <c r="B25" t="s">
        <v>40</v>
      </c>
      <c r="C25" t="s">
        <v>41</v>
      </c>
      <c r="D25" t="s">
        <v>20</v>
      </c>
      <c r="E25">
        <v>2025</v>
      </c>
      <c r="F25">
        <v>7</v>
      </c>
      <c r="G25">
        <v>19</v>
      </c>
      <c r="H25">
        <v>9604</v>
      </c>
      <c r="I25">
        <v>0</v>
      </c>
      <c r="J25">
        <v>3</v>
      </c>
      <c r="K25">
        <v>160.1</v>
      </c>
      <c r="L25">
        <v>0</v>
      </c>
      <c r="M25">
        <v>8.4</v>
      </c>
      <c r="N25">
        <v>128</v>
      </c>
      <c r="O25" s="1" t="s">
        <v>42</v>
      </c>
    </row>
    <row r="26" spans="1:15">
      <c r="A26">
        <v>1204106</v>
      </c>
      <c r="B26" t="s">
        <v>40</v>
      </c>
      <c r="C26" t="s">
        <v>41</v>
      </c>
      <c r="D26" t="s">
        <v>20</v>
      </c>
      <c r="E26">
        <v>2025</v>
      </c>
      <c r="F26">
        <v>8</v>
      </c>
      <c r="G26">
        <v>16</v>
      </c>
      <c r="H26">
        <v>7980</v>
      </c>
      <c r="I26">
        <v>0</v>
      </c>
      <c r="J26">
        <v>1</v>
      </c>
      <c r="K26">
        <v>133</v>
      </c>
      <c r="L26">
        <v>0</v>
      </c>
      <c r="M26">
        <v>8.3000000000000007</v>
      </c>
      <c r="N26">
        <v>120</v>
      </c>
      <c r="O26">
        <v>13</v>
      </c>
    </row>
    <row r="27" spans="1:15">
      <c r="A27">
        <v>1204115</v>
      </c>
      <c r="B27" t="s">
        <v>43</v>
      </c>
      <c r="C27" t="s">
        <v>44</v>
      </c>
      <c r="D27" t="s">
        <v>20</v>
      </c>
      <c r="E27">
        <v>2025</v>
      </c>
      <c r="F27">
        <v>6</v>
      </c>
      <c r="G27">
        <v>18</v>
      </c>
      <c r="H27">
        <v>10328</v>
      </c>
      <c r="I27">
        <v>0</v>
      </c>
      <c r="J27">
        <v>0</v>
      </c>
      <c r="K27">
        <v>172.1</v>
      </c>
      <c r="L27">
        <v>0</v>
      </c>
      <c r="M27">
        <v>9.6</v>
      </c>
      <c r="N27">
        <v>144</v>
      </c>
      <c r="O27" s="1" t="s">
        <v>45</v>
      </c>
    </row>
    <row r="28" spans="1:15">
      <c r="A28">
        <v>1204115</v>
      </c>
      <c r="B28" t="s">
        <v>43</v>
      </c>
      <c r="C28" t="s">
        <v>44</v>
      </c>
      <c r="D28" t="s">
        <v>20</v>
      </c>
      <c r="E28">
        <v>2025</v>
      </c>
      <c r="F28">
        <v>7</v>
      </c>
      <c r="G28">
        <v>18</v>
      </c>
      <c r="H28">
        <v>10438</v>
      </c>
      <c r="I28">
        <v>0</v>
      </c>
      <c r="J28">
        <v>0</v>
      </c>
      <c r="K28">
        <v>174</v>
      </c>
      <c r="L28">
        <v>0</v>
      </c>
      <c r="M28">
        <v>9.6999999999999993</v>
      </c>
      <c r="N28">
        <v>144</v>
      </c>
      <c r="O28">
        <v>30</v>
      </c>
    </row>
    <row r="29" spans="1:15">
      <c r="A29">
        <v>1204115</v>
      </c>
      <c r="B29" t="s">
        <v>43</v>
      </c>
      <c r="C29" t="s">
        <v>44</v>
      </c>
      <c r="D29" t="s">
        <v>20</v>
      </c>
      <c r="E29">
        <v>2025</v>
      </c>
      <c r="F29">
        <v>8</v>
      </c>
      <c r="G29">
        <v>16</v>
      </c>
      <c r="H29">
        <v>8796</v>
      </c>
      <c r="I29">
        <v>0</v>
      </c>
      <c r="J29">
        <v>0</v>
      </c>
      <c r="K29">
        <v>146.6</v>
      </c>
      <c r="L29">
        <v>0</v>
      </c>
      <c r="M29">
        <v>9.1999999999999993</v>
      </c>
      <c r="N29">
        <v>128</v>
      </c>
      <c r="O29" s="1" t="s">
        <v>46</v>
      </c>
    </row>
    <row r="30" spans="1:15">
      <c r="A30">
        <v>1205081</v>
      </c>
      <c r="B30" t="s">
        <v>47</v>
      </c>
      <c r="C30" t="s">
        <v>31</v>
      </c>
      <c r="D30" t="s">
        <v>17</v>
      </c>
      <c r="E30">
        <v>2025</v>
      </c>
      <c r="F30">
        <v>7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-8</v>
      </c>
    </row>
    <row r="31" spans="1:15">
      <c r="A31">
        <v>1205094</v>
      </c>
      <c r="B31" t="s">
        <v>48</v>
      </c>
      <c r="C31" t="s">
        <v>49</v>
      </c>
      <c r="D31" t="s">
        <v>20</v>
      </c>
      <c r="E31">
        <v>2025</v>
      </c>
      <c r="F31">
        <v>6</v>
      </c>
      <c r="G31">
        <v>24</v>
      </c>
      <c r="H31">
        <v>17014</v>
      </c>
      <c r="I31">
        <v>507</v>
      </c>
      <c r="J31">
        <v>5</v>
      </c>
      <c r="K31">
        <v>283.60000000000002</v>
      </c>
      <c r="L31">
        <v>8.4</v>
      </c>
      <c r="M31">
        <v>11.8</v>
      </c>
      <c r="N31">
        <v>152</v>
      </c>
      <c r="O31" s="1" t="s">
        <v>50</v>
      </c>
    </row>
    <row r="32" spans="1:15">
      <c r="A32">
        <v>1205094</v>
      </c>
      <c r="B32" t="s">
        <v>48</v>
      </c>
      <c r="C32" t="s">
        <v>49</v>
      </c>
      <c r="D32" t="s">
        <v>20</v>
      </c>
      <c r="E32">
        <v>2025</v>
      </c>
      <c r="F32">
        <v>7</v>
      </c>
      <c r="G32">
        <v>16</v>
      </c>
      <c r="H32">
        <v>9952</v>
      </c>
      <c r="I32">
        <v>809</v>
      </c>
      <c r="J32">
        <v>0</v>
      </c>
      <c r="K32">
        <v>165.9</v>
      </c>
      <c r="L32">
        <v>13.5</v>
      </c>
      <c r="M32">
        <v>10.4</v>
      </c>
      <c r="N32">
        <v>128</v>
      </c>
      <c r="O32" s="1" t="s">
        <v>51</v>
      </c>
    </row>
    <row r="33" spans="1:15">
      <c r="A33">
        <v>1205094</v>
      </c>
      <c r="B33" t="s">
        <v>48</v>
      </c>
      <c r="C33" t="s">
        <v>49</v>
      </c>
      <c r="D33" t="s">
        <v>20</v>
      </c>
      <c r="E33">
        <v>2025</v>
      </c>
      <c r="F33">
        <v>8</v>
      </c>
      <c r="G33">
        <v>16</v>
      </c>
      <c r="H33">
        <v>9109</v>
      </c>
      <c r="I33">
        <v>300</v>
      </c>
      <c r="J33">
        <v>0</v>
      </c>
      <c r="K33">
        <v>151.80000000000001</v>
      </c>
      <c r="L33">
        <v>5</v>
      </c>
      <c r="M33">
        <v>9.5</v>
      </c>
      <c r="N33">
        <v>128</v>
      </c>
      <c r="O33" s="1" t="s">
        <v>52</v>
      </c>
    </row>
    <row r="34" spans="1:15">
      <c r="A34">
        <v>1205105</v>
      </c>
      <c r="B34" t="s">
        <v>53</v>
      </c>
      <c r="C34" t="s">
        <v>39</v>
      </c>
      <c r="D34" t="s">
        <v>17</v>
      </c>
      <c r="E34">
        <v>2025</v>
      </c>
      <c r="F34">
        <v>6</v>
      </c>
      <c r="G34">
        <v>20</v>
      </c>
      <c r="H34">
        <v>6216</v>
      </c>
      <c r="I34">
        <v>0</v>
      </c>
      <c r="J34">
        <v>0</v>
      </c>
      <c r="K34">
        <v>103.6</v>
      </c>
      <c r="L34">
        <v>0</v>
      </c>
      <c r="M34">
        <v>5.2</v>
      </c>
      <c r="N34">
        <v>160</v>
      </c>
      <c r="O34">
        <v>-56.4</v>
      </c>
    </row>
    <row r="35" spans="1:15">
      <c r="A35">
        <v>1205105</v>
      </c>
      <c r="B35" t="s">
        <v>53</v>
      </c>
      <c r="C35" t="s">
        <v>39</v>
      </c>
      <c r="D35" t="s">
        <v>17</v>
      </c>
      <c r="E35">
        <v>2025</v>
      </c>
      <c r="F35">
        <v>7</v>
      </c>
      <c r="G35">
        <v>20</v>
      </c>
      <c r="H35">
        <v>5741</v>
      </c>
      <c r="I35">
        <v>0</v>
      </c>
      <c r="J35">
        <v>1</v>
      </c>
      <c r="K35">
        <v>95.7</v>
      </c>
      <c r="L35">
        <v>0</v>
      </c>
      <c r="M35">
        <v>4.8</v>
      </c>
      <c r="N35">
        <v>152</v>
      </c>
      <c r="O35">
        <v>-56.3</v>
      </c>
    </row>
    <row r="36" spans="1:15">
      <c r="A36">
        <v>1205105</v>
      </c>
      <c r="B36" t="s">
        <v>53</v>
      </c>
      <c r="C36" t="s">
        <v>39</v>
      </c>
      <c r="D36" t="s">
        <v>17</v>
      </c>
      <c r="E36">
        <v>2025</v>
      </c>
      <c r="F36">
        <v>8</v>
      </c>
      <c r="G36">
        <v>19</v>
      </c>
      <c r="H36">
        <v>5870</v>
      </c>
      <c r="I36">
        <v>0</v>
      </c>
      <c r="J36">
        <v>2</v>
      </c>
      <c r="K36">
        <v>97.8</v>
      </c>
      <c r="L36">
        <v>0</v>
      </c>
      <c r="M36">
        <v>5.0999999999999996</v>
      </c>
      <c r="N36">
        <v>136</v>
      </c>
      <c r="O36">
        <v>-38.200000000000003</v>
      </c>
    </row>
    <row r="37" spans="1:15">
      <c r="A37">
        <v>1205115</v>
      </c>
      <c r="B37" t="s">
        <v>54</v>
      </c>
      <c r="C37" t="s">
        <v>16</v>
      </c>
      <c r="D37" t="s">
        <v>20</v>
      </c>
      <c r="E37">
        <v>2025</v>
      </c>
      <c r="F37">
        <v>6</v>
      </c>
      <c r="G37">
        <v>17</v>
      </c>
      <c r="H37">
        <v>9894</v>
      </c>
      <c r="I37">
        <v>0</v>
      </c>
      <c r="J37">
        <v>0</v>
      </c>
      <c r="K37">
        <v>164.9</v>
      </c>
      <c r="L37">
        <v>0</v>
      </c>
      <c r="M37">
        <v>9.6999999999999993</v>
      </c>
      <c r="N37">
        <v>136</v>
      </c>
      <c r="O37" s="1" t="s">
        <v>55</v>
      </c>
    </row>
    <row r="38" spans="1:15">
      <c r="A38">
        <v>1205115</v>
      </c>
      <c r="B38" t="s">
        <v>54</v>
      </c>
      <c r="C38" t="s">
        <v>16</v>
      </c>
      <c r="D38" t="s">
        <v>20</v>
      </c>
      <c r="E38">
        <v>2025</v>
      </c>
      <c r="F38">
        <v>7</v>
      </c>
      <c r="G38">
        <v>17</v>
      </c>
      <c r="H38">
        <v>9977</v>
      </c>
      <c r="I38">
        <v>0</v>
      </c>
      <c r="J38">
        <v>0</v>
      </c>
      <c r="K38">
        <v>166.3</v>
      </c>
      <c r="L38">
        <v>0</v>
      </c>
      <c r="M38">
        <v>9.8000000000000007</v>
      </c>
      <c r="N38">
        <v>136</v>
      </c>
      <c r="O38" s="1" t="s">
        <v>56</v>
      </c>
    </row>
    <row r="39" spans="1:15">
      <c r="A39">
        <v>1205115</v>
      </c>
      <c r="B39" t="s">
        <v>54</v>
      </c>
      <c r="C39" t="s">
        <v>16</v>
      </c>
      <c r="D39" t="s">
        <v>20</v>
      </c>
      <c r="E39">
        <v>2025</v>
      </c>
      <c r="F39">
        <v>8</v>
      </c>
      <c r="G39">
        <v>13</v>
      </c>
      <c r="H39">
        <v>7204</v>
      </c>
      <c r="I39">
        <v>0</v>
      </c>
      <c r="J39">
        <v>0</v>
      </c>
      <c r="K39">
        <v>120.1</v>
      </c>
      <c r="L39">
        <v>0</v>
      </c>
      <c r="M39">
        <v>9.1999999999999993</v>
      </c>
      <c r="N39">
        <v>104</v>
      </c>
      <c r="O39" s="1" t="s">
        <v>57</v>
      </c>
    </row>
    <row r="40" spans="1:15">
      <c r="A40">
        <v>1206003</v>
      </c>
      <c r="B40" t="s">
        <v>58</v>
      </c>
      <c r="C40" t="s">
        <v>49</v>
      </c>
      <c r="D40" t="s">
        <v>20</v>
      </c>
      <c r="E40">
        <v>2025</v>
      </c>
      <c r="F40">
        <v>6</v>
      </c>
      <c r="G40">
        <v>21</v>
      </c>
      <c r="H40">
        <v>12328</v>
      </c>
      <c r="I40">
        <v>1716</v>
      </c>
      <c r="J40">
        <v>3</v>
      </c>
      <c r="K40">
        <v>205.5</v>
      </c>
      <c r="L40">
        <v>28.6</v>
      </c>
      <c r="M40">
        <v>9.8000000000000007</v>
      </c>
      <c r="N40">
        <v>144</v>
      </c>
      <c r="O40">
        <v>61.5</v>
      </c>
    </row>
    <row r="41" spans="1:15">
      <c r="A41">
        <v>1206003</v>
      </c>
      <c r="B41" t="s">
        <v>58</v>
      </c>
      <c r="C41" t="s">
        <v>49</v>
      </c>
      <c r="D41" t="s">
        <v>20</v>
      </c>
      <c r="E41">
        <v>2025</v>
      </c>
      <c r="F41">
        <v>7</v>
      </c>
      <c r="G41">
        <v>19</v>
      </c>
      <c r="H41">
        <v>11888</v>
      </c>
      <c r="I41">
        <v>1110</v>
      </c>
      <c r="J41">
        <v>0</v>
      </c>
      <c r="K41">
        <v>198.1</v>
      </c>
      <c r="L41">
        <v>18.5</v>
      </c>
      <c r="M41">
        <v>10.4</v>
      </c>
      <c r="N41">
        <v>152</v>
      </c>
      <c r="O41" s="1" t="s">
        <v>59</v>
      </c>
    </row>
    <row r="42" spans="1:15">
      <c r="A42">
        <v>1206003</v>
      </c>
      <c r="B42" t="s">
        <v>58</v>
      </c>
      <c r="C42" t="s">
        <v>49</v>
      </c>
      <c r="D42" t="s">
        <v>20</v>
      </c>
      <c r="E42">
        <v>2025</v>
      </c>
      <c r="F42">
        <v>8</v>
      </c>
      <c r="G42">
        <v>16</v>
      </c>
      <c r="H42">
        <v>9477</v>
      </c>
      <c r="I42">
        <v>810</v>
      </c>
      <c r="J42">
        <v>0</v>
      </c>
      <c r="K42">
        <v>158</v>
      </c>
      <c r="L42">
        <v>13.5</v>
      </c>
      <c r="M42">
        <v>9.9</v>
      </c>
      <c r="N42">
        <v>128</v>
      </c>
      <c r="O42">
        <v>30</v>
      </c>
    </row>
    <row r="43" spans="1:15">
      <c r="A43">
        <v>1207010</v>
      </c>
      <c r="B43" t="s">
        <v>60</v>
      </c>
      <c r="C43" t="s">
        <v>61</v>
      </c>
      <c r="D43" t="s">
        <v>20</v>
      </c>
      <c r="E43">
        <v>2025</v>
      </c>
      <c r="F43">
        <v>6</v>
      </c>
      <c r="G43">
        <v>16</v>
      </c>
      <c r="H43">
        <v>9549</v>
      </c>
      <c r="I43">
        <v>0</v>
      </c>
      <c r="J43">
        <v>0</v>
      </c>
      <c r="K43">
        <v>159.19999999999999</v>
      </c>
      <c r="L43">
        <v>0</v>
      </c>
      <c r="M43">
        <v>10</v>
      </c>
      <c r="N43">
        <v>128</v>
      </c>
      <c r="O43" s="1" t="s">
        <v>62</v>
      </c>
    </row>
    <row r="44" spans="1:15">
      <c r="A44">
        <v>1207010</v>
      </c>
      <c r="B44" t="s">
        <v>60</v>
      </c>
      <c r="C44" t="s">
        <v>61</v>
      </c>
      <c r="D44" t="s">
        <v>20</v>
      </c>
      <c r="E44">
        <v>2025</v>
      </c>
      <c r="F44">
        <v>7</v>
      </c>
      <c r="G44">
        <v>18</v>
      </c>
      <c r="H44">
        <v>10128</v>
      </c>
      <c r="I44">
        <v>0</v>
      </c>
      <c r="J44">
        <v>0</v>
      </c>
      <c r="K44">
        <v>168.8</v>
      </c>
      <c r="L44">
        <v>0</v>
      </c>
      <c r="M44">
        <v>9.4</v>
      </c>
      <c r="N44">
        <v>144</v>
      </c>
      <c r="O44" s="1" t="s">
        <v>63</v>
      </c>
    </row>
    <row r="45" spans="1:15">
      <c r="A45">
        <v>1207010</v>
      </c>
      <c r="B45" t="s">
        <v>60</v>
      </c>
      <c r="C45" t="s">
        <v>61</v>
      </c>
      <c r="D45" t="s">
        <v>20</v>
      </c>
      <c r="E45">
        <v>2025</v>
      </c>
      <c r="F45">
        <v>8</v>
      </c>
      <c r="G45">
        <v>15</v>
      </c>
      <c r="H45">
        <v>8363</v>
      </c>
      <c r="I45">
        <v>0</v>
      </c>
      <c r="J45">
        <v>0</v>
      </c>
      <c r="K45">
        <v>139.4</v>
      </c>
      <c r="L45">
        <v>0</v>
      </c>
      <c r="M45">
        <v>9.3000000000000007</v>
      </c>
      <c r="N45">
        <v>120</v>
      </c>
      <c r="O45" s="1" t="s">
        <v>64</v>
      </c>
    </row>
    <row r="46" spans="1:15">
      <c r="A46">
        <v>1207036</v>
      </c>
      <c r="B46" t="s">
        <v>65</v>
      </c>
      <c r="C46" t="s">
        <v>19</v>
      </c>
      <c r="D46" t="s">
        <v>20</v>
      </c>
      <c r="E46">
        <v>2025</v>
      </c>
      <c r="F46">
        <v>6</v>
      </c>
      <c r="G46">
        <v>17</v>
      </c>
      <c r="H46">
        <v>9164</v>
      </c>
      <c r="I46">
        <v>0</v>
      </c>
      <c r="J46">
        <v>1</v>
      </c>
      <c r="K46">
        <v>152.69999999999999</v>
      </c>
      <c r="L46">
        <v>0</v>
      </c>
      <c r="M46">
        <v>9</v>
      </c>
      <c r="N46">
        <v>128</v>
      </c>
      <c r="O46" s="1" t="s">
        <v>66</v>
      </c>
    </row>
    <row r="47" spans="1:15">
      <c r="A47">
        <v>1207036</v>
      </c>
      <c r="B47" t="s">
        <v>65</v>
      </c>
      <c r="C47" t="s">
        <v>19</v>
      </c>
      <c r="D47" t="s">
        <v>20</v>
      </c>
      <c r="E47">
        <v>2025</v>
      </c>
      <c r="F47">
        <v>7</v>
      </c>
      <c r="G47">
        <v>18</v>
      </c>
      <c r="H47">
        <v>8556</v>
      </c>
      <c r="I47">
        <v>0</v>
      </c>
      <c r="J47">
        <v>0</v>
      </c>
      <c r="K47">
        <v>142.6</v>
      </c>
      <c r="L47">
        <v>0</v>
      </c>
      <c r="M47">
        <v>7.9</v>
      </c>
      <c r="N47">
        <v>144</v>
      </c>
      <c r="O47">
        <v>-1.4</v>
      </c>
    </row>
    <row r="48" spans="1:15">
      <c r="A48">
        <v>1207036</v>
      </c>
      <c r="B48" t="s">
        <v>65</v>
      </c>
      <c r="C48" t="s">
        <v>19</v>
      </c>
      <c r="D48" t="s">
        <v>20</v>
      </c>
      <c r="E48">
        <v>2025</v>
      </c>
      <c r="F48">
        <v>8</v>
      </c>
      <c r="G48">
        <v>13</v>
      </c>
      <c r="H48">
        <v>6203</v>
      </c>
      <c r="I48">
        <v>0</v>
      </c>
      <c r="J48">
        <v>0</v>
      </c>
      <c r="K48">
        <v>103.4</v>
      </c>
      <c r="L48">
        <v>0</v>
      </c>
      <c r="M48">
        <v>8</v>
      </c>
      <c r="N48">
        <v>104</v>
      </c>
      <c r="O48">
        <v>-0.6</v>
      </c>
    </row>
    <row r="49" spans="1:15">
      <c r="A49">
        <v>1207078</v>
      </c>
      <c r="B49" t="s">
        <v>67</v>
      </c>
      <c r="C49" t="s">
        <v>27</v>
      </c>
      <c r="D49" t="s">
        <v>20</v>
      </c>
      <c r="E49">
        <v>2025</v>
      </c>
      <c r="F49">
        <v>6</v>
      </c>
      <c r="G49">
        <v>18</v>
      </c>
      <c r="H49">
        <v>11241</v>
      </c>
      <c r="I49">
        <v>1032</v>
      </c>
      <c r="J49">
        <v>0</v>
      </c>
      <c r="K49">
        <v>187.4</v>
      </c>
      <c r="L49">
        <v>17.2</v>
      </c>
      <c r="M49">
        <v>10.4</v>
      </c>
      <c r="N49">
        <v>144</v>
      </c>
      <c r="O49" s="1" t="s">
        <v>68</v>
      </c>
    </row>
    <row r="50" spans="1:15">
      <c r="A50">
        <v>1207078</v>
      </c>
      <c r="B50" t="s">
        <v>67</v>
      </c>
      <c r="C50" t="s">
        <v>27</v>
      </c>
      <c r="D50" t="s">
        <v>20</v>
      </c>
      <c r="E50">
        <v>2025</v>
      </c>
      <c r="F50">
        <v>7</v>
      </c>
      <c r="G50">
        <v>19</v>
      </c>
      <c r="H50">
        <v>11263</v>
      </c>
      <c r="I50">
        <v>509</v>
      </c>
      <c r="J50">
        <v>0</v>
      </c>
      <c r="K50">
        <v>187.7</v>
      </c>
      <c r="L50">
        <v>8.5</v>
      </c>
      <c r="M50">
        <v>9.9</v>
      </c>
      <c r="N50">
        <v>152</v>
      </c>
      <c r="O50" s="1" t="s">
        <v>69</v>
      </c>
    </row>
    <row r="51" spans="1:15">
      <c r="A51">
        <v>1207078</v>
      </c>
      <c r="B51" t="s">
        <v>67</v>
      </c>
      <c r="C51" t="s">
        <v>27</v>
      </c>
      <c r="D51" t="s">
        <v>20</v>
      </c>
      <c r="E51">
        <v>2025</v>
      </c>
      <c r="F51">
        <v>8</v>
      </c>
      <c r="G51">
        <v>16</v>
      </c>
      <c r="H51">
        <v>9636</v>
      </c>
      <c r="I51">
        <v>567</v>
      </c>
      <c r="J51">
        <v>0</v>
      </c>
      <c r="K51">
        <v>160.6</v>
      </c>
      <c r="L51">
        <v>9.4</v>
      </c>
      <c r="M51">
        <v>10</v>
      </c>
      <c r="N51">
        <v>128</v>
      </c>
      <c r="O51" s="1" t="s">
        <v>70</v>
      </c>
    </row>
    <row r="52" spans="1:15">
      <c r="A52">
        <v>1207092</v>
      </c>
      <c r="B52" t="s">
        <v>71</v>
      </c>
      <c r="C52" t="s">
        <v>31</v>
      </c>
      <c r="D52" t="s">
        <v>20</v>
      </c>
      <c r="E52">
        <v>2025</v>
      </c>
      <c r="F52">
        <v>6</v>
      </c>
      <c r="G52">
        <v>18</v>
      </c>
      <c r="H52">
        <v>11998</v>
      </c>
      <c r="I52">
        <v>1125</v>
      </c>
      <c r="J52">
        <v>0</v>
      </c>
      <c r="K52">
        <v>200</v>
      </c>
      <c r="L52">
        <v>18.8</v>
      </c>
      <c r="M52">
        <v>11.1</v>
      </c>
      <c r="N52">
        <v>144</v>
      </c>
      <c r="O52">
        <v>56</v>
      </c>
    </row>
    <row r="53" spans="1:15">
      <c r="A53">
        <v>1207092</v>
      </c>
      <c r="B53" t="s">
        <v>71</v>
      </c>
      <c r="C53" t="s">
        <v>31</v>
      </c>
      <c r="D53" t="s">
        <v>20</v>
      </c>
      <c r="E53">
        <v>2025</v>
      </c>
      <c r="F53">
        <v>7</v>
      </c>
      <c r="G53">
        <v>18</v>
      </c>
      <c r="H53">
        <v>11389</v>
      </c>
      <c r="I53">
        <v>620</v>
      </c>
      <c r="J53">
        <v>0</v>
      </c>
      <c r="K53">
        <v>189.8</v>
      </c>
      <c r="L53">
        <v>10.3</v>
      </c>
      <c r="M53">
        <v>10.5</v>
      </c>
      <c r="N53">
        <v>144</v>
      </c>
      <c r="O53" s="1" t="s">
        <v>72</v>
      </c>
    </row>
    <row r="54" spans="1:15">
      <c r="A54">
        <v>1207092</v>
      </c>
      <c r="B54" t="s">
        <v>71</v>
      </c>
      <c r="C54" t="s">
        <v>31</v>
      </c>
      <c r="D54" t="s">
        <v>20</v>
      </c>
      <c r="E54">
        <v>2025</v>
      </c>
      <c r="F54">
        <v>8</v>
      </c>
      <c r="G54">
        <v>15</v>
      </c>
      <c r="H54">
        <v>9030</v>
      </c>
      <c r="I54">
        <v>478</v>
      </c>
      <c r="J54">
        <v>0</v>
      </c>
      <c r="K54">
        <v>150.5</v>
      </c>
      <c r="L54">
        <v>8</v>
      </c>
      <c r="M54">
        <v>10</v>
      </c>
      <c r="N54">
        <v>120</v>
      </c>
      <c r="O54">
        <v>30.5</v>
      </c>
    </row>
    <row r="55" spans="1:15">
      <c r="A55">
        <v>1208016</v>
      </c>
      <c r="B55" t="s">
        <v>73</v>
      </c>
      <c r="C55" t="s">
        <v>41</v>
      </c>
      <c r="D55" t="s">
        <v>20</v>
      </c>
      <c r="E55">
        <v>2025</v>
      </c>
      <c r="F55">
        <v>7</v>
      </c>
      <c r="G55">
        <v>17</v>
      </c>
      <c r="H55">
        <v>8798</v>
      </c>
      <c r="I55">
        <v>604</v>
      </c>
      <c r="J55">
        <v>1</v>
      </c>
      <c r="K55">
        <v>146.6</v>
      </c>
      <c r="L55">
        <v>10.1</v>
      </c>
      <c r="M55">
        <v>8.6</v>
      </c>
      <c r="N55">
        <v>128</v>
      </c>
      <c r="O55" s="1" t="s">
        <v>46</v>
      </c>
    </row>
    <row r="56" spans="1:15">
      <c r="A56">
        <v>1208016</v>
      </c>
      <c r="B56" t="s">
        <v>73</v>
      </c>
      <c r="C56" t="s">
        <v>41</v>
      </c>
      <c r="D56" t="s">
        <v>20</v>
      </c>
      <c r="E56">
        <v>2025</v>
      </c>
      <c r="F56">
        <v>8</v>
      </c>
      <c r="G56">
        <v>14</v>
      </c>
      <c r="H56">
        <v>8437</v>
      </c>
      <c r="I56">
        <v>159</v>
      </c>
      <c r="J56">
        <v>0</v>
      </c>
      <c r="K56">
        <v>140.6</v>
      </c>
      <c r="L56">
        <v>2.6</v>
      </c>
      <c r="M56">
        <v>10</v>
      </c>
      <c r="N56">
        <v>112</v>
      </c>
      <c r="O56" s="1" t="s">
        <v>74</v>
      </c>
    </row>
    <row r="57" spans="1:15">
      <c r="A57">
        <v>1208044</v>
      </c>
      <c r="B57" t="s">
        <v>75</v>
      </c>
      <c r="C57" t="s">
        <v>76</v>
      </c>
      <c r="D57" t="s">
        <v>20</v>
      </c>
      <c r="E57">
        <v>2025</v>
      </c>
      <c r="F57">
        <v>6</v>
      </c>
      <c r="G57">
        <v>20</v>
      </c>
      <c r="H57">
        <v>10275</v>
      </c>
      <c r="I57">
        <v>0</v>
      </c>
      <c r="J57">
        <v>0</v>
      </c>
      <c r="K57">
        <v>171.2</v>
      </c>
      <c r="L57">
        <v>0</v>
      </c>
      <c r="M57">
        <v>8.6</v>
      </c>
      <c r="N57">
        <v>160</v>
      </c>
      <c r="O57" s="1" t="s">
        <v>77</v>
      </c>
    </row>
    <row r="58" spans="1:15">
      <c r="A58">
        <v>1208044</v>
      </c>
      <c r="B58" t="s">
        <v>75</v>
      </c>
      <c r="C58" t="s">
        <v>76</v>
      </c>
      <c r="D58" t="s">
        <v>20</v>
      </c>
      <c r="E58">
        <v>2025</v>
      </c>
      <c r="F58">
        <v>7</v>
      </c>
      <c r="G58">
        <v>19</v>
      </c>
      <c r="H58">
        <v>10349</v>
      </c>
      <c r="I58">
        <v>0</v>
      </c>
      <c r="J58">
        <v>0</v>
      </c>
      <c r="K58">
        <v>172.5</v>
      </c>
      <c r="L58">
        <v>0</v>
      </c>
      <c r="M58">
        <v>9.1</v>
      </c>
      <c r="N58">
        <v>152</v>
      </c>
      <c r="O58">
        <v>20.5</v>
      </c>
    </row>
    <row r="59" spans="1:15">
      <c r="A59">
        <v>1208044</v>
      </c>
      <c r="B59" t="s">
        <v>75</v>
      </c>
      <c r="C59" t="s">
        <v>76</v>
      </c>
      <c r="D59" t="s">
        <v>20</v>
      </c>
      <c r="E59">
        <v>2025</v>
      </c>
      <c r="F59">
        <v>8</v>
      </c>
      <c r="G59">
        <v>15</v>
      </c>
      <c r="H59">
        <v>7875</v>
      </c>
      <c r="I59">
        <v>0</v>
      </c>
      <c r="J59">
        <v>0</v>
      </c>
      <c r="K59">
        <v>131.19999999999999</v>
      </c>
      <c r="L59">
        <v>0</v>
      </c>
      <c r="M59">
        <v>8.6999999999999993</v>
      </c>
      <c r="N59">
        <v>120</v>
      </c>
      <c r="O59" s="1" t="s">
        <v>77</v>
      </c>
    </row>
    <row r="60" spans="1:15">
      <c r="A60">
        <v>1208052</v>
      </c>
      <c r="B60" t="s">
        <v>78</v>
      </c>
      <c r="C60" t="s">
        <v>79</v>
      </c>
      <c r="D60" t="s">
        <v>20</v>
      </c>
      <c r="E60">
        <v>2025</v>
      </c>
      <c r="F60">
        <v>6</v>
      </c>
      <c r="G60">
        <v>14</v>
      </c>
      <c r="H60">
        <v>8073</v>
      </c>
      <c r="I60">
        <v>0</v>
      </c>
      <c r="J60">
        <v>0</v>
      </c>
      <c r="K60">
        <v>134.6</v>
      </c>
      <c r="L60">
        <v>0</v>
      </c>
      <c r="M60">
        <v>9.6</v>
      </c>
      <c r="N60">
        <v>112</v>
      </c>
      <c r="O60" s="1" t="s">
        <v>80</v>
      </c>
    </row>
    <row r="61" spans="1:15">
      <c r="A61">
        <v>1208052</v>
      </c>
      <c r="B61" t="s">
        <v>78</v>
      </c>
      <c r="C61" t="s">
        <v>79</v>
      </c>
      <c r="D61" t="s">
        <v>20</v>
      </c>
      <c r="E61">
        <v>2025</v>
      </c>
      <c r="F61">
        <v>7</v>
      </c>
      <c r="G61">
        <v>19</v>
      </c>
      <c r="H61">
        <v>10296</v>
      </c>
      <c r="I61">
        <v>0</v>
      </c>
      <c r="J61">
        <v>0</v>
      </c>
      <c r="K61">
        <v>171.6</v>
      </c>
      <c r="L61">
        <v>0</v>
      </c>
      <c r="M61">
        <v>9</v>
      </c>
      <c r="N61">
        <v>152</v>
      </c>
      <c r="O61" s="1" t="s">
        <v>25</v>
      </c>
    </row>
    <row r="62" spans="1:15">
      <c r="A62">
        <v>1208052</v>
      </c>
      <c r="B62" t="s">
        <v>78</v>
      </c>
      <c r="C62" t="s">
        <v>79</v>
      </c>
      <c r="D62" t="s">
        <v>20</v>
      </c>
      <c r="E62">
        <v>2025</v>
      </c>
      <c r="F62">
        <v>8</v>
      </c>
      <c r="G62">
        <v>16</v>
      </c>
      <c r="H62">
        <v>8811</v>
      </c>
      <c r="I62">
        <v>0</v>
      </c>
      <c r="J62">
        <v>0</v>
      </c>
      <c r="K62">
        <v>146.80000000000001</v>
      </c>
      <c r="L62">
        <v>0</v>
      </c>
      <c r="M62">
        <v>9.1999999999999993</v>
      </c>
      <c r="N62">
        <v>128</v>
      </c>
      <c r="O62" s="1" t="s">
        <v>81</v>
      </c>
    </row>
    <row r="63" spans="1:15">
      <c r="A63">
        <v>1208073</v>
      </c>
      <c r="B63" t="s">
        <v>82</v>
      </c>
      <c r="C63" t="s">
        <v>83</v>
      </c>
      <c r="D63" t="s">
        <v>20</v>
      </c>
      <c r="E63">
        <v>2025</v>
      </c>
      <c r="F63">
        <v>6</v>
      </c>
      <c r="G63">
        <v>18</v>
      </c>
      <c r="H63">
        <v>11277</v>
      </c>
      <c r="I63">
        <v>125</v>
      </c>
      <c r="J63">
        <v>0</v>
      </c>
      <c r="K63">
        <v>188</v>
      </c>
      <c r="L63">
        <v>2.1</v>
      </c>
      <c r="M63">
        <v>10.4</v>
      </c>
      <c r="N63">
        <v>144</v>
      </c>
      <c r="O63">
        <v>44</v>
      </c>
    </row>
    <row r="64" spans="1:15">
      <c r="A64">
        <v>1208073</v>
      </c>
      <c r="B64" t="s">
        <v>82</v>
      </c>
      <c r="C64" t="s">
        <v>83</v>
      </c>
      <c r="D64" t="s">
        <v>20</v>
      </c>
      <c r="E64">
        <v>2025</v>
      </c>
      <c r="F64">
        <v>7</v>
      </c>
      <c r="G64">
        <v>17</v>
      </c>
      <c r="H64">
        <v>10467</v>
      </c>
      <c r="I64">
        <v>384</v>
      </c>
      <c r="J64">
        <v>0</v>
      </c>
      <c r="K64">
        <v>174.4</v>
      </c>
      <c r="L64">
        <v>6.4</v>
      </c>
      <c r="M64">
        <v>10.3</v>
      </c>
      <c r="N64">
        <v>136</v>
      </c>
      <c r="O64" s="1" t="s">
        <v>84</v>
      </c>
    </row>
    <row r="65" spans="1:15">
      <c r="A65">
        <v>1208073</v>
      </c>
      <c r="B65" t="s">
        <v>82</v>
      </c>
      <c r="C65" t="s">
        <v>83</v>
      </c>
      <c r="D65" t="s">
        <v>20</v>
      </c>
      <c r="E65">
        <v>2025</v>
      </c>
      <c r="F65">
        <v>8</v>
      </c>
      <c r="G65">
        <v>15</v>
      </c>
      <c r="H65">
        <v>8255</v>
      </c>
      <c r="I65">
        <v>237</v>
      </c>
      <c r="J65">
        <v>0</v>
      </c>
      <c r="K65">
        <v>137.6</v>
      </c>
      <c r="L65">
        <v>4</v>
      </c>
      <c r="M65">
        <v>9.1999999999999993</v>
      </c>
      <c r="N65">
        <v>120</v>
      </c>
      <c r="O65" s="1" t="s">
        <v>85</v>
      </c>
    </row>
    <row r="66" spans="1:15">
      <c r="A66">
        <v>1208077</v>
      </c>
      <c r="B66" t="s">
        <v>86</v>
      </c>
      <c r="C66" t="s">
        <v>87</v>
      </c>
      <c r="D66" t="s">
        <v>20</v>
      </c>
      <c r="E66">
        <v>2025</v>
      </c>
      <c r="F66">
        <v>6</v>
      </c>
      <c r="G66">
        <v>15</v>
      </c>
      <c r="H66">
        <v>8887</v>
      </c>
      <c r="I66">
        <v>329</v>
      </c>
      <c r="J66">
        <v>0</v>
      </c>
      <c r="K66">
        <v>148.1</v>
      </c>
      <c r="L66">
        <v>5.5</v>
      </c>
      <c r="M66">
        <v>9.9</v>
      </c>
      <c r="N66">
        <v>120</v>
      </c>
      <c r="O66" s="1" t="s">
        <v>45</v>
      </c>
    </row>
    <row r="67" spans="1:15">
      <c r="A67">
        <v>1208077</v>
      </c>
      <c r="B67" t="s">
        <v>86</v>
      </c>
      <c r="C67" t="s">
        <v>87</v>
      </c>
      <c r="D67" t="s">
        <v>20</v>
      </c>
      <c r="E67">
        <v>2025</v>
      </c>
      <c r="F67">
        <v>7</v>
      </c>
      <c r="G67">
        <v>19</v>
      </c>
      <c r="H67">
        <v>11977</v>
      </c>
      <c r="I67">
        <v>0</v>
      </c>
      <c r="J67">
        <v>1</v>
      </c>
      <c r="K67">
        <v>199.6</v>
      </c>
      <c r="L67">
        <v>0</v>
      </c>
      <c r="M67">
        <v>10.5</v>
      </c>
      <c r="N67">
        <v>144</v>
      </c>
      <c r="O67" s="1" t="s">
        <v>88</v>
      </c>
    </row>
    <row r="68" spans="1:15">
      <c r="A68">
        <v>1208077</v>
      </c>
      <c r="B68" t="s">
        <v>86</v>
      </c>
      <c r="C68" t="s">
        <v>87</v>
      </c>
      <c r="D68" t="s">
        <v>20</v>
      </c>
      <c r="E68">
        <v>2025</v>
      </c>
      <c r="F68">
        <v>8</v>
      </c>
      <c r="G68">
        <v>16</v>
      </c>
      <c r="H68">
        <v>8042</v>
      </c>
      <c r="I68">
        <v>0</v>
      </c>
      <c r="J68">
        <v>0</v>
      </c>
      <c r="K68">
        <v>134</v>
      </c>
      <c r="L68">
        <v>0</v>
      </c>
      <c r="M68">
        <v>8.4</v>
      </c>
      <c r="N68">
        <v>128</v>
      </c>
      <c r="O68">
        <v>6</v>
      </c>
    </row>
    <row r="69" spans="1:15">
      <c r="A69">
        <v>1209035</v>
      </c>
      <c r="B69" t="s">
        <v>89</v>
      </c>
      <c r="C69" t="s">
        <v>49</v>
      </c>
      <c r="D69" t="s">
        <v>90</v>
      </c>
      <c r="E69">
        <v>2025</v>
      </c>
      <c r="F69">
        <v>6</v>
      </c>
      <c r="G69">
        <v>19</v>
      </c>
      <c r="H69">
        <v>11866</v>
      </c>
      <c r="I69">
        <v>0</v>
      </c>
      <c r="J69">
        <v>1</v>
      </c>
      <c r="K69">
        <v>197.8</v>
      </c>
      <c r="L69">
        <v>0</v>
      </c>
      <c r="M69">
        <v>10.4</v>
      </c>
      <c r="N69">
        <v>144</v>
      </c>
      <c r="O69" s="1" t="s">
        <v>91</v>
      </c>
    </row>
    <row r="70" spans="1:15">
      <c r="A70">
        <v>1209035</v>
      </c>
      <c r="B70" t="s">
        <v>89</v>
      </c>
      <c r="C70" t="s">
        <v>49</v>
      </c>
      <c r="D70" t="s">
        <v>90</v>
      </c>
      <c r="E70">
        <v>2025</v>
      </c>
      <c r="F70">
        <v>7</v>
      </c>
      <c r="G70">
        <v>19</v>
      </c>
      <c r="H70">
        <v>15021</v>
      </c>
      <c r="I70">
        <v>0</v>
      </c>
      <c r="J70">
        <v>2</v>
      </c>
      <c r="K70">
        <v>250.4</v>
      </c>
      <c r="L70">
        <v>0</v>
      </c>
      <c r="M70">
        <v>13.2</v>
      </c>
      <c r="N70">
        <v>136</v>
      </c>
      <c r="O70">
        <v>114.4</v>
      </c>
    </row>
    <row r="71" spans="1:15">
      <c r="A71">
        <v>1209035</v>
      </c>
      <c r="B71" t="s">
        <v>89</v>
      </c>
      <c r="C71" t="s">
        <v>49</v>
      </c>
      <c r="D71" t="s">
        <v>90</v>
      </c>
      <c r="E71">
        <v>2025</v>
      </c>
      <c r="F71">
        <v>8</v>
      </c>
      <c r="G71">
        <v>13</v>
      </c>
      <c r="H71">
        <v>3516</v>
      </c>
      <c r="I71">
        <v>0</v>
      </c>
      <c r="J71">
        <v>0</v>
      </c>
      <c r="K71">
        <v>58.6</v>
      </c>
      <c r="L71">
        <v>0</v>
      </c>
      <c r="M71">
        <v>4.5</v>
      </c>
      <c r="N71">
        <v>104</v>
      </c>
      <c r="O71">
        <v>-45.4</v>
      </c>
    </row>
    <row r="72" spans="1:15">
      <c r="A72">
        <v>1209039</v>
      </c>
      <c r="B72" t="s">
        <v>92</v>
      </c>
      <c r="C72" t="s">
        <v>93</v>
      </c>
      <c r="D72" t="s">
        <v>94</v>
      </c>
      <c r="E72">
        <v>2025</v>
      </c>
      <c r="F72">
        <v>6</v>
      </c>
      <c r="G72">
        <v>3</v>
      </c>
      <c r="H72">
        <v>46</v>
      </c>
      <c r="I72">
        <v>0</v>
      </c>
      <c r="J72">
        <v>0</v>
      </c>
      <c r="K72">
        <v>0.8</v>
      </c>
      <c r="L72">
        <v>0</v>
      </c>
      <c r="M72">
        <v>0.3</v>
      </c>
      <c r="N72">
        <v>24</v>
      </c>
      <c r="O72">
        <v>-23.2</v>
      </c>
    </row>
    <row r="73" spans="1:15">
      <c r="A73">
        <v>1209046</v>
      </c>
      <c r="B73" t="s">
        <v>95</v>
      </c>
      <c r="C73" t="s">
        <v>96</v>
      </c>
      <c r="D73" t="s">
        <v>20</v>
      </c>
      <c r="E73">
        <v>2025</v>
      </c>
      <c r="F73">
        <v>6</v>
      </c>
      <c r="G73">
        <v>18</v>
      </c>
      <c r="H73">
        <v>11711</v>
      </c>
      <c r="I73">
        <v>1972</v>
      </c>
      <c r="J73">
        <v>0</v>
      </c>
      <c r="K73">
        <v>195.2</v>
      </c>
      <c r="L73">
        <v>32.9</v>
      </c>
      <c r="M73">
        <v>10.8</v>
      </c>
      <c r="N73">
        <v>144</v>
      </c>
      <c r="O73" s="1" t="s">
        <v>97</v>
      </c>
    </row>
    <row r="74" spans="1:15">
      <c r="A74">
        <v>1209046</v>
      </c>
      <c r="B74" t="s">
        <v>95</v>
      </c>
      <c r="C74" t="s">
        <v>96</v>
      </c>
      <c r="D74" t="s">
        <v>20</v>
      </c>
      <c r="E74">
        <v>2025</v>
      </c>
      <c r="F74">
        <v>7</v>
      </c>
      <c r="G74">
        <v>18</v>
      </c>
      <c r="H74">
        <v>12060</v>
      </c>
      <c r="I74">
        <v>1807</v>
      </c>
      <c r="J74">
        <v>0</v>
      </c>
      <c r="K74">
        <v>201</v>
      </c>
      <c r="L74">
        <v>30.1</v>
      </c>
      <c r="M74">
        <v>11.2</v>
      </c>
      <c r="N74">
        <v>144</v>
      </c>
      <c r="O74">
        <v>57</v>
      </c>
    </row>
    <row r="75" spans="1:15">
      <c r="A75">
        <v>1209046</v>
      </c>
      <c r="B75" t="s">
        <v>95</v>
      </c>
      <c r="C75" t="s">
        <v>96</v>
      </c>
      <c r="D75" t="s">
        <v>20</v>
      </c>
      <c r="E75">
        <v>2025</v>
      </c>
      <c r="F75">
        <v>8</v>
      </c>
      <c r="G75">
        <v>15</v>
      </c>
      <c r="H75">
        <v>9459</v>
      </c>
      <c r="I75">
        <v>1034</v>
      </c>
      <c r="J75">
        <v>1</v>
      </c>
      <c r="K75">
        <v>157.6</v>
      </c>
      <c r="L75">
        <v>17.2</v>
      </c>
      <c r="M75">
        <v>10.5</v>
      </c>
      <c r="N75">
        <v>112</v>
      </c>
      <c r="O75" s="1" t="s">
        <v>98</v>
      </c>
    </row>
    <row r="76" spans="1:15">
      <c r="A76">
        <v>1209058</v>
      </c>
      <c r="B76" t="s">
        <v>99</v>
      </c>
      <c r="C76" t="s">
        <v>83</v>
      </c>
      <c r="D76" t="s">
        <v>20</v>
      </c>
      <c r="E76">
        <v>2025</v>
      </c>
      <c r="F76">
        <v>6</v>
      </c>
      <c r="G76">
        <v>19</v>
      </c>
      <c r="H76">
        <v>11286</v>
      </c>
      <c r="I76">
        <v>0</v>
      </c>
      <c r="J76">
        <v>0</v>
      </c>
      <c r="K76">
        <v>188.1</v>
      </c>
      <c r="L76">
        <v>0</v>
      </c>
      <c r="M76">
        <v>9.9</v>
      </c>
      <c r="N76">
        <v>152</v>
      </c>
      <c r="O76" s="1" t="s">
        <v>100</v>
      </c>
    </row>
    <row r="77" spans="1:15">
      <c r="A77">
        <v>1209058</v>
      </c>
      <c r="B77" t="s">
        <v>99</v>
      </c>
      <c r="C77" t="s">
        <v>83</v>
      </c>
      <c r="D77" t="s">
        <v>20</v>
      </c>
      <c r="E77">
        <v>2025</v>
      </c>
      <c r="F77">
        <v>7</v>
      </c>
      <c r="G77">
        <v>19</v>
      </c>
      <c r="H77">
        <v>12056</v>
      </c>
      <c r="I77">
        <v>0</v>
      </c>
      <c r="J77">
        <v>0</v>
      </c>
      <c r="K77">
        <v>200.9</v>
      </c>
      <c r="L77">
        <v>0</v>
      </c>
      <c r="M77">
        <v>10.6</v>
      </c>
      <c r="N77">
        <v>152</v>
      </c>
      <c r="O77" s="1" t="s">
        <v>101</v>
      </c>
    </row>
    <row r="78" spans="1:15">
      <c r="A78">
        <v>1209058</v>
      </c>
      <c r="B78" t="s">
        <v>99</v>
      </c>
      <c r="C78" t="s">
        <v>83</v>
      </c>
      <c r="D78" t="s">
        <v>20</v>
      </c>
      <c r="E78">
        <v>2025</v>
      </c>
      <c r="F78">
        <v>8</v>
      </c>
      <c r="G78">
        <v>16</v>
      </c>
      <c r="H78">
        <v>8638</v>
      </c>
      <c r="I78">
        <v>0</v>
      </c>
      <c r="J78">
        <v>0</v>
      </c>
      <c r="K78">
        <v>144</v>
      </c>
      <c r="L78">
        <v>0</v>
      </c>
      <c r="M78">
        <v>9</v>
      </c>
      <c r="N78">
        <v>128</v>
      </c>
      <c r="O78">
        <v>16</v>
      </c>
    </row>
    <row r="79" spans="1:15">
      <c r="A79">
        <v>1209074</v>
      </c>
      <c r="B79" t="s">
        <v>102</v>
      </c>
      <c r="C79" t="s">
        <v>103</v>
      </c>
      <c r="D79" t="s">
        <v>20</v>
      </c>
      <c r="E79">
        <v>2025</v>
      </c>
      <c r="F79">
        <v>6</v>
      </c>
      <c r="G79">
        <v>18</v>
      </c>
      <c r="H79">
        <v>10567</v>
      </c>
      <c r="I79">
        <v>0</v>
      </c>
      <c r="J79">
        <v>0</v>
      </c>
      <c r="K79">
        <v>176.1</v>
      </c>
      <c r="L79">
        <v>0</v>
      </c>
      <c r="M79">
        <v>9.8000000000000007</v>
      </c>
      <c r="N79">
        <v>144</v>
      </c>
      <c r="O79" s="1" t="s">
        <v>42</v>
      </c>
    </row>
    <row r="80" spans="1:15">
      <c r="A80">
        <v>1209074</v>
      </c>
      <c r="B80" t="s">
        <v>102</v>
      </c>
      <c r="C80" t="s">
        <v>103</v>
      </c>
      <c r="D80" t="s">
        <v>20</v>
      </c>
      <c r="E80">
        <v>2025</v>
      </c>
      <c r="F80">
        <v>7</v>
      </c>
      <c r="G80">
        <v>19</v>
      </c>
      <c r="H80">
        <v>10668</v>
      </c>
      <c r="I80">
        <v>0</v>
      </c>
      <c r="J80">
        <v>0</v>
      </c>
      <c r="K80">
        <v>177.8</v>
      </c>
      <c r="L80">
        <v>0</v>
      </c>
      <c r="M80">
        <v>9.4</v>
      </c>
      <c r="N80">
        <v>152</v>
      </c>
      <c r="O80" s="1" t="s">
        <v>104</v>
      </c>
    </row>
    <row r="81" spans="1:15">
      <c r="A81">
        <v>1209074</v>
      </c>
      <c r="B81" t="s">
        <v>102</v>
      </c>
      <c r="C81" t="s">
        <v>103</v>
      </c>
      <c r="D81" t="s">
        <v>20</v>
      </c>
      <c r="E81">
        <v>2025</v>
      </c>
      <c r="F81">
        <v>8</v>
      </c>
      <c r="G81">
        <v>16</v>
      </c>
      <c r="H81">
        <v>8726</v>
      </c>
      <c r="I81">
        <v>0</v>
      </c>
      <c r="J81">
        <v>0</v>
      </c>
      <c r="K81">
        <v>145.4</v>
      </c>
      <c r="L81">
        <v>0</v>
      </c>
      <c r="M81">
        <v>9.1</v>
      </c>
      <c r="N81">
        <v>128</v>
      </c>
      <c r="O81" s="1" t="s">
        <v>105</v>
      </c>
    </row>
    <row r="82" spans="1:15">
      <c r="A82">
        <v>1209084</v>
      </c>
      <c r="B82" t="s">
        <v>106</v>
      </c>
      <c r="C82" t="s">
        <v>96</v>
      </c>
      <c r="D82" t="s">
        <v>20</v>
      </c>
      <c r="E82">
        <v>2025</v>
      </c>
      <c r="F82">
        <v>6</v>
      </c>
      <c r="G82">
        <v>15</v>
      </c>
      <c r="H82">
        <v>10321</v>
      </c>
      <c r="I82">
        <v>1247</v>
      </c>
      <c r="J82">
        <v>0</v>
      </c>
      <c r="K82">
        <v>172</v>
      </c>
      <c r="L82">
        <v>20.8</v>
      </c>
      <c r="M82">
        <v>11.5</v>
      </c>
      <c r="N82">
        <v>120</v>
      </c>
      <c r="O82">
        <v>52</v>
      </c>
    </row>
    <row r="83" spans="1:15">
      <c r="A83">
        <v>1209084</v>
      </c>
      <c r="B83" t="s">
        <v>106</v>
      </c>
      <c r="C83" t="s">
        <v>96</v>
      </c>
      <c r="D83" t="s">
        <v>20</v>
      </c>
      <c r="E83">
        <v>2025</v>
      </c>
      <c r="F83">
        <v>7</v>
      </c>
      <c r="G83">
        <v>17</v>
      </c>
      <c r="H83">
        <v>11109</v>
      </c>
      <c r="I83">
        <v>1597</v>
      </c>
      <c r="J83">
        <v>0</v>
      </c>
      <c r="K83">
        <v>185.2</v>
      </c>
      <c r="L83">
        <v>26.6</v>
      </c>
      <c r="M83">
        <v>10.9</v>
      </c>
      <c r="N83">
        <v>136</v>
      </c>
      <c r="O83" s="1" t="s">
        <v>107</v>
      </c>
    </row>
    <row r="84" spans="1:15">
      <c r="A84">
        <v>1209084</v>
      </c>
      <c r="B84" t="s">
        <v>106</v>
      </c>
      <c r="C84" t="s">
        <v>96</v>
      </c>
      <c r="D84" t="s">
        <v>20</v>
      </c>
      <c r="E84">
        <v>2025</v>
      </c>
      <c r="F84">
        <v>8</v>
      </c>
      <c r="G84">
        <v>15</v>
      </c>
      <c r="H84">
        <v>10154</v>
      </c>
      <c r="I84">
        <v>1289</v>
      </c>
      <c r="J84">
        <v>0</v>
      </c>
      <c r="K84">
        <v>169.2</v>
      </c>
      <c r="L84">
        <v>21.5</v>
      </c>
      <c r="M84">
        <v>11.3</v>
      </c>
      <c r="N84">
        <v>120</v>
      </c>
      <c r="O84" s="1" t="s">
        <v>107</v>
      </c>
    </row>
    <row r="85" spans="1:15">
      <c r="A85">
        <v>1210014</v>
      </c>
      <c r="B85" t="s">
        <v>108</v>
      </c>
      <c r="C85" t="s">
        <v>61</v>
      </c>
      <c r="D85" t="s">
        <v>20</v>
      </c>
      <c r="E85">
        <v>2025</v>
      </c>
      <c r="F85">
        <v>6</v>
      </c>
      <c r="G85">
        <v>18</v>
      </c>
      <c r="H85">
        <v>11503</v>
      </c>
      <c r="I85">
        <v>879</v>
      </c>
      <c r="J85">
        <v>0</v>
      </c>
      <c r="K85">
        <v>191.7</v>
      </c>
      <c r="L85">
        <v>14.6</v>
      </c>
      <c r="M85">
        <v>10.6</v>
      </c>
      <c r="N85">
        <v>144</v>
      </c>
      <c r="O85" s="1" t="s">
        <v>109</v>
      </c>
    </row>
    <row r="86" spans="1:15">
      <c r="A86">
        <v>1210014</v>
      </c>
      <c r="B86" t="s">
        <v>108</v>
      </c>
      <c r="C86" t="s">
        <v>61</v>
      </c>
      <c r="D86" t="s">
        <v>20</v>
      </c>
      <c r="E86">
        <v>2025</v>
      </c>
      <c r="F86">
        <v>7</v>
      </c>
      <c r="G86">
        <v>18</v>
      </c>
      <c r="H86">
        <v>11328</v>
      </c>
      <c r="I86">
        <v>603</v>
      </c>
      <c r="J86">
        <v>0</v>
      </c>
      <c r="K86">
        <v>188.8</v>
      </c>
      <c r="L86">
        <v>10</v>
      </c>
      <c r="M86">
        <v>10.5</v>
      </c>
      <c r="N86">
        <v>144</v>
      </c>
      <c r="O86" s="1" t="s">
        <v>110</v>
      </c>
    </row>
    <row r="87" spans="1:15">
      <c r="A87">
        <v>1210014</v>
      </c>
      <c r="B87" t="s">
        <v>108</v>
      </c>
      <c r="C87" t="s">
        <v>61</v>
      </c>
      <c r="D87" t="s">
        <v>20</v>
      </c>
      <c r="E87">
        <v>2025</v>
      </c>
      <c r="F87">
        <v>8</v>
      </c>
      <c r="G87">
        <v>16</v>
      </c>
      <c r="H87">
        <v>10338</v>
      </c>
      <c r="I87">
        <v>1256</v>
      </c>
      <c r="J87">
        <v>0</v>
      </c>
      <c r="K87">
        <v>172.3</v>
      </c>
      <c r="L87">
        <v>20.9</v>
      </c>
      <c r="M87">
        <v>10.8</v>
      </c>
      <c r="N87">
        <v>128</v>
      </c>
      <c r="O87" s="1" t="s">
        <v>111</v>
      </c>
    </row>
    <row r="88" spans="1:15">
      <c r="A88">
        <v>1210019</v>
      </c>
      <c r="B88" t="s">
        <v>112</v>
      </c>
      <c r="C88" t="s">
        <v>113</v>
      </c>
      <c r="D88" t="s">
        <v>20</v>
      </c>
      <c r="E88">
        <v>2025</v>
      </c>
      <c r="F88">
        <v>6</v>
      </c>
      <c r="G88">
        <v>18</v>
      </c>
      <c r="H88">
        <v>11682</v>
      </c>
      <c r="I88">
        <v>1687</v>
      </c>
      <c r="J88">
        <v>0</v>
      </c>
      <c r="K88">
        <v>194.7</v>
      </c>
      <c r="L88">
        <v>28.1</v>
      </c>
      <c r="M88">
        <v>10.8</v>
      </c>
      <c r="N88">
        <v>144</v>
      </c>
      <c r="O88" s="1" t="s">
        <v>114</v>
      </c>
    </row>
    <row r="89" spans="1:15">
      <c r="A89">
        <v>1210019</v>
      </c>
      <c r="B89" t="s">
        <v>112</v>
      </c>
      <c r="C89" t="s">
        <v>113</v>
      </c>
      <c r="D89" t="s">
        <v>20</v>
      </c>
      <c r="E89">
        <v>2025</v>
      </c>
      <c r="F89">
        <v>7</v>
      </c>
      <c r="G89">
        <v>19</v>
      </c>
      <c r="H89">
        <v>12572</v>
      </c>
      <c r="I89">
        <v>1879</v>
      </c>
      <c r="J89">
        <v>0</v>
      </c>
      <c r="K89">
        <v>209.5</v>
      </c>
      <c r="L89">
        <v>31.3</v>
      </c>
      <c r="M89">
        <v>11</v>
      </c>
      <c r="N89">
        <v>152</v>
      </c>
      <c r="O89">
        <v>57.5</v>
      </c>
    </row>
    <row r="90" spans="1:15">
      <c r="A90">
        <v>1210019</v>
      </c>
      <c r="B90" t="s">
        <v>112</v>
      </c>
      <c r="C90" t="s">
        <v>113</v>
      </c>
      <c r="D90" t="s">
        <v>20</v>
      </c>
      <c r="E90">
        <v>2025</v>
      </c>
      <c r="F90">
        <v>8</v>
      </c>
      <c r="G90">
        <v>16</v>
      </c>
      <c r="H90">
        <v>10483</v>
      </c>
      <c r="I90">
        <v>1593</v>
      </c>
      <c r="J90">
        <v>0</v>
      </c>
      <c r="K90">
        <v>174.7</v>
      </c>
      <c r="L90">
        <v>26.6</v>
      </c>
      <c r="M90">
        <v>10.9</v>
      </c>
      <c r="N90">
        <v>128</v>
      </c>
      <c r="O90" s="1" t="s">
        <v>115</v>
      </c>
    </row>
    <row r="91" spans="1:15">
      <c r="A91">
        <v>1210020</v>
      </c>
      <c r="B91" t="s">
        <v>116</v>
      </c>
      <c r="C91" t="s">
        <v>117</v>
      </c>
      <c r="D91" t="s">
        <v>20</v>
      </c>
      <c r="E91">
        <v>2025</v>
      </c>
      <c r="F91">
        <v>6</v>
      </c>
      <c r="G91">
        <v>19</v>
      </c>
      <c r="H91">
        <v>10285</v>
      </c>
      <c r="I91">
        <v>0</v>
      </c>
      <c r="J91">
        <v>0</v>
      </c>
      <c r="K91">
        <v>171.4</v>
      </c>
      <c r="L91">
        <v>0</v>
      </c>
      <c r="M91">
        <v>9</v>
      </c>
      <c r="N91">
        <v>152</v>
      </c>
      <c r="O91" s="1" t="s">
        <v>64</v>
      </c>
    </row>
    <row r="92" spans="1:15">
      <c r="A92">
        <v>1210020</v>
      </c>
      <c r="B92" t="s">
        <v>116</v>
      </c>
      <c r="C92" t="s">
        <v>117</v>
      </c>
      <c r="D92" t="s">
        <v>20</v>
      </c>
      <c r="E92">
        <v>2025</v>
      </c>
      <c r="F92">
        <v>7</v>
      </c>
      <c r="G92">
        <v>20</v>
      </c>
      <c r="H92">
        <v>10840</v>
      </c>
      <c r="I92">
        <v>330</v>
      </c>
      <c r="J92">
        <v>1</v>
      </c>
      <c r="K92">
        <v>180.7</v>
      </c>
      <c r="L92">
        <v>5.5</v>
      </c>
      <c r="M92">
        <v>9</v>
      </c>
      <c r="N92">
        <v>152</v>
      </c>
      <c r="O92" s="1" t="s">
        <v>118</v>
      </c>
    </row>
    <row r="93" spans="1:15">
      <c r="A93">
        <v>1210020</v>
      </c>
      <c r="B93" t="s">
        <v>116</v>
      </c>
      <c r="C93" t="s">
        <v>117</v>
      </c>
      <c r="D93" t="s">
        <v>20</v>
      </c>
      <c r="E93">
        <v>2025</v>
      </c>
      <c r="F93">
        <v>8</v>
      </c>
      <c r="G93">
        <v>16</v>
      </c>
      <c r="H93">
        <v>8872</v>
      </c>
      <c r="I93">
        <v>243</v>
      </c>
      <c r="J93">
        <v>0</v>
      </c>
      <c r="K93">
        <v>147.9</v>
      </c>
      <c r="L93">
        <v>4</v>
      </c>
      <c r="M93">
        <v>9.1999999999999993</v>
      </c>
      <c r="N93">
        <v>128</v>
      </c>
      <c r="O93" s="1" t="s">
        <v>119</v>
      </c>
    </row>
    <row r="94" spans="1:15">
      <c r="A94">
        <v>1210021</v>
      </c>
      <c r="B94" t="s">
        <v>120</v>
      </c>
      <c r="C94" t="s">
        <v>83</v>
      </c>
      <c r="D94" t="s">
        <v>20</v>
      </c>
      <c r="E94">
        <v>2025</v>
      </c>
      <c r="F94">
        <v>6</v>
      </c>
      <c r="G94">
        <v>18</v>
      </c>
      <c r="H94">
        <v>11506</v>
      </c>
      <c r="I94">
        <v>0</v>
      </c>
      <c r="J94">
        <v>0</v>
      </c>
      <c r="K94">
        <v>191.8</v>
      </c>
      <c r="L94">
        <v>0</v>
      </c>
      <c r="M94">
        <v>10.7</v>
      </c>
      <c r="N94">
        <v>144</v>
      </c>
      <c r="O94" s="1" t="s">
        <v>121</v>
      </c>
    </row>
    <row r="95" spans="1:15">
      <c r="A95">
        <v>1210021</v>
      </c>
      <c r="B95" t="s">
        <v>120</v>
      </c>
      <c r="C95" t="s">
        <v>83</v>
      </c>
      <c r="D95" t="s">
        <v>20</v>
      </c>
      <c r="E95">
        <v>2025</v>
      </c>
      <c r="F95">
        <v>7</v>
      </c>
      <c r="G95">
        <v>18</v>
      </c>
      <c r="H95">
        <v>11833</v>
      </c>
      <c r="I95">
        <v>0</v>
      </c>
      <c r="J95">
        <v>0</v>
      </c>
      <c r="K95">
        <v>197.2</v>
      </c>
      <c r="L95">
        <v>0</v>
      </c>
      <c r="M95">
        <v>11</v>
      </c>
      <c r="N95">
        <v>144</v>
      </c>
      <c r="O95" s="1" t="s">
        <v>122</v>
      </c>
    </row>
    <row r="96" spans="1:15">
      <c r="A96">
        <v>1210021</v>
      </c>
      <c r="B96" t="s">
        <v>120</v>
      </c>
      <c r="C96" t="s">
        <v>83</v>
      </c>
      <c r="D96" t="s">
        <v>20</v>
      </c>
      <c r="E96">
        <v>2025</v>
      </c>
      <c r="F96">
        <v>8</v>
      </c>
      <c r="G96">
        <v>16</v>
      </c>
      <c r="H96">
        <v>10000</v>
      </c>
      <c r="I96">
        <v>0</v>
      </c>
      <c r="J96">
        <v>0</v>
      </c>
      <c r="K96">
        <v>166.7</v>
      </c>
      <c r="L96">
        <v>0</v>
      </c>
      <c r="M96">
        <v>10.4</v>
      </c>
      <c r="N96">
        <v>128</v>
      </c>
      <c r="O96" s="1" t="s">
        <v>123</v>
      </c>
    </row>
    <row r="97" spans="1:15">
      <c r="A97">
        <v>1210025</v>
      </c>
      <c r="B97" t="s">
        <v>124</v>
      </c>
      <c r="C97" t="s">
        <v>19</v>
      </c>
      <c r="D97" t="s">
        <v>20</v>
      </c>
      <c r="E97">
        <v>2025</v>
      </c>
      <c r="F97">
        <v>6</v>
      </c>
      <c r="G97">
        <v>19</v>
      </c>
      <c r="H97">
        <v>11744</v>
      </c>
      <c r="I97">
        <v>591</v>
      </c>
      <c r="J97">
        <v>0</v>
      </c>
      <c r="K97">
        <v>195.7</v>
      </c>
      <c r="L97">
        <v>9.8000000000000007</v>
      </c>
      <c r="M97">
        <v>10.3</v>
      </c>
      <c r="N97">
        <v>152</v>
      </c>
      <c r="O97" s="1" t="s">
        <v>125</v>
      </c>
    </row>
    <row r="98" spans="1:15">
      <c r="A98">
        <v>1210025</v>
      </c>
      <c r="B98" t="s">
        <v>124</v>
      </c>
      <c r="C98" t="s">
        <v>19</v>
      </c>
      <c r="D98" t="s">
        <v>20</v>
      </c>
      <c r="E98">
        <v>2025</v>
      </c>
      <c r="F98">
        <v>7</v>
      </c>
      <c r="G98">
        <v>17</v>
      </c>
      <c r="H98">
        <v>10705</v>
      </c>
      <c r="I98">
        <v>473</v>
      </c>
      <c r="J98">
        <v>0</v>
      </c>
      <c r="K98">
        <v>178.4</v>
      </c>
      <c r="L98">
        <v>7.9</v>
      </c>
      <c r="M98">
        <v>10.5</v>
      </c>
      <c r="N98">
        <v>136</v>
      </c>
      <c r="O98" s="1" t="s">
        <v>126</v>
      </c>
    </row>
    <row r="99" spans="1:15">
      <c r="A99">
        <v>1210025</v>
      </c>
      <c r="B99" t="s">
        <v>124</v>
      </c>
      <c r="C99" t="s">
        <v>19</v>
      </c>
      <c r="D99" t="s">
        <v>20</v>
      </c>
      <c r="E99">
        <v>2025</v>
      </c>
      <c r="F99">
        <v>8</v>
      </c>
      <c r="G99">
        <v>15</v>
      </c>
      <c r="H99">
        <v>8951</v>
      </c>
      <c r="I99">
        <v>426</v>
      </c>
      <c r="J99">
        <v>0</v>
      </c>
      <c r="K99">
        <v>149.19999999999999</v>
      </c>
      <c r="L99">
        <v>7.1</v>
      </c>
      <c r="M99">
        <v>9.9</v>
      </c>
      <c r="N99">
        <v>120</v>
      </c>
      <c r="O99" s="1" t="s">
        <v>127</v>
      </c>
    </row>
    <row r="100" spans="1:15">
      <c r="A100">
        <v>1210026</v>
      </c>
      <c r="B100" t="s">
        <v>128</v>
      </c>
      <c r="C100" t="s">
        <v>31</v>
      </c>
      <c r="D100" t="s">
        <v>20</v>
      </c>
      <c r="E100">
        <v>2025</v>
      </c>
      <c r="F100">
        <v>6</v>
      </c>
      <c r="G100">
        <v>17</v>
      </c>
      <c r="H100">
        <v>8542</v>
      </c>
      <c r="I100">
        <v>0</v>
      </c>
      <c r="J100">
        <v>0</v>
      </c>
      <c r="K100">
        <v>142.4</v>
      </c>
      <c r="L100">
        <v>0</v>
      </c>
      <c r="M100">
        <v>8.4</v>
      </c>
      <c r="N100">
        <v>136</v>
      </c>
      <c r="O100" s="1" t="s">
        <v>129</v>
      </c>
    </row>
    <row r="101" spans="1:15">
      <c r="A101">
        <v>1210026</v>
      </c>
      <c r="B101" t="s">
        <v>128</v>
      </c>
      <c r="C101" t="s">
        <v>31</v>
      </c>
      <c r="D101" t="s">
        <v>20</v>
      </c>
      <c r="E101">
        <v>2025</v>
      </c>
      <c r="F101">
        <v>7</v>
      </c>
      <c r="G101">
        <v>20</v>
      </c>
      <c r="H101">
        <v>9378</v>
      </c>
      <c r="I101">
        <v>120</v>
      </c>
      <c r="J101">
        <v>1</v>
      </c>
      <c r="K101">
        <v>156.30000000000001</v>
      </c>
      <c r="L101">
        <v>2</v>
      </c>
      <c r="M101">
        <v>7.8</v>
      </c>
      <c r="N101">
        <v>152</v>
      </c>
      <c r="O101" s="1" t="s">
        <v>130</v>
      </c>
    </row>
    <row r="102" spans="1:15">
      <c r="A102">
        <v>1210026</v>
      </c>
      <c r="B102" t="s">
        <v>128</v>
      </c>
      <c r="C102" t="s">
        <v>31</v>
      </c>
      <c r="D102" t="s">
        <v>20</v>
      </c>
      <c r="E102">
        <v>2025</v>
      </c>
      <c r="F102">
        <v>8</v>
      </c>
      <c r="G102">
        <v>17</v>
      </c>
      <c r="H102">
        <v>8677</v>
      </c>
      <c r="I102">
        <v>0</v>
      </c>
      <c r="J102">
        <v>0</v>
      </c>
      <c r="K102">
        <v>144.6</v>
      </c>
      <c r="L102">
        <v>0</v>
      </c>
      <c r="M102">
        <v>8.5</v>
      </c>
      <c r="N102">
        <v>136</v>
      </c>
      <c r="O102" s="1" t="s">
        <v>131</v>
      </c>
    </row>
    <row r="103" spans="1:15">
      <c r="A103">
        <v>1210111</v>
      </c>
      <c r="B103" t="s">
        <v>132</v>
      </c>
      <c r="C103" t="s">
        <v>39</v>
      </c>
      <c r="D103" t="s">
        <v>20</v>
      </c>
      <c r="E103">
        <v>2025</v>
      </c>
      <c r="F103">
        <v>6</v>
      </c>
      <c r="G103">
        <v>17</v>
      </c>
      <c r="H103">
        <v>9555</v>
      </c>
      <c r="I103">
        <v>0</v>
      </c>
      <c r="J103">
        <v>0</v>
      </c>
      <c r="K103">
        <v>159.19999999999999</v>
      </c>
      <c r="L103">
        <v>0</v>
      </c>
      <c r="M103">
        <v>9.4</v>
      </c>
      <c r="N103">
        <v>136</v>
      </c>
      <c r="O103" s="1" t="s">
        <v>133</v>
      </c>
    </row>
    <row r="104" spans="1:15">
      <c r="A104">
        <v>1210111</v>
      </c>
      <c r="B104" t="s">
        <v>132</v>
      </c>
      <c r="C104" t="s">
        <v>39</v>
      </c>
      <c r="D104" t="s">
        <v>20</v>
      </c>
      <c r="E104">
        <v>2025</v>
      </c>
      <c r="F104">
        <v>7</v>
      </c>
      <c r="G104">
        <v>18</v>
      </c>
      <c r="H104">
        <v>10497</v>
      </c>
      <c r="I104">
        <v>0</v>
      </c>
      <c r="J104">
        <v>0</v>
      </c>
      <c r="K104">
        <v>175</v>
      </c>
      <c r="L104">
        <v>0</v>
      </c>
      <c r="M104">
        <v>9.6999999999999993</v>
      </c>
      <c r="N104">
        <v>144</v>
      </c>
      <c r="O104">
        <v>31</v>
      </c>
    </row>
    <row r="105" spans="1:15">
      <c r="A105">
        <v>1210111</v>
      </c>
      <c r="B105" t="s">
        <v>132</v>
      </c>
      <c r="C105" t="s">
        <v>39</v>
      </c>
      <c r="D105" t="s">
        <v>20</v>
      </c>
      <c r="E105">
        <v>2025</v>
      </c>
      <c r="F105">
        <v>8</v>
      </c>
      <c r="G105">
        <v>16</v>
      </c>
      <c r="H105">
        <v>8689</v>
      </c>
      <c r="I105">
        <v>0</v>
      </c>
      <c r="J105">
        <v>0</v>
      </c>
      <c r="K105">
        <v>144.80000000000001</v>
      </c>
      <c r="L105">
        <v>0</v>
      </c>
      <c r="M105">
        <v>9</v>
      </c>
      <c r="N105">
        <v>128</v>
      </c>
      <c r="O105" s="1" t="s">
        <v>134</v>
      </c>
    </row>
    <row r="106" spans="1:15">
      <c r="A106">
        <v>1210115</v>
      </c>
      <c r="B106" t="s">
        <v>135</v>
      </c>
      <c r="C106" t="s">
        <v>49</v>
      </c>
      <c r="D106" t="s">
        <v>136</v>
      </c>
      <c r="E106">
        <v>2025</v>
      </c>
      <c r="F106">
        <v>6</v>
      </c>
      <c r="G106">
        <v>16</v>
      </c>
      <c r="H106">
        <v>11898</v>
      </c>
      <c r="I106">
        <v>2835</v>
      </c>
      <c r="J106">
        <v>0</v>
      </c>
      <c r="K106">
        <v>198.3</v>
      </c>
      <c r="L106">
        <v>47.2</v>
      </c>
      <c r="M106">
        <v>12.4</v>
      </c>
      <c r="N106">
        <v>128</v>
      </c>
      <c r="O106" s="1" t="s">
        <v>137</v>
      </c>
    </row>
    <row r="107" spans="1:15">
      <c r="A107">
        <v>1210115</v>
      </c>
      <c r="B107" t="s">
        <v>135</v>
      </c>
      <c r="C107" t="s">
        <v>49</v>
      </c>
      <c r="D107" t="s">
        <v>136</v>
      </c>
      <c r="E107">
        <v>2025</v>
      </c>
      <c r="F107">
        <v>7</v>
      </c>
      <c r="G107">
        <v>17</v>
      </c>
      <c r="H107">
        <v>12749</v>
      </c>
      <c r="I107">
        <v>2880</v>
      </c>
      <c r="J107">
        <v>0</v>
      </c>
      <c r="K107">
        <v>212.5</v>
      </c>
      <c r="L107">
        <v>48</v>
      </c>
      <c r="M107">
        <v>12.5</v>
      </c>
      <c r="N107">
        <v>136</v>
      </c>
      <c r="O107">
        <v>76.5</v>
      </c>
    </row>
    <row r="108" spans="1:15">
      <c r="A108">
        <v>1210115</v>
      </c>
      <c r="B108" t="s">
        <v>135</v>
      </c>
      <c r="C108" t="s">
        <v>49</v>
      </c>
      <c r="D108" t="s">
        <v>136</v>
      </c>
      <c r="E108">
        <v>2025</v>
      </c>
      <c r="F108">
        <v>8</v>
      </c>
      <c r="G108">
        <v>15</v>
      </c>
      <c r="H108">
        <v>8582</v>
      </c>
      <c r="I108">
        <v>1249</v>
      </c>
      <c r="J108">
        <v>0</v>
      </c>
      <c r="K108">
        <v>143</v>
      </c>
      <c r="L108">
        <v>20.8</v>
      </c>
      <c r="M108">
        <v>9.5</v>
      </c>
      <c r="N108">
        <v>120</v>
      </c>
      <c r="O108">
        <v>23</v>
      </c>
    </row>
    <row r="109" spans="1:15">
      <c r="A109">
        <v>1210154</v>
      </c>
      <c r="B109" t="s">
        <v>138</v>
      </c>
      <c r="C109" t="s">
        <v>113</v>
      </c>
      <c r="D109" t="s">
        <v>20</v>
      </c>
      <c r="E109">
        <v>2025</v>
      </c>
      <c r="F109">
        <v>6</v>
      </c>
      <c r="G109">
        <v>19</v>
      </c>
      <c r="H109">
        <v>12503</v>
      </c>
      <c r="I109">
        <v>2434</v>
      </c>
      <c r="J109">
        <v>0</v>
      </c>
      <c r="K109">
        <v>208.4</v>
      </c>
      <c r="L109">
        <v>40.6</v>
      </c>
      <c r="M109">
        <v>11</v>
      </c>
      <c r="N109">
        <v>152</v>
      </c>
      <c r="O109" s="1" t="s">
        <v>139</v>
      </c>
    </row>
    <row r="110" spans="1:15">
      <c r="A110">
        <v>1210154</v>
      </c>
      <c r="B110" t="s">
        <v>138</v>
      </c>
      <c r="C110" t="s">
        <v>113</v>
      </c>
      <c r="D110" t="s">
        <v>20</v>
      </c>
      <c r="E110">
        <v>2025</v>
      </c>
      <c r="F110">
        <v>7</v>
      </c>
      <c r="G110">
        <v>20</v>
      </c>
      <c r="H110">
        <v>14058</v>
      </c>
      <c r="I110">
        <v>3543</v>
      </c>
      <c r="J110">
        <v>0</v>
      </c>
      <c r="K110">
        <v>234.3</v>
      </c>
      <c r="L110">
        <v>59</v>
      </c>
      <c r="M110">
        <v>11.7</v>
      </c>
      <c r="N110">
        <v>160</v>
      </c>
      <c r="O110" s="1" t="s">
        <v>140</v>
      </c>
    </row>
    <row r="111" spans="1:15">
      <c r="A111">
        <v>1210154</v>
      </c>
      <c r="B111" t="s">
        <v>138</v>
      </c>
      <c r="C111" t="s">
        <v>113</v>
      </c>
      <c r="D111" t="s">
        <v>20</v>
      </c>
      <c r="E111">
        <v>2025</v>
      </c>
      <c r="F111">
        <v>8</v>
      </c>
      <c r="G111">
        <v>16</v>
      </c>
      <c r="H111">
        <v>10900</v>
      </c>
      <c r="I111">
        <v>2640</v>
      </c>
      <c r="J111">
        <v>0</v>
      </c>
      <c r="K111">
        <v>181.7</v>
      </c>
      <c r="L111">
        <v>44</v>
      </c>
      <c r="M111">
        <v>11.4</v>
      </c>
      <c r="N111">
        <v>128</v>
      </c>
      <c r="O111" s="1" t="s">
        <v>141</v>
      </c>
    </row>
    <row r="112" spans="1:15">
      <c r="A112">
        <v>1210237</v>
      </c>
      <c r="B112" t="s">
        <v>142</v>
      </c>
      <c r="C112" t="s">
        <v>96</v>
      </c>
      <c r="D112" t="s">
        <v>20</v>
      </c>
      <c r="E112">
        <v>2025</v>
      </c>
      <c r="F112">
        <v>6</v>
      </c>
      <c r="G112">
        <v>21</v>
      </c>
      <c r="H112">
        <v>14547</v>
      </c>
      <c r="I112">
        <v>1643</v>
      </c>
      <c r="J112">
        <v>2</v>
      </c>
      <c r="K112">
        <v>242.4</v>
      </c>
      <c r="L112">
        <v>27.4</v>
      </c>
      <c r="M112">
        <v>11.5</v>
      </c>
      <c r="N112">
        <v>152</v>
      </c>
      <c r="O112">
        <v>90.4</v>
      </c>
    </row>
    <row r="113" spans="1:15">
      <c r="A113">
        <v>1210237</v>
      </c>
      <c r="B113" t="s">
        <v>142</v>
      </c>
      <c r="C113" t="s">
        <v>96</v>
      </c>
      <c r="D113" t="s">
        <v>20</v>
      </c>
      <c r="E113">
        <v>2025</v>
      </c>
      <c r="F113">
        <v>7</v>
      </c>
      <c r="G113">
        <v>20</v>
      </c>
      <c r="H113">
        <v>12589</v>
      </c>
      <c r="I113">
        <v>3265</v>
      </c>
      <c r="J113">
        <v>2</v>
      </c>
      <c r="K113">
        <v>209.8</v>
      </c>
      <c r="L113">
        <v>54.4</v>
      </c>
      <c r="M113">
        <v>10.5</v>
      </c>
      <c r="N113">
        <v>144</v>
      </c>
      <c r="O113" s="1" t="s">
        <v>143</v>
      </c>
    </row>
    <row r="114" spans="1:15">
      <c r="A114">
        <v>1210237</v>
      </c>
      <c r="B114" t="s">
        <v>142</v>
      </c>
      <c r="C114" t="s">
        <v>96</v>
      </c>
      <c r="D114" t="s">
        <v>20</v>
      </c>
      <c r="E114">
        <v>2025</v>
      </c>
      <c r="F114">
        <v>8</v>
      </c>
      <c r="G114">
        <v>14</v>
      </c>
      <c r="H114">
        <v>10250</v>
      </c>
      <c r="I114">
        <v>2166</v>
      </c>
      <c r="J114">
        <v>0</v>
      </c>
      <c r="K114">
        <v>170.8</v>
      </c>
      <c r="L114">
        <v>36.1</v>
      </c>
      <c r="M114">
        <v>12.2</v>
      </c>
      <c r="N114">
        <v>112</v>
      </c>
      <c r="O114" s="1" t="s">
        <v>144</v>
      </c>
    </row>
    <row r="115" spans="1:15">
      <c r="A115">
        <v>1211015</v>
      </c>
      <c r="B115" t="s">
        <v>145</v>
      </c>
      <c r="C115" t="s">
        <v>93</v>
      </c>
      <c r="D115" t="s">
        <v>136</v>
      </c>
      <c r="E115">
        <v>2025</v>
      </c>
      <c r="F115">
        <v>6</v>
      </c>
      <c r="G115">
        <v>15</v>
      </c>
      <c r="H115">
        <v>8976</v>
      </c>
      <c r="I115">
        <v>0</v>
      </c>
      <c r="J115">
        <v>0</v>
      </c>
      <c r="K115">
        <v>149.6</v>
      </c>
      <c r="L115">
        <v>0</v>
      </c>
      <c r="M115">
        <v>10</v>
      </c>
      <c r="N115">
        <v>120</v>
      </c>
      <c r="O115" s="1" t="s">
        <v>146</v>
      </c>
    </row>
    <row r="116" spans="1:15">
      <c r="A116">
        <v>1211015</v>
      </c>
      <c r="B116" t="s">
        <v>145</v>
      </c>
      <c r="C116" t="s">
        <v>93</v>
      </c>
      <c r="D116" t="s">
        <v>136</v>
      </c>
      <c r="E116">
        <v>2025</v>
      </c>
      <c r="F116">
        <v>7</v>
      </c>
      <c r="G116">
        <v>11</v>
      </c>
      <c r="H116">
        <v>6417</v>
      </c>
      <c r="I116">
        <v>0</v>
      </c>
      <c r="J116">
        <v>0</v>
      </c>
      <c r="K116">
        <v>107</v>
      </c>
      <c r="L116">
        <v>0</v>
      </c>
      <c r="M116">
        <v>9.6999999999999993</v>
      </c>
      <c r="N116">
        <v>88</v>
      </c>
      <c r="O116">
        <v>19</v>
      </c>
    </row>
    <row r="117" spans="1:15">
      <c r="A117">
        <v>1211015</v>
      </c>
      <c r="B117" t="s">
        <v>145</v>
      </c>
      <c r="C117" t="s">
        <v>93</v>
      </c>
      <c r="D117" t="s">
        <v>136</v>
      </c>
      <c r="E117">
        <v>2025</v>
      </c>
      <c r="F117">
        <v>8</v>
      </c>
      <c r="G117">
        <v>11</v>
      </c>
      <c r="H117">
        <v>5179</v>
      </c>
      <c r="I117">
        <v>0</v>
      </c>
      <c r="J117">
        <v>0</v>
      </c>
      <c r="K117">
        <v>86.3</v>
      </c>
      <c r="L117">
        <v>0</v>
      </c>
      <c r="M117">
        <v>7.8</v>
      </c>
      <c r="N117">
        <v>88</v>
      </c>
      <c r="O117">
        <v>-1.7</v>
      </c>
    </row>
    <row r="118" spans="1:15">
      <c r="A118">
        <v>1211016</v>
      </c>
      <c r="B118" t="s">
        <v>147</v>
      </c>
      <c r="C118" t="s">
        <v>39</v>
      </c>
      <c r="D118" t="s">
        <v>136</v>
      </c>
      <c r="E118">
        <v>2025</v>
      </c>
      <c r="F118">
        <v>6</v>
      </c>
      <c r="G118">
        <v>14</v>
      </c>
      <c r="H118">
        <v>6667</v>
      </c>
      <c r="I118">
        <v>0</v>
      </c>
      <c r="J118">
        <v>0</v>
      </c>
      <c r="K118">
        <v>111.1</v>
      </c>
      <c r="L118">
        <v>0</v>
      </c>
      <c r="M118">
        <v>7.9</v>
      </c>
      <c r="N118">
        <v>112</v>
      </c>
      <c r="O118">
        <v>-0.9</v>
      </c>
    </row>
    <row r="119" spans="1:15">
      <c r="A119">
        <v>1211016</v>
      </c>
      <c r="B119" t="s">
        <v>147</v>
      </c>
      <c r="C119" t="s">
        <v>39</v>
      </c>
      <c r="D119" t="s">
        <v>136</v>
      </c>
      <c r="E119">
        <v>2025</v>
      </c>
      <c r="F119">
        <v>7</v>
      </c>
      <c r="G119">
        <v>16</v>
      </c>
      <c r="H119">
        <v>6946</v>
      </c>
      <c r="I119">
        <v>0</v>
      </c>
      <c r="J119">
        <v>0</v>
      </c>
      <c r="K119">
        <v>115.8</v>
      </c>
      <c r="L119">
        <v>0</v>
      </c>
      <c r="M119">
        <v>7.2</v>
      </c>
      <c r="N119">
        <v>128</v>
      </c>
      <c r="O119">
        <v>-12.2</v>
      </c>
    </row>
    <row r="120" spans="1:15">
      <c r="A120">
        <v>1211016</v>
      </c>
      <c r="B120" t="s">
        <v>147</v>
      </c>
      <c r="C120" t="s">
        <v>39</v>
      </c>
      <c r="D120" t="s">
        <v>136</v>
      </c>
      <c r="E120">
        <v>2025</v>
      </c>
      <c r="F120">
        <v>8</v>
      </c>
      <c r="G120">
        <v>15</v>
      </c>
      <c r="H120">
        <v>6681</v>
      </c>
      <c r="I120">
        <v>0</v>
      </c>
      <c r="J120">
        <v>0</v>
      </c>
      <c r="K120">
        <v>111.4</v>
      </c>
      <c r="L120">
        <v>0</v>
      </c>
      <c r="M120">
        <v>7.4</v>
      </c>
      <c r="N120">
        <v>120</v>
      </c>
      <c r="O120">
        <v>-8.6</v>
      </c>
    </row>
    <row r="121" spans="1:15">
      <c r="A121">
        <v>1211018</v>
      </c>
      <c r="B121" t="s">
        <v>148</v>
      </c>
      <c r="C121" t="s">
        <v>76</v>
      </c>
      <c r="D121" t="s">
        <v>136</v>
      </c>
      <c r="E121">
        <v>2025</v>
      </c>
      <c r="F121">
        <v>6</v>
      </c>
      <c r="G121">
        <v>17</v>
      </c>
      <c r="H121">
        <v>9216</v>
      </c>
      <c r="I121">
        <v>0</v>
      </c>
      <c r="J121">
        <v>0</v>
      </c>
      <c r="K121">
        <v>153.6</v>
      </c>
      <c r="L121">
        <v>0</v>
      </c>
      <c r="M121">
        <v>9</v>
      </c>
      <c r="N121">
        <v>136</v>
      </c>
      <c r="O121" s="1" t="s">
        <v>85</v>
      </c>
    </row>
    <row r="122" spans="1:15">
      <c r="A122">
        <v>1211018</v>
      </c>
      <c r="B122" t="s">
        <v>148</v>
      </c>
      <c r="C122" t="s">
        <v>76</v>
      </c>
      <c r="D122" t="s">
        <v>136</v>
      </c>
      <c r="E122">
        <v>2025</v>
      </c>
      <c r="F122">
        <v>7</v>
      </c>
      <c r="G122">
        <v>18</v>
      </c>
      <c r="H122">
        <v>8593</v>
      </c>
      <c r="I122">
        <v>0</v>
      </c>
      <c r="J122">
        <v>0</v>
      </c>
      <c r="K122">
        <v>143.19999999999999</v>
      </c>
      <c r="L122">
        <v>0</v>
      </c>
      <c r="M122">
        <v>8</v>
      </c>
      <c r="N122">
        <v>144</v>
      </c>
      <c r="O122">
        <v>-0.8</v>
      </c>
    </row>
    <row r="123" spans="1:15">
      <c r="A123">
        <v>1211018</v>
      </c>
      <c r="B123" t="s">
        <v>148</v>
      </c>
      <c r="C123" t="s">
        <v>76</v>
      </c>
      <c r="D123" t="s">
        <v>136</v>
      </c>
      <c r="E123">
        <v>2025</v>
      </c>
      <c r="F123">
        <v>8</v>
      </c>
      <c r="G123">
        <v>16</v>
      </c>
      <c r="H123">
        <v>7516</v>
      </c>
      <c r="I123">
        <v>0</v>
      </c>
      <c r="J123">
        <v>0</v>
      </c>
      <c r="K123">
        <v>125.3</v>
      </c>
      <c r="L123">
        <v>0</v>
      </c>
      <c r="M123">
        <v>7.8</v>
      </c>
      <c r="N123">
        <v>128</v>
      </c>
      <c r="O123">
        <v>-2.7</v>
      </c>
    </row>
    <row r="124" spans="1:15">
      <c r="A124">
        <v>1211025</v>
      </c>
      <c r="B124" t="s">
        <v>149</v>
      </c>
      <c r="C124" t="s">
        <v>61</v>
      </c>
      <c r="D124" t="s">
        <v>20</v>
      </c>
      <c r="E124">
        <v>2025</v>
      </c>
      <c r="F124">
        <v>6</v>
      </c>
      <c r="G124">
        <v>25</v>
      </c>
      <c r="H124">
        <v>25544</v>
      </c>
      <c r="I124">
        <v>0</v>
      </c>
      <c r="J124">
        <v>5</v>
      </c>
      <c r="K124">
        <v>425.7</v>
      </c>
      <c r="L124">
        <v>0</v>
      </c>
      <c r="M124">
        <v>17</v>
      </c>
      <c r="N124">
        <v>160</v>
      </c>
      <c r="O124">
        <v>265.7</v>
      </c>
    </row>
    <row r="125" spans="1:15">
      <c r="A125">
        <v>1211025</v>
      </c>
      <c r="B125" t="s">
        <v>149</v>
      </c>
      <c r="C125" t="s">
        <v>61</v>
      </c>
      <c r="D125" t="s">
        <v>20</v>
      </c>
      <c r="E125">
        <v>2025</v>
      </c>
      <c r="F125">
        <v>7</v>
      </c>
      <c r="G125">
        <v>16</v>
      </c>
      <c r="H125">
        <v>11826</v>
      </c>
      <c r="I125">
        <v>0</v>
      </c>
      <c r="J125">
        <v>0</v>
      </c>
      <c r="K125">
        <v>197.1</v>
      </c>
      <c r="L125">
        <v>0</v>
      </c>
      <c r="M125">
        <v>12.3</v>
      </c>
      <c r="N125">
        <v>128</v>
      </c>
      <c r="O125">
        <v>69.099999999999994</v>
      </c>
    </row>
    <row r="126" spans="1:15">
      <c r="A126">
        <v>1211025</v>
      </c>
      <c r="B126" t="s">
        <v>149</v>
      </c>
      <c r="C126" t="s">
        <v>61</v>
      </c>
      <c r="D126" t="s">
        <v>20</v>
      </c>
      <c r="E126">
        <v>2025</v>
      </c>
      <c r="F126">
        <v>8</v>
      </c>
      <c r="G126">
        <v>18</v>
      </c>
      <c r="H126">
        <v>14537</v>
      </c>
      <c r="I126">
        <v>0</v>
      </c>
      <c r="J126">
        <v>2</v>
      </c>
      <c r="K126">
        <v>242.3</v>
      </c>
      <c r="L126">
        <v>0</v>
      </c>
      <c r="M126">
        <v>13.5</v>
      </c>
      <c r="N126">
        <v>128</v>
      </c>
      <c r="O126" s="1" t="s">
        <v>150</v>
      </c>
    </row>
    <row r="127" spans="1:15">
      <c r="A127">
        <v>1211027</v>
      </c>
      <c r="B127" t="s">
        <v>151</v>
      </c>
      <c r="C127" t="s">
        <v>49</v>
      </c>
      <c r="D127" t="s">
        <v>20</v>
      </c>
      <c r="E127">
        <v>2025</v>
      </c>
      <c r="F127">
        <v>6</v>
      </c>
      <c r="G127">
        <v>17</v>
      </c>
      <c r="H127">
        <v>10528</v>
      </c>
      <c r="I127">
        <v>515</v>
      </c>
      <c r="J127">
        <v>0</v>
      </c>
      <c r="K127">
        <v>175.5</v>
      </c>
      <c r="L127">
        <v>8.6</v>
      </c>
      <c r="M127">
        <v>10.3</v>
      </c>
      <c r="N127">
        <v>136</v>
      </c>
      <c r="O127">
        <v>39.5</v>
      </c>
    </row>
    <row r="128" spans="1:15">
      <c r="A128">
        <v>1211027</v>
      </c>
      <c r="B128" t="s">
        <v>151</v>
      </c>
      <c r="C128" t="s">
        <v>49</v>
      </c>
      <c r="D128" t="s">
        <v>20</v>
      </c>
      <c r="E128">
        <v>2025</v>
      </c>
      <c r="F128">
        <v>7</v>
      </c>
      <c r="G128">
        <v>19</v>
      </c>
      <c r="H128">
        <v>10560</v>
      </c>
      <c r="I128">
        <v>0</v>
      </c>
      <c r="J128">
        <v>0</v>
      </c>
      <c r="K128">
        <v>176</v>
      </c>
      <c r="L128">
        <v>0</v>
      </c>
      <c r="M128">
        <v>9.3000000000000007</v>
      </c>
      <c r="N128">
        <v>152</v>
      </c>
      <c r="O128">
        <v>24</v>
      </c>
    </row>
    <row r="129" spans="1:15">
      <c r="A129">
        <v>1211027</v>
      </c>
      <c r="B129" t="s">
        <v>151</v>
      </c>
      <c r="C129" t="s">
        <v>49</v>
      </c>
      <c r="D129" t="s">
        <v>20</v>
      </c>
      <c r="E129">
        <v>2025</v>
      </c>
      <c r="F129">
        <v>8</v>
      </c>
      <c r="G129">
        <v>16</v>
      </c>
      <c r="H129">
        <v>8985</v>
      </c>
      <c r="I129">
        <v>148</v>
      </c>
      <c r="J129">
        <v>0</v>
      </c>
      <c r="K129">
        <v>149.80000000000001</v>
      </c>
      <c r="L129">
        <v>2.5</v>
      </c>
      <c r="M129">
        <v>9.4</v>
      </c>
      <c r="N129">
        <v>128</v>
      </c>
      <c r="O129" s="1" t="s">
        <v>152</v>
      </c>
    </row>
    <row r="130" spans="1:15">
      <c r="A130">
        <v>1211030</v>
      </c>
      <c r="B130" t="s">
        <v>153</v>
      </c>
      <c r="C130" t="s">
        <v>61</v>
      </c>
      <c r="D130" t="s">
        <v>20</v>
      </c>
      <c r="E130">
        <v>2025</v>
      </c>
      <c r="F130">
        <v>6</v>
      </c>
      <c r="G130">
        <v>16</v>
      </c>
      <c r="H130">
        <v>9785</v>
      </c>
      <c r="I130">
        <v>646</v>
      </c>
      <c r="J130">
        <v>0</v>
      </c>
      <c r="K130">
        <v>163.1</v>
      </c>
      <c r="L130">
        <v>10.8</v>
      </c>
      <c r="M130">
        <v>10.199999999999999</v>
      </c>
      <c r="N130">
        <v>128</v>
      </c>
      <c r="O130" s="1" t="s">
        <v>154</v>
      </c>
    </row>
    <row r="131" spans="1:15">
      <c r="A131">
        <v>1211030</v>
      </c>
      <c r="B131" t="s">
        <v>153</v>
      </c>
      <c r="C131" t="s">
        <v>61</v>
      </c>
      <c r="D131" t="s">
        <v>20</v>
      </c>
      <c r="E131">
        <v>2025</v>
      </c>
      <c r="F131">
        <v>7</v>
      </c>
      <c r="G131">
        <v>18</v>
      </c>
      <c r="H131">
        <v>10963</v>
      </c>
      <c r="I131">
        <v>537</v>
      </c>
      <c r="J131">
        <v>0</v>
      </c>
      <c r="K131">
        <v>182.7</v>
      </c>
      <c r="L131">
        <v>9</v>
      </c>
      <c r="M131">
        <v>10.1</v>
      </c>
      <c r="N131">
        <v>144</v>
      </c>
      <c r="O131" s="1" t="s">
        <v>123</v>
      </c>
    </row>
    <row r="132" spans="1:15">
      <c r="A132">
        <v>1211030</v>
      </c>
      <c r="B132" t="s">
        <v>153</v>
      </c>
      <c r="C132" t="s">
        <v>61</v>
      </c>
      <c r="D132" t="s">
        <v>20</v>
      </c>
      <c r="E132">
        <v>2025</v>
      </c>
      <c r="F132">
        <v>8</v>
      </c>
      <c r="G132">
        <v>13</v>
      </c>
      <c r="H132">
        <v>7315</v>
      </c>
      <c r="I132">
        <v>268</v>
      </c>
      <c r="J132">
        <v>0</v>
      </c>
      <c r="K132">
        <v>121.9</v>
      </c>
      <c r="L132">
        <v>4.5</v>
      </c>
      <c r="M132">
        <v>9.4</v>
      </c>
      <c r="N132">
        <v>104</v>
      </c>
      <c r="O132" s="1" t="s">
        <v>155</v>
      </c>
    </row>
    <row r="133" spans="1:15">
      <c r="A133">
        <v>1211031</v>
      </c>
      <c r="B133" t="s">
        <v>156</v>
      </c>
      <c r="C133" t="s">
        <v>39</v>
      </c>
      <c r="D133" t="s">
        <v>136</v>
      </c>
      <c r="E133">
        <v>2025</v>
      </c>
      <c r="F133">
        <v>6</v>
      </c>
      <c r="G133">
        <v>10</v>
      </c>
      <c r="H133">
        <v>5200</v>
      </c>
      <c r="I133">
        <v>0</v>
      </c>
      <c r="J133">
        <v>0</v>
      </c>
      <c r="K133">
        <v>86.7</v>
      </c>
      <c r="L133">
        <v>0</v>
      </c>
      <c r="M133">
        <v>8.6999999999999993</v>
      </c>
      <c r="N133">
        <v>80</v>
      </c>
      <c r="O133" s="1" t="s">
        <v>157</v>
      </c>
    </row>
    <row r="134" spans="1:15">
      <c r="A134">
        <v>1211031</v>
      </c>
      <c r="B134" t="s">
        <v>156</v>
      </c>
      <c r="C134" t="s">
        <v>39</v>
      </c>
      <c r="D134" t="s">
        <v>136</v>
      </c>
      <c r="E134">
        <v>2025</v>
      </c>
      <c r="F134">
        <v>7</v>
      </c>
      <c r="G134">
        <v>17</v>
      </c>
      <c r="H134">
        <v>8734</v>
      </c>
      <c r="I134">
        <v>0</v>
      </c>
      <c r="J134">
        <v>0</v>
      </c>
      <c r="K134">
        <v>145.6</v>
      </c>
      <c r="L134">
        <v>0</v>
      </c>
      <c r="M134">
        <v>8.6</v>
      </c>
      <c r="N134">
        <v>136</v>
      </c>
      <c r="O134" s="1" t="s">
        <v>158</v>
      </c>
    </row>
    <row r="135" spans="1:15">
      <c r="A135">
        <v>1211031</v>
      </c>
      <c r="B135" t="s">
        <v>156</v>
      </c>
      <c r="C135" t="s">
        <v>39</v>
      </c>
      <c r="D135" t="s">
        <v>136</v>
      </c>
      <c r="E135">
        <v>2025</v>
      </c>
      <c r="F135">
        <v>8</v>
      </c>
      <c r="G135">
        <v>14</v>
      </c>
      <c r="H135">
        <v>7349</v>
      </c>
      <c r="I135">
        <v>180</v>
      </c>
      <c r="J135">
        <v>0</v>
      </c>
      <c r="K135">
        <v>122.5</v>
      </c>
      <c r="L135">
        <v>3</v>
      </c>
      <c r="M135">
        <v>8.8000000000000007</v>
      </c>
      <c r="N135">
        <v>112</v>
      </c>
      <c r="O135">
        <v>10.5</v>
      </c>
    </row>
    <row r="136" spans="1:15">
      <c r="A136">
        <v>1211032</v>
      </c>
      <c r="B136" t="s">
        <v>159</v>
      </c>
      <c r="C136" t="s">
        <v>160</v>
      </c>
      <c r="D136" t="s">
        <v>20</v>
      </c>
      <c r="E136">
        <v>2025</v>
      </c>
      <c r="F136">
        <v>6</v>
      </c>
      <c r="G136">
        <v>18</v>
      </c>
      <c r="H136">
        <v>10702</v>
      </c>
      <c r="I136">
        <v>190</v>
      </c>
      <c r="J136">
        <v>0</v>
      </c>
      <c r="K136">
        <v>178.4</v>
      </c>
      <c r="L136">
        <v>3.2</v>
      </c>
      <c r="M136">
        <v>9.9</v>
      </c>
      <c r="N136">
        <v>144</v>
      </c>
      <c r="O136" s="1" t="s">
        <v>32</v>
      </c>
    </row>
    <row r="137" spans="1:15">
      <c r="A137">
        <v>1211032</v>
      </c>
      <c r="B137" t="s">
        <v>159</v>
      </c>
      <c r="C137" t="s">
        <v>160</v>
      </c>
      <c r="D137" t="s">
        <v>20</v>
      </c>
      <c r="E137">
        <v>2025</v>
      </c>
      <c r="F137">
        <v>7</v>
      </c>
      <c r="G137">
        <v>3</v>
      </c>
      <c r="H137">
        <v>1355</v>
      </c>
      <c r="I137">
        <v>0</v>
      </c>
      <c r="J137">
        <v>0</v>
      </c>
      <c r="K137">
        <v>22.6</v>
      </c>
      <c r="L137">
        <v>0</v>
      </c>
      <c r="M137">
        <v>7.5</v>
      </c>
      <c r="N137">
        <v>24</v>
      </c>
      <c r="O137">
        <v>-1.4</v>
      </c>
    </row>
    <row r="138" spans="1:15">
      <c r="A138">
        <v>1211076</v>
      </c>
      <c r="B138" t="s">
        <v>161</v>
      </c>
      <c r="C138" t="s">
        <v>87</v>
      </c>
      <c r="D138" t="s">
        <v>20</v>
      </c>
      <c r="E138">
        <v>2025</v>
      </c>
      <c r="F138">
        <v>6</v>
      </c>
      <c r="G138">
        <v>17</v>
      </c>
      <c r="H138">
        <v>11339</v>
      </c>
      <c r="I138">
        <v>1656</v>
      </c>
      <c r="J138">
        <v>0</v>
      </c>
      <c r="K138">
        <v>189</v>
      </c>
      <c r="L138">
        <v>27.6</v>
      </c>
      <c r="M138">
        <v>11.1</v>
      </c>
      <c r="N138">
        <v>136</v>
      </c>
      <c r="O138">
        <v>53</v>
      </c>
    </row>
    <row r="139" spans="1:15">
      <c r="A139">
        <v>1211076</v>
      </c>
      <c r="B139" t="s">
        <v>161</v>
      </c>
      <c r="C139" t="s">
        <v>87</v>
      </c>
      <c r="D139" t="s">
        <v>20</v>
      </c>
      <c r="E139">
        <v>2025</v>
      </c>
      <c r="F139">
        <v>7</v>
      </c>
      <c r="G139">
        <v>20</v>
      </c>
      <c r="H139">
        <v>9854</v>
      </c>
      <c r="I139">
        <v>516</v>
      </c>
      <c r="J139">
        <v>0</v>
      </c>
      <c r="K139">
        <v>164.2</v>
      </c>
      <c r="L139">
        <v>8.6</v>
      </c>
      <c r="M139">
        <v>8.1999999999999993</v>
      </c>
      <c r="N139">
        <v>160</v>
      </c>
      <c r="O139" s="1" t="s">
        <v>162</v>
      </c>
    </row>
    <row r="140" spans="1:15">
      <c r="A140">
        <v>1211076</v>
      </c>
      <c r="B140" t="s">
        <v>161</v>
      </c>
      <c r="C140" t="s">
        <v>87</v>
      </c>
      <c r="D140" t="s">
        <v>20</v>
      </c>
      <c r="E140">
        <v>2025</v>
      </c>
      <c r="F140">
        <v>8</v>
      </c>
      <c r="G140">
        <v>16</v>
      </c>
      <c r="H140">
        <v>9017</v>
      </c>
      <c r="I140">
        <v>865</v>
      </c>
      <c r="J140">
        <v>0</v>
      </c>
      <c r="K140">
        <v>150.30000000000001</v>
      </c>
      <c r="L140">
        <v>14.4</v>
      </c>
      <c r="M140">
        <v>9.4</v>
      </c>
      <c r="N140">
        <v>128</v>
      </c>
      <c r="O140" s="1" t="s">
        <v>163</v>
      </c>
    </row>
    <row r="141" spans="1:15">
      <c r="A141">
        <v>1211110</v>
      </c>
      <c r="B141" t="s">
        <v>164</v>
      </c>
      <c r="C141" t="s">
        <v>31</v>
      </c>
      <c r="D141" t="s">
        <v>136</v>
      </c>
      <c r="E141">
        <v>2025</v>
      </c>
      <c r="F141">
        <v>6</v>
      </c>
      <c r="G141">
        <v>12</v>
      </c>
      <c r="H141">
        <v>7305</v>
      </c>
      <c r="I141">
        <v>1029</v>
      </c>
      <c r="J141">
        <v>1</v>
      </c>
      <c r="K141">
        <v>121.8</v>
      </c>
      <c r="L141">
        <v>17.2</v>
      </c>
      <c r="M141">
        <v>10.199999999999999</v>
      </c>
      <c r="N141">
        <v>88</v>
      </c>
      <c r="O141">
        <v>33.799999999999997</v>
      </c>
    </row>
    <row r="142" spans="1:15">
      <c r="A142">
        <v>1211110</v>
      </c>
      <c r="B142" t="s">
        <v>164</v>
      </c>
      <c r="C142" t="s">
        <v>31</v>
      </c>
      <c r="D142" t="s">
        <v>136</v>
      </c>
      <c r="E142">
        <v>2025</v>
      </c>
      <c r="F142">
        <v>7</v>
      </c>
      <c r="G142">
        <v>3</v>
      </c>
      <c r="H142">
        <v>967</v>
      </c>
      <c r="I142">
        <v>239</v>
      </c>
      <c r="J142">
        <v>0</v>
      </c>
      <c r="K142">
        <v>16.100000000000001</v>
      </c>
      <c r="L142">
        <v>4</v>
      </c>
      <c r="M142">
        <v>5.4</v>
      </c>
      <c r="N142">
        <v>24</v>
      </c>
      <c r="O142">
        <v>-7.9</v>
      </c>
    </row>
    <row r="143" spans="1:15">
      <c r="A143">
        <v>1211111</v>
      </c>
      <c r="B143" t="s">
        <v>165</v>
      </c>
      <c r="C143" t="s">
        <v>76</v>
      </c>
      <c r="D143" t="s">
        <v>20</v>
      </c>
      <c r="E143">
        <v>2025</v>
      </c>
      <c r="F143">
        <v>6</v>
      </c>
      <c r="G143">
        <v>17</v>
      </c>
      <c r="H143">
        <v>9652</v>
      </c>
      <c r="I143">
        <v>0</v>
      </c>
      <c r="J143">
        <v>0</v>
      </c>
      <c r="K143">
        <v>160.9</v>
      </c>
      <c r="L143">
        <v>0</v>
      </c>
      <c r="M143">
        <v>9.5</v>
      </c>
      <c r="N143">
        <v>136</v>
      </c>
      <c r="O143" s="1" t="s">
        <v>166</v>
      </c>
    </row>
    <row r="144" spans="1:15">
      <c r="A144">
        <v>1211111</v>
      </c>
      <c r="B144" t="s">
        <v>165</v>
      </c>
      <c r="C144" t="s">
        <v>76</v>
      </c>
      <c r="D144" t="s">
        <v>20</v>
      </c>
      <c r="E144">
        <v>2025</v>
      </c>
      <c r="F144">
        <v>7</v>
      </c>
      <c r="G144">
        <v>17</v>
      </c>
      <c r="H144">
        <v>9875</v>
      </c>
      <c r="I144">
        <v>42</v>
      </c>
      <c r="J144">
        <v>0</v>
      </c>
      <c r="K144">
        <v>164.6</v>
      </c>
      <c r="L144">
        <v>0.7</v>
      </c>
      <c r="M144">
        <v>9.6999999999999993</v>
      </c>
      <c r="N144">
        <v>136</v>
      </c>
      <c r="O144" s="1" t="s">
        <v>74</v>
      </c>
    </row>
    <row r="145" spans="1:15">
      <c r="A145">
        <v>1211111</v>
      </c>
      <c r="B145" t="s">
        <v>165</v>
      </c>
      <c r="C145" t="s">
        <v>76</v>
      </c>
      <c r="D145" t="s">
        <v>20</v>
      </c>
      <c r="E145">
        <v>2025</v>
      </c>
      <c r="F145">
        <v>8</v>
      </c>
      <c r="G145">
        <v>16</v>
      </c>
      <c r="H145">
        <v>9055</v>
      </c>
      <c r="I145">
        <v>373</v>
      </c>
      <c r="J145">
        <v>0</v>
      </c>
      <c r="K145">
        <v>150.9</v>
      </c>
      <c r="L145">
        <v>6.2</v>
      </c>
      <c r="M145">
        <v>9.4</v>
      </c>
      <c r="N145">
        <v>128</v>
      </c>
      <c r="O145" s="1" t="s">
        <v>167</v>
      </c>
    </row>
    <row r="146" spans="1:15">
      <c r="A146">
        <v>1211134</v>
      </c>
      <c r="B146" t="s">
        <v>168</v>
      </c>
      <c r="C146" t="s">
        <v>31</v>
      </c>
      <c r="D146" t="s">
        <v>169</v>
      </c>
      <c r="E146">
        <v>2025</v>
      </c>
      <c r="F146">
        <v>6</v>
      </c>
      <c r="G146">
        <v>22</v>
      </c>
      <c r="H146">
        <v>8251</v>
      </c>
      <c r="I146">
        <v>0</v>
      </c>
      <c r="J146">
        <v>1</v>
      </c>
      <c r="K146">
        <v>137.5</v>
      </c>
      <c r="L146">
        <v>0</v>
      </c>
      <c r="M146">
        <v>6.2</v>
      </c>
      <c r="N146">
        <v>168</v>
      </c>
      <c r="O146">
        <v>-30.5</v>
      </c>
    </row>
    <row r="147" spans="1:15">
      <c r="A147">
        <v>1211134</v>
      </c>
      <c r="B147" t="s">
        <v>168</v>
      </c>
      <c r="C147" t="s">
        <v>31</v>
      </c>
      <c r="D147" t="s">
        <v>169</v>
      </c>
      <c r="E147">
        <v>2025</v>
      </c>
      <c r="F147">
        <v>7</v>
      </c>
      <c r="G147">
        <v>21</v>
      </c>
      <c r="H147">
        <v>8021</v>
      </c>
      <c r="I147">
        <v>0</v>
      </c>
      <c r="J147">
        <v>3</v>
      </c>
      <c r="K147">
        <v>133.69999999999999</v>
      </c>
      <c r="L147">
        <v>0</v>
      </c>
      <c r="M147">
        <v>6.4</v>
      </c>
      <c r="N147">
        <v>144</v>
      </c>
      <c r="O147">
        <v>-10.3</v>
      </c>
    </row>
    <row r="148" spans="1:15">
      <c r="A148">
        <v>1211134</v>
      </c>
      <c r="B148" t="s">
        <v>168</v>
      </c>
      <c r="C148" t="s">
        <v>31</v>
      </c>
      <c r="D148" t="s">
        <v>169</v>
      </c>
      <c r="E148">
        <v>2025</v>
      </c>
      <c r="F148">
        <v>8</v>
      </c>
      <c r="G148">
        <v>19</v>
      </c>
      <c r="H148">
        <v>6205</v>
      </c>
      <c r="I148">
        <v>0</v>
      </c>
      <c r="J148">
        <v>1</v>
      </c>
      <c r="K148">
        <v>103.4</v>
      </c>
      <c r="L148">
        <v>0</v>
      </c>
      <c r="M148">
        <v>5.4</v>
      </c>
      <c r="N148">
        <v>144</v>
      </c>
      <c r="O148">
        <v>-40.6</v>
      </c>
    </row>
    <row r="149" spans="1:15">
      <c r="A149">
        <v>1211151</v>
      </c>
      <c r="B149" t="s">
        <v>170</v>
      </c>
      <c r="C149" t="s">
        <v>160</v>
      </c>
      <c r="D149" t="s">
        <v>136</v>
      </c>
      <c r="E149">
        <v>2025</v>
      </c>
      <c r="F149">
        <v>6</v>
      </c>
      <c r="G149">
        <v>20</v>
      </c>
      <c r="H149">
        <v>10359</v>
      </c>
      <c r="I149">
        <v>0</v>
      </c>
      <c r="J149">
        <v>1</v>
      </c>
      <c r="K149">
        <v>172.6</v>
      </c>
      <c r="L149">
        <v>0</v>
      </c>
      <c r="M149">
        <v>8.6</v>
      </c>
      <c r="N149">
        <v>152</v>
      </c>
      <c r="O149" s="1" t="s">
        <v>171</v>
      </c>
    </row>
    <row r="150" spans="1:15">
      <c r="A150">
        <v>1211151</v>
      </c>
      <c r="B150" t="s">
        <v>170</v>
      </c>
      <c r="C150" t="s">
        <v>160</v>
      </c>
      <c r="D150" t="s">
        <v>136</v>
      </c>
      <c r="E150">
        <v>2025</v>
      </c>
      <c r="F150">
        <v>7</v>
      </c>
      <c r="G150">
        <v>18</v>
      </c>
      <c r="H150">
        <v>10210</v>
      </c>
      <c r="I150">
        <v>0</v>
      </c>
      <c r="J150">
        <v>0</v>
      </c>
      <c r="K150">
        <v>170.2</v>
      </c>
      <c r="L150">
        <v>0</v>
      </c>
      <c r="M150">
        <v>9.5</v>
      </c>
      <c r="N150">
        <v>144</v>
      </c>
      <c r="O150" s="1" t="s">
        <v>172</v>
      </c>
    </row>
    <row r="151" spans="1:15">
      <c r="A151">
        <v>1211151</v>
      </c>
      <c r="B151" t="s">
        <v>170</v>
      </c>
      <c r="C151" t="s">
        <v>160</v>
      </c>
      <c r="D151" t="s">
        <v>136</v>
      </c>
      <c r="E151">
        <v>2025</v>
      </c>
      <c r="F151">
        <v>8</v>
      </c>
      <c r="G151">
        <v>14</v>
      </c>
      <c r="H151">
        <v>7325</v>
      </c>
      <c r="I151">
        <v>0</v>
      </c>
      <c r="J151">
        <v>0</v>
      </c>
      <c r="K151">
        <v>122.1</v>
      </c>
      <c r="L151">
        <v>0</v>
      </c>
      <c r="M151">
        <v>8.6999999999999993</v>
      </c>
      <c r="N151">
        <v>112</v>
      </c>
      <c r="O151" s="1" t="s">
        <v>173</v>
      </c>
    </row>
    <row r="152" spans="1:15">
      <c r="A152">
        <v>1211208</v>
      </c>
      <c r="B152" t="s">
        <v>174</v>
      </c>
      <c r="C152" t="s">
        <v>41</v>
      </c>
      <c r="D152" t="s">
        <v>20</v>
      </c>
      <c r="E152">
        <v>2025</v>
      </c>
      <c r="F152">
        <v>6</v>
      </c>
      <c r="G152">
        <v>28</v>
      </c>
      <c r="H152">
        <v>39455</v>
      </c>
      <c r="I152">
        <v>2806</v>
      </c>
      <c r="J152">
        <v>7</v>
      </c>
      <c r="K152">
        <v>657.6</v>
      </c>
      <c r="L152">
        <v>46.8</v>
      </c>
      <c r="M152">
        <v>23.5</v>
      </c>
      <c r="N152">
        <v>168</v>
      </c>
      <c r="O152">
        <v>489.6</v>
      </c>
    </row>
    <row r="153" spans="1:15">
      <c r="A153">
        <v>1211208</v>
      </c>
      <c r="B153" t="s">
        <v>174</v>
      </c>
      <c r="C153" t="s">
        <v>41</v>
      </c>
      <c r="D153" t="s">
        <v>20</v>
      </c>
      <c r="E153">
        <v>2025</v>
      </c>
      <c r="F153">
        <v>7</v>
      </c>
      <c r="G153">
        <v>30</v>
      </c>
      <c r="H153">
        <v>42443</v>
      </c>
      <c r="I153">
        <v>2097</v>
      </c>
      <c r="J153">
        <v>8</v>
      </c>
      <c r="K153">
        <v>707.4</v>
      </c>
      <c r="L153">
        <v>35</v>
      </c>
      <c r="M153">
        <v>23.6</v>
      </c>
      <c r="N153">
        <v>176</v>
      </c>
      <c r="O153">
        <v>531.4</v>
      </c>
    </row>
    <row r="154" spans="1:15">
      <c r="A154">
        <v>1211208</v>
      </c>
      <c r="B154" t="s">
        <v>174</v>
      </c>
      <c r="C154" t="s">
        <v>41</v>
      </c>
      <c r="D154" t="s">
        <v>20</v>
      </c>
      <c r="E154">
        <v>2025</v>
      </c>
      <c r="F154">
        <v>8</v>
      </c>
      <c r="G154">
        <v>17</v>
      </c>
      <c r="H154">
        <v>20494</v>
      </c>
      <c r="I154">
        <v>687</v>
      </c>
      <c r="J154">
        <v>2</v>
      </c>
      <c r="K154">
        <v>341.6</v>
      </c>
      <c r="L154">
        <v>11.4</v>
      </c>
      <c r="M154">
        <v>20.100000000000001</v>
      </c>
      <c r="N154">
        <v>120</v>
      </c>
      <c r="O154" s="1" t="s">
        <v>175</v>
      </c>
    </row>
    <row r="155" spans="1:15">
      <c r="A155">
        <v>1211209</v>
      </c>
      <c r="B155" t="s">
        <v>176</v>
      </c>
      <c r="C155" t="s">
        <v>177</v>
      </c>
      <c r="D155" t="s">
        <v>20</v>
      </c>
      <c r="E155">
        <v>2025</v>
      </c>
      <c r="F155">
        <v>6</v>
      </c>
      <c r="G155">
        <v>3</v>
      </c>
      <c r="H155">
        <v>559</v>
      </c>
      <c r="I155">
        <v>180</v>
      </c>
      <c r="J155">
        <v>0</v>
      </c>
      <c r="K155">
        <v>9.3000000000000007</v>
      </c>
      <c r="L155">
        <v>3</v>
      </c>
      <c r="M155">
        <v>3.1</v>
      </c>
      <c r="N155">
        <v>24</v>
      </c>
      <c r="O155">
        <v>-14.7</v>
      </c>
    </row>
    <row r="156" spans="1:15">
      <c r="A156">
        <v>1211209</v>
      </c>
      <c r="B156" t="s">
        <v>176</v>
      </c>
      <c r="C156" t="s">
        <v>177</v>
      </c>
      <c r="D156" t="s">
        <v>20</v>
      </c>
      <c r="E156">
        <v>2025</v>
      </c>
      <c r="F156">
        <v>7</v>
      </c>
      <c r="G156">
        <v>8</v>
      </c>
      <c r="H156">
        <v>3037</v>
      </c>
      <c r="I156">
        <v>0</v>
      </c>
      <c r="J156">
        <v>0</v>
      </c>
      <c r="K156">
        <v>50.6</v>
      </c>
      <c r="L156">
        <v>0</v>
      </c>
      <c r="M156">
        <v>6.3</v>
      </c>
      <c r="N156">
        <v>64</v>
      </c>
      <c r="O156">
        <v>-13.4</v>
      </c>
    </row>
    <row r="157" spans="1:15">
      <c r="A157">
        <v>1211209</v>
      </c>
      <c r="B157" t="s">
        <v>176</v>
      </c>
      <c r="C157" t="s">
        <v>177</v>
      </c>
      <c r="D157" t="s">
        <v>20</v>
      </c>
      <c r="E157">
        <v>2025</v>
      </c>
      <c r="F157">
        <v>8</v>
      </c>
      <c r="G157">
        <v>12</v>
      </c>
      <c r="H157">
        <v>5354</v>
      </c>
      <c r="I157">
        <v>285</v>
      </c>
      <c r="J157">
        <v>1</v>
      </c>
      <c r="K157">
        <v>89.2</v>
      </c>
      <c r="L157">
        <v>4.8</v>
      </c>
      <c r="M157">
        <v>7.4</v>
      </c>
      <c r="N157">
        <v>88</v>
      </c>
      <c r="O157" s="1" t="s">
        <v>178</v>
      </c>
    </row>
    <row r="158" spans="1:15">
      <c r="A158">
        <v>1212004</v>
      </c>
      <c r="B158" t="s">
        <v>179</v>
      </c>
      <c r="C158" t="s">
        <v>96</v>
      </c>
      <c r="D158" t="s">
        <v>136</v>
      </c>
      <c r="E158">
        <v>2025</v>
      </c>
      <c r="F158">
        <v>6</v>
      </c>
      <c r="G158">
        <v>18</v>
      </c>
      <c r="H158">
        <v>10065</v>
      </c>
      <c r="I158">
        <v>840</v>
      </c>
      <c r="J158">
        <v>0</v>
      </c>
      <c r="K158">
        <v>167.8</v>
      </c>
      <c r="L158">
        <v>14</v>
      </c>
      <c r="M158">
        <v>9.3000000000000007</v>
      </c>
      <c r="N158">
        <v>144</v>
      </c>
      <c r="O158" s="1" t="s">
        <v>52</v>
      </c>
    </row>
    <row r="159" spans="1:15">
      <c r="A159">
        <v>1212004</v>
      </c>
      <c r="B159" t="s">
        <v>179</v>
      </c>
      <c r="C159" t="s">
        <v>96</v>
      </c>
      <c r="D159" t="s">
        <v>136</v>
      </c>
      <c r="E159">
        <v>2025</v>
      </c>
      <c r="F159">
        <v>7</v>
      </c>
      <c r="G159">
        <v>18</v>
      </c>
      <c r="H159">
        <v>10109</v>
      </c>
      <c r="I159">
        <v>550</v>
      </c>
      <c r="J159">
        <v>0</v>
      </c>
      <c r="K159">
        <v>168.5</v>
      </c>
      <c r="L159">
        <v>9.1999999999999993</v>
      </c>
      <c r="M159">
        <v>9.4</v>
      </c>
      <c r="N159">
        <v>144</v>
      </c>
      <c r="O159">
        <v>24.5</v>
      </c>
    </row>
    <row r="160" spans="1:15">
      <c r="A160">
        <v>1212004</v>
      </c>
      <c r="B160" t="s">
        <v>179</v>
      </c>
      <c r="C160" t="s">
        <v>96</v>
      </c>
      <c r="D160" t="s">
        <v>136</v>
      </c>
      <c r="E160">
        <v>2025</v>
      </c>
      <c r="F160">
        <v>8</v>
      </c>
      <c r="G160">
        <v>15</v>
      </c>
      <c r="H160">
        <v>8294</v>
      </c>
      <c r="I160">
        <v>736</v>
      </c>
      <c r="J160">
        <v>0</v>
      </c>
      <c r="K160">
        <v>138.19999999999999</v>
      </c>
      <c r="L160">
        <v>12.3</v>
      </c>
      <c r="M160">
        <v>9.1999999999999993</v>
      </c>
      <c r="N160">
        <v>120</v>
      </c>
      <c r="O160" s="1" t="s">
        <v>180</v>
      </c>
    </row>
    <row r="161" spans="1:15">
      <c r="A161">
        <v>1212013</v>
      </c>
      <c r="B161" t="s">
        <v>181</v>
      </c>
      <c r="C161" t="s">
        <v>182</v>
      </c>
      <c r="D161" t="s">
        <v>20</v>
      </c>
      <c r="E161">
        <v>2025</v>
      </c>
      <c r="F161">
        <v>6</v>
      </c>
      <c r="G161">
        <v>19</v>
      </c>
      <c r="H161">
        <v>11028</v>
      </c>
      <c r="I161">
        <v>1001</v>
      </c>
      <c r="J161">
        <v>0</v>
      </c>
      <c r="K161">
        <v>183.8</v>
      </c>
      <c r="L161">
        <v>16.7</v>
      </c>
      <c r="M161">
        <v>9.6999999999999993</v>
      </c>
      <c r="N161">
        <v>152</v>
      </c>
      <c r="O161" s="1" t="s">
        <v>183</v>
      </c>
    </row>
    <row r="162" spans="1:15">
      <c r="A162">
        <v>1212013</v>
      </c>
      <c r="B162" t="s">
        <v>181</v>
      </c>
      <c r="C162" t="s">
        <v>182</v>
      </c>
      <c r="D162" t="s">
        <v>20</v>
      </c>
      <c r="E162">
        <v>2025</v>
      </c>
      <c r="F162">
        <v>7</v>
      </c>
      <c r="G162">
        <v>15</v>
      </c>
      <c r="H162">
        <v>8627</v>
      </c>
      <c r="I162">
        <v>1052</v>
      </c>
      <c r="J162">
        <v>1</v>
      </c>
      <c r="K162">
        <v>143.80000000000001</v>
      </c>
      <c r="L162">
        <v>17.5</v>
      </c>
      <c r="M162">
        <v>9.6</v>
      </c>
      <c r="N162">
        <v>112</v>
      </c>
      <c r="O162" s="1" t="s">
        <v>183</v>
      </c>
    </row>
    <row r="163" spans="1:15">
      <c r="A163">
        <v>1212013</v>
      </c>
      <c r="B163" t="s">
        <v>181</v>
      </c>
      <c r="C163" t="s">
        <v>182</v>
      </c>
      <c r="D163" t="s">
        <v>20</v>
      </c>
      <c r="E163">
        <v>2025</v>
      </c>
      <c r="F163">
        <v>8</v>
      </c>
      <c r="G163">
        <v>16</v>
      </c>
      <c r="H163">
        <v>9379</v>
      </c>
      <c r="I163">
        <v>627</v>
      </c>
      <c r="J163">
        <v>0</v>
      </c>
      <c r="K163">
        <v>156.30000000000001</v>
      </c>
      <c r="L163">
        <v>10.4</v>
      </c>
      <c r="M163">
        <v>9.8000000000000007</v>
      </c>
      <c r="N163">
        <v>128</v>
      </c>
      <c r="O163" s="1" t="s">
        <v>184</v>
      </c>
    </row>
    <row r="164" spans="1:15">
      <c r="A164">
        <v>1212023</v>
      </c>
      <c r="B164" t="s">
        <v>185</v>
      </c>
      <c r="C164" t="s">
        <v>39</v>
      </c>
      <c r="D164" t="s">
        <v>20</v>
      </c>
      <c r="E164">
        <v>2025</v>
      </c>
      <c r="F164">
        <v>6</v>
      </c>
      <c r="G164">
        <v>16</v>
      </c>
      <c r="H164">
        <v>9346</v>
      </c>
      <c r="I164">
        <v>212</v>
      </c>
      <c r="J164">
        <v>0</v>
      </c>
      <c r="K164">
        <v>155.80000000000001</v>
      </c>
      <c r="L164">
        <v>3.5</v>
      </c>
      <c r="M164">
        <v>9.6999999999999993</v>
      </c>
      <c r="N164">
        <v>128</v>
      </c>
      <c r="O164" s="1" t="s">
        <v>186</v>
      </c>
    </row>
    <row r="165" spans="1:15">
      <c r="A165">
        <v>1212023</v>
      </c>
      <c r="B165" t="s">
        <v>185</v>
      </c>
      <c r="C165" t="s">
        <v>39</v>
      </c>
      <c r="D165" t="s">
        <v>20</v>
      </c>
      <c r="E165">
        <v>2025</v>
      </c>
      <c r="F165">
        <v>7</v>
      </c>
      <c r="G165">
        <v>15</v>
      </c>
      <c r="H165">
        <v>8758</v>
      </c>
      <c r="I165">
        <v>36</v>
      </c>
      <c r="J165">
        <v>0</v>
      </c>
      <c r="K165">
        <v>146</v>
      </c>
      <c r="L165">
        <v>0.6</v>
      </c>
      <c r="M165">
        <v>9.6999999999999993</v>
      </c>
      <c r="N165">
        <v>120</v>
      </c>
      <c r="O165">
        <v>26</v>
      </c>
    </row>
    <row r="166" spans="1:15">
      <c r="A166">
        <v>1212023</v>
      </c>
      <c r="B166" t="s">
        <v>185</v>
      </c>
      <c r="C166" t="s">
        <v>39</v>
      </c>
      <c r="D166" t="s">
        <v>20</v>
      </c>
      <c r="E166">
        <v>2025</v>
      </c>
      <c r="F166">
        <v>8</v>
      </c>
      <c r="G166">
        <v>14</v>
      </c>
      <c r="H166">
        <v>7771</v>
      </c>
      <c r="I166">
        <v>363</v>
      </c>
      <c r="J166">
        <v>0</v>
      </c>
      <c r="K166">
        <v>129.5</v>
      </c>
      <c r="L166">
        <v>6</v>
      </c>
      <c r="M166">
        <v>9.1999999999999993</v>
      </c>
      <c r="N166">
        <v>112</v>
      </c>
      <c r="O166">
        <v>17.5</v>
      </c>
    </row>
    <row r="167" spans="1:15">
      <c r="A167">
        <v>1212055</v>
      </c>
      <c r="B167" t="s">
        <v>187</v>
      </c>
      <c r="C167" t="s">
        <v>83</v>
      </c>
      <c r="D167" t="s">
        <v>136</v>
      </c>
      <c r="E167">
        <v>2025</v>
      </c>
      <c r="F167">
        <v>6</v>
      </c>
      <c r="G167">
        <v>19</v>
      </c>
      <c r="H167">
        <v>11575</v>
      </c>
      <c r="I167">
        <v>462</v>
      </c>
      <c r="J167">
        <v>0</v>
      </c>
      <c r="K167">
        <v>192.9</v>
      </c>
      <c r="L167">
        <v>7.7</v>
      </c>
      <c r="M167">
        <v>10.199999999999999</v>
      </c>
      <c r="N167">
        <v>152</v>
      </c>
      <c r="O167" s="1" t="s">
        <v>188</v>
      </c>
    </row>
    <row r="168" spans="1:15">
      <c r="A168">
        <v>1212055</v>
      </c>
      <c r="B168" t="s">
        <v>187</v>
      </c>
      <c r="C168" t="s">
        <v>83</v>
      </c>
      <c r="D168" t="s">
        <v>136</v>
      </c>
      <c r="E168">
        <v>2025</v>
      </c>
      <c r="F168">
        <v>7</v>
      </c>
      <c r="G168">
        <v>18</v>
      </c>
      <c r="H168">
        <v>10545</v>
      </c>
      <c r="I168">
        <v>164</v>
      </c>
      <c r="J168">
        <v>0</v>
      </c>
      <c r="K168">
        <v>175.8</v>
      </c>
      <c r="L168">
        <v>2.7</v>
      </c>
      <c r="M168">
        <v>9.8000000000000007</v>
      </c>
      <c r="N168">
        <v>144</v>
      </c>
      <c r="O168" s="1" t="s">
        <v>183</v>
      </c>
    </row>
    <row r="169" spans="1:15">
      <c r="A169">
        <v>1212055</v>
      </c>
      <c r="B169" t="s">
        <v>187</v>
      </c>
      <c r="C169" t="s">
        <v>83</v>
      </c>
      <c r="D169" t="s">
        <v>136</v>
      </c>
      <c r="E169">
        <v>2025</v>
      </c>
      <c r="F169">
        <v>8</v>
      </c>
      <c r="G169">
        <v>15</v>
      </c>
      <c r="H169">
        <v>9105</v>
      </c>
      <c r="I169">
        <v>57</v>
      </c>
      <c r="J169">
        <v>0</v>
      </c>
      <c r="K169">
        <v>151.80000000000001</v>
      </c>
      <c r="L169">
        <v>1</v>
      </c>
      <c r="M169">
        <v>10.1</v>
      </c>
      <c r="N169">
        <v>120</v>
      </c>
      <c r="O169" s="1" t="s">
        <v>183</v>
      </c>
    </row>
    <row r="170" spans="1:15">
      <c r="A170">
        <v>1212081</v>
      </c>
      <c r="B170" t="s">
        <v>189</v>
      </c>
      <c r="C170" t="s">
        <v>49</v>
      </c>
      <c r="D170" t="s">
        <v>136</v>
      </c>
      <c r="E170">
        <v>2025</v>
      </c>
      <c r="F170">
        <v>6</v>
      </c>
      <c r="G170">
        <v>13</v>
      </c>
      <c r="H170">
        <v>6960</v>
      </c>
      <c r="I170">
        <v>0</v>
      </c>
      <c r="J170">
        <v>0</v>
      </c>
      <c r="K170">
        <v>116</v>
      </c>
      <c r="L170">
        <v>0</v>
      </c>
      <c r="M170">
        <v>8.9</v>
      </c>
      <c r="N170">
        <v>104</v>
      </c>
      <c r="O170">
        <v>12</v>
      </c>
    </row>
    <row r="171" spans="1:15">
      <c r="A171">
        <v>1212081</v>
      </c>
      <c r="B171" t="s">
        <v>189</v>
      </c>
      <c r="C171" t="s">
        <v>49</v>
      </c>
      <c r="D171" t="s">
        <v>136</v>
      </c>
      <c r="E171">
        <v>2025</v>
      </c>
      <c r="F171">
        <v>7</v>
      </c>
      <c r="G171">
        <v>16</v>
      </c>
      <c r="H171">
        <v>8368</v>
      </c>
      <c r="I171">
        <v>0</v>
      </c>
      <c r="J171">
        <v>0</v>
      </c>
      <c r="K171">
        <v>139.5</v>
      </c>
      <c r="L171">
        <v>0</v>
      </c>
      <c r="M171">
        <v>8.6999999999999993</v>
      </c>
      <c r="N171">
        <v>128</v>
      </c>
      <c r="O171">
        <v>11.5</v>
      </c>
    </row>
    <row r="172" spans="1:15">
      <c r="A172">
        <v>1212081</v>
      </c>
      <c r="B172" t="s">
        <v>189</v>
      </c>
      <c r="C172" t="s">
        <v>49</v>
      </c>
      <c r="D172" t="s">
        <v>136</v>
      </c>
      <c r="E172">
        <v>2025</v>
      </c>
      <c r="F172">
        <v>8</v>
      </c>
      <c r="G172">
        <v>14</v>
      </c>
      <c r="H172">
        <v>6708</v>
      </c>
      <c r="I172">
        <v>0</v>
      </c>
      <c r="J172">
        <v>0</v>
      </c>
      <c r="K172">
        <v>111.8</v>
      </c>
      <c r="L172">
        <v>0</v>
      </c>
      <c r="M172">
        <v>8</v>
      </c>
      <c r="N172">
        <v>112</v>
      </c>
      <c r="O172">
        <v>-0.2</v>
      </c>
    </row>
    <row r="173" spans="1:15">
      <c r="A173">
        <v>1212180</v>
      </c>
      <c r="B173" t="s">
        <v>190</v>
      </c>
      <c r="C173" t="s">
        <v>22</v>
      </c>
      <c r="D173" t="s">
        <v>20</v>
      </c>
      <c r="E173">
        <v>2025</v>
      </c>
      <c r="F173">
        <v>6</v>
      </c>
      <c r="G173">
        <v>20</v>
      </c>
      <c r="H173">
        <v>11344</v>
      </c>
      <c r="I173">
        <v>0</v>
      </c>
      <c r="J173">
        <v>2</v>
      </c>
      <c r="K173">
        <v>189.1</v>
      </c>
      <c r="L173">
        <v>0</v>
      </c>
      <c r="M173">
        <v>9.5</v>
      </c>
      <c r="N173">
        <v>144</v>
      </c>
      <c r="O173" s="1" t="s">
        <v>191</v>
      </c>
    </row>
    <row r="174" spans="1:15">
      <c r="A174">
        <v>1212180</v>
      </c>
      <c r="B174" t="s">
        <v>190</v>
      </c>
      <c r="C174" t="s">
        <v>22</v>
      </c>
      <c r="D174" t="s">
        <v>20</v>
      </c>
      <c r="E174">
        <v>2025</v>
      </c>
      <c r="F174">
        <v>7</v>
      </c>
      <c r="G174">
        <v>19</v>
      </c>
      <c r="H174">
        <v>10617</v>
      </c>
      <c r="I174">
        <v>0</v>
      </c>
      <c r="J174">
        <v>1</v>
      </c>
      <c r="K174">
        <v>177</v>
      </c>
      <c r="L174">
        <v>0</v>
      </c>
      <c r="M174">
        <v>9.3000000000000007</v>
      </c>
      <c r="N174">
        <v>144</v>
      </c>
      <c r="O174">
        <v>33</v>
      </c>
    </row>
    <row r="175" spans="1:15">
      <c r="A175">
        <v>1212180</v>
      </c>
      <c r="B175" t="s">
        <v>190</v>
      </c>
      <c r="C175" t="s">
        <v>22</v>
      </c>
      <c r="D175" t="s">
        <v>20</v>
      </c>
      <c r="E175">
        <v>2025</v>
      </c>
      <c r="F175">
        <v>8</v>
      </c>
      <c r="G175">
        <v>17</v>
      </c>
      <c r="H175">
        <v>8709</v>
      </c>
      <c r="I175">
        <v>0</v>
      </c>
      <c r="J175">
        <v>1</v>
      </c>
      <c r="K175">
        <v>145.19999999999999</v>
      </c>
      <c r="L175">
        <v>0</v>
      </c>
      <c r="M175">
        <v>8.5</v>
      </c>
      <c r="N175">
        <v>128</v>
      </c>
      <c r="O175" s="1" t="s">
        <v>192</v>
      </c>
    </row>
    <row r="176" spans="1:15">
      <c r="A176">
        <v>1213008</v>
      </c>
      <c r="B176" t="s">
        <v>193</v>
      </c>
      <c r="C176" t="s">
        <v>31</v>
      </c>
      <c r="D176" t="s">
        <v>194</v>
      </c>
      <c r="E176">
        <v>2025</v>
      </c>
      <c r="F176">
        <v>6</v>
      </c>
      <c r="G176">
        <v>17</v>
      </c>
      <c r="H176">
        <v>9026</v>
      </c>
      <c r="I176">
        <v>161</v>
      </c>
      <c r="J176">
        <v>0</v>
      </c>
      <c r="K176">
        <v>150.4</v>
      </c>
      <c r="L176">
        <v>2.7</v>
      </c>
      <c r="M176">
        <v>8.8000000000000007</v>
      </c>
      <c r="N176">
        <v>136</v>
      </c>
      <c r="O176" s="1" t="s">
        <v>195</v>
      </c>
    </row>
    <row r="177" spans="1:15">
      <c r="A177">
        <v>1213008</v>
      </c>
      <c r="B177" t="s">
        <v>193</v>
      </c>
      <c r="C177" t="s">
        <v>31</v>
      </c>
      <c r="D177" t="s">
        <v>194</v>
      </c>
      <c r="E177">
        <v>2025</v>
      </c>
      <c r="F177">
        <v>7</v>
      </c>
      <c r="G177">
        <v>20</v>
      </c>
      <c r="H177">
        <v>10134</v>
      </c>
      <c r="I177">
        <v>252</v>
      </c>
      <c r="J177">
        <v>1</v>
      </c>
      <c r="K177">
        <v>168.9</v>
      </c>
      <c r="L177">
        <v>4.2</v>
      </c>
      <c r="M177">
        <v>8.4</v>
      </c>
      <c r="N177">
        <v>152</v>
      </c>
      <c r="O177" s="1" t="s">
        <v>196</v>
      </c>
    </row>
    <row r="178" spans="1:15">
      <c r="A178">
        <v>1213008</v>
      </c>
      <c r="B178" t="s">
        <v>193</v>
      </c>
      <c r="C178" t="s">
        <v>31</v>
      </c>
      <c r="D178" t="s">
        <v>194</v>
      </c>
      <c r="E178">
        <v>2025</v>
      </c>
      <c r="F178">
        <v>8</v>
      </c>
      <c r="G178">
        <v>16</v>
      </c>
      <c r="H178">
        <v>8020</v>
      </c>
      <c r="I178">
        <v>236</v>
      </c>
      <c r="J178">
        <v>0</v>
      </c>
      <c r="K178">
        <v>133.69999999999999</v>
      </c>
      <c r="L178">
        <v>3.9</v>
      </c>
      <c r="M178">
        <v>8.4</v>
      </c>
      <c r="N178">
        <v>128</v>
      </c>
      <c r="O178" s="1" t="s">
        <v>197</v>
      </c>
    </row>
    <row r="179" spans="1:15">
      <c r="A179">
        <v>1213015</v>
      </c>
      <c r="B179" t="s">
        <v>198</v>
      </c>
      <c r="C179" t="s">
        <v>96</v>
      </c>
      <c r="D179" t="s">
        <v>136</v>
      </c>
      <c r="E179">
        <v>2025</v>
      </c>
      <c r="F179">
        <v>6</v>
      </c>
      <c r="G179">
        <v>14</v>
      </c>
      <c r="H179">
        <v>8893</v>
      </c>
      <c r="I179">
        <v>1273</v>
      </c>
      <c r="J179">
        <v>0</v>
      </c>
      <c r="K179">
        <v>148.19999999999999</v>
      </c>
      <c r="L179">
        <v>21.2</v>
      </c>
      <c r="M179">
        <v>10.6</v>
      </c>
      <c r="N179">
        <v>112</v>
      </c>
      <c r="O179" s="1" t="s">
        <v>199</v>
      </c>
    </row>
    <row r="180" spans="1:15">
      <c r="A180">
        <v>1213015</v>
      </c>
      <c r="B180" t="s">
        <v>198</v>
      </c>
      <c r="C180" t="s">
        <v>96</v>
      </c>
      <c r="D180" t="s">
        <v>136</v>
      </c>
      <c r="E180">
        <v>2025</v>
      </c>
      <c r="F180">
        <v>7</v>
      </c>
      <c r="G180">
        <v>18</v>
      </c>
      <c r="H180">
        <v>9818</v>
      </c>
      <c r="I180">
        <v>1384</v>
      </c>
      <c r="J180">
        <v>4</v>
      </c>
      <c r="K180">
        <v>163.6</v>
      </c>
      <c r="L180">
        <v>23.1</v>
      </c>
      <c r="M180">
        <v>9.1</v>
      </c>
      <c r="N180">
        <v>112</v>
      </c>
      <c r="O180" s="1" t="s">
        <v>200</v>
      </c>
    </row>
    <row r="181" spans="1:15">
      <c r="A181">
        <v>1213015</v>
      </c>
      <c r="B181" t="s">
        <v>198</v>
      </c>
      <c r="C181" t="s">
        <v>96</v>
      </c>
      <c r="D181" t="s">
        <v>136</v>
      </c>
      <c r="E181">
        <v>2025</v>
      </c>
      <c r="F181">
        <v>8</v>
      </c>
      <c r="G181">
        <v>18</v>
      </c>
      <c r="H181">
        <v>12560</v>
      </c>
      <c r="I181">
        <v>741</v>
      </c>
      <c r="J181">
        <v>2</v>
      </c>
      <c r="K181">
        <v>209.3</v>
      </c>
      <c r="L181">
        <v>12.4</v>
      </c>
      <c r="M181">
        <v>11.6</v>
      </c>
      <c r="N181">
        <v>128</v>
      </c>
      <c r="O181" s="1" t="s">
        <v>201</v>
      </c>
    </row>
    <row r="182" spans="1:15">
      <c r="A182">
        <v>1213016</v>
      </c>
      <c r="B182" t="s">
        <v>202</v>
      </c>
      <c r="C182" t="s">
        <v>83</v>
      </c>
      <c r="D182" t="s">
        <v>136</v>
      </c>
      <c r="E182">
        <v>2025</v>
      </c>
      <c r="F182">
        <v>6</v>
      </c>
      <c r="G182">
        <v>18</v>
      </c>
      <c r="H182">
        <v>9966</v>
      </c>
      <c r="I182">
        <v>0</v>
      </c>
      <c r="J182">
        <v>0</v>
      </c>
      <c r="K182">
        <v>166.1</v>
      </c>
      <c r="L182">
        <v>0</v>
      </c>
      <c r="M182">
        <v>9.1999999999999993</v>
      </c>
      <c r="N182">
        <v>144</v>
      </c>
      <c r="O182" s="1" t="s">
        <v>203</v>
      </c>
    </row>
    <row r="183" spans="1:15">
      <c r="A183">
        <v>1213016</v>
      </c>
      <c r="B183" t="s">
        <v>202</v>
      </c>
      <c r="C183" t="s">
        <v>83</v>
      </c>
      <c r="D183" t="s">
        <v>136</v>
      </c>
      <c r="E183">
        <v>2025</v>
      </c>
      <c r="F183">
        <v>7</v>
      </c>
      <c r="G183">
        <v>17</v>
      </c>
      <c r="H183">
        <v>10493</v>
      </c>
      <c r="I183">
        <v>0</v>
      </c>
      <c r="J183">
        <v>0</v>
      </c>
      <c r="K183">
        <v>174.9</v>
      </c>
      <c r="L183">
        <v>0</v>
      </c>
      <c r="M183">
        <v>10.3</v>
      </c>
      <c r="N183">
        <v>136</v>
      </c>
      <c r="O183" s="1" t="s">
        <v>204</v>
      </c>
    </row>
    <row r="184" spans="1:15">
      <c r="A184">
        <v>1213016</v>
      </c>
      <c r="B184" t="s">
        <v>202</v>
      </c>
      <c r="C184" t="s">
        <v>83</v>
      </c>
      <c r="D184" t="s">
        <v>136</v>
      </c>
      <c r="E184">
        <v>2025</v>
      </c>
      <c r="F184">
        <v>8</v>
      </c>
      <c r="G184">
        <v>16</v>
      </c>
      <c r="H184">
        <v>8543</v>
      </c>
      <c r="I184">
        <v>0</v>
      </c>
      <c r="J184">
        <v>0</v>
      </c>
      <c r="K184">
        <v>142.4</v>
      </c>
      <c r="L184">
        <v>0</v>
      </c>
      <c r="M184">
        <v>8.9</v>
      </c>
      <c r="N184">
        <v>128</v>
      </c>
      <c r="O184" s="1" t="s">
        <v>195</v>
      </c>
    </row>
    <row r="185" spans="1:15">
      <c r="A185">
        <v>1213019</v>
      </c>
      <c r="B185" t="s">
        <v>205</v>
      </c>
      <c r="C185" t="s">
        <v>160</v>
      </c>
      <c r="D185" t="s">
        <v>136</v>
      </c>
      <c r="E185">
        <v>2025</v>
      </c>
      <c r="F185">
        <v>6</v>
      </c>
      <c r="G185">
        <v>22</v>
      </c>
      <c r="H185">
        <v>12115</v>
      </c>
      <c r="I185">
        <v>250</v>
      </c>
      <c r="J185">
        <v>3</v>
      </c>
      <c r="K185">
        <v>201.9</v>
      </c>
      <c r="L185">
        <v>4.2</v>
      </c>
      <c r="M185">
        <v>9.1999999999999993</v>
      </c>
      <c r="N185">
        <v>152</v>
      </c>
      <c r="O185" s="1" t="s">
        <v>206</v>
      </c>
    </row>
    <row r="186" spans="1:15">
      <c r="A186">
        <v>1213019</v>
      </c>
      <c r="B186" t="s">
        <v>205</v>
      </c>
      <c r="C186" t="s">
        <v>160</v>
      </c>
      <c r="D186" t="s">
        <v>136</v>
      </c>
      <c r="E186">
        <v>2025</v>
      </c>
      <c r="F186">
        <v>7</v>
      </c>
      <c r="G186">
        <v>17</v>
      </c>
      <c r="H186">
        <v>9544</v>
      </c>
      <c r="I186">
        <v>0</v>
      </c>
      <c r="J186">
        <v>0</v>
      </c>
      <c r="K186">
        <v>159.1</v>
      </c>
      <c r="L186">
        <v>0</v>
      </c>
      <c r="M186">
        <v>9.4</v>
      </c>
      <c r="N186">
        <v>136</v>
      </c>
      <c r="O186" s="1" t="s">
        <v>207</v>
      </c>
    </row>
    <row r="187" spans="1:15">
      <c r="A187">
        <v>1213019</v>
      </c>
      <c r="B187" t="s">
        <v>205</v>
      </c>
      <c r="C187" t="s">
        <v>160</v>
      </c>
      <c r="D187" t="s">
        <v>136</v>
      </c>
      <c r="E187">
        <v>2025</v>
      </c>
      <c r="F187">
        <v>8</v>
      </c>
      <c r="G187">
        <v>15</v>
      </c>
      <c r="H187">
        <v>8119</v>
      </c>
      <c r="I187">
        <v>0</v>
      </c>
      <c r="J187">
        <v>0</v>
      </c>
      <c r="K187">
        <v>135.30000000000001</v>
      </c>
      <c r="L187">
        <v>0</v>
      </c>
      <c r="M187">
        <v>9</v>
      </c>
      <c r="N187">
        <v>120</v>
      </c>
      <c r="O187" s="1" t="s">
        <v>208</v>
      </c>
    </row>
    <row r="188" spans="1:15">
      <c r="A188">
        <v>1213028</v>
      </c>
      <c r="B188" t="s">
        <v>209</v>
      </c>
      <c r="C188" t="s">
        <v>210</v>
      </c>
      <c r="D188" t="s">
        <v>136</v>
      </c>
      <c r="E188">
        <v>2025</v>
      </c>
      <c r="F188">
        <v>6</v>
      </c>
      <c r="G188">
        <v>24</v>
      </c>
      <c r="H188">
        <v>31037</v>
      </c>
      <c r="I188">
        <v>272</v>
      </c>
      <c r="J188">
        <v>6</v>
      </c>
      <c r="K188">
        <v>517.29999999999995</v>
      </c>
      <c r="L188">
        <v>4.5</v>
      </c>
      <c r="M188">
        <v>21.6</v>
      </c>
      <c r="N188">
        <v>144</v>
      </c>
      <c r="O188" s="1" t="s">
        <v>211</v>
      </c>
    </row>
    <row r="189" spans="1:15">
      <c r="A189">
        <v>1213028</v>
      </c>
      <c r="B189" t="s">
        <v>209</v>
      </c>
      <c r="C189" t="s">
        <v>210</v>
      </c>
      <c r="D189" t="s">
        <v>136</v>
      </c>
      <c r="E189">
        <v>2025</v>
      </c>
      <c r="F189">
        <v>7</v>
      </c>
      <c r="G189">
        <v>2</v>
      </c>
      <c r="H189">
        <v>1740</v>
      </c>
      <c r="I189">
        <v>0</v>
      </c>
      <c r="J189">
        <v>0</v>
      </c>
      <c r="K189">
        <v>29</v>
      </c>
      <c r="L189">
        <v>0</v>
      </c>
      <c r="M189">
        <v>14.5</v>
      </c>
      <c r="N189">
        <v>16</v>
      </c>
      <c r="O189">
        <v>13</v>
      </c>
    </row>
    <row r="190" spans="1:15">
      <c r="A190">
        <v>1213066</v>
      </c>
      <c r="B190" t="s">
        <v>212</v>
      </c>
      <c r="C190" t="s">
        <v>213</v>
      </c>
      <c r="D190" t="s">
        <v>20</v>
      </c>
      <c r="E190">
        <v>2025</v>
      </c>
      <c r="F190">
        <v>6</v>
      </c>
      <c r="G190">
        <v>19</v>
      </c>
      <c r="H190">
        <v>11516</v>
      </c>
      <c r="I190">
        <v>0</v>
      </c>
      <c r="J190">
        <v>0</v>
      </c>
      <c r="K190">
        <v>191.9</v>
      </c>
      <c r="L190">
        <v>0</v>
      </c>
      <c r="M190">
        <v>10.1</v>
      </c>
      <c r="N190">
        <v>152</v>
      </c>
      <c r="O190" s="1" t="s">
        <v>214</v>
      </c>
    </row>
    <row r="191" spans="1:15">
      <c r="A191">
        <v>1213066</v>
      </c>
      <c r="B191" t="s">
        <v>212</v>
      </c>
      <c r="C191" t="s">
        <v>213</v>
      </c>
      <c r="D191" t="s">
        <v>20</v>
      </c>
      <c r="E191">
        <v>2025</v>
      </c>
      <c r="F191">
        <v>7</v>
      </c>
      <c r="G191">
        <v>23</v>
      </c>
      <c r="H191">
        <v>13240</v>
      </c>
      <c r="I191">
        <v>0</v>
      </c>
      <c r="J191">
        <v>0</v>
      </c>
      <c r="K191">
        <v>220.7</v>
      </c>
      <c r="L191">
        <v>0</v>
      </c>
      <c r="M191">
        <v>9.6</v>
      </c>
      <c r="N191">
        <v>184</v>
      </c>
      <c r="O191" s="1" t="s">
        <v>215</v>
      </c>
    </row>
    <row r="192" spans="1:15">
      <c r="A192">
        <v>1213066</v>
      </c>
      <c r="B192" t="s">
        <v>212</v>
      </c>
      <c r="C192" t="s">
        <v>213</v>
      </c>
      <c r="D192" t="s">
        <v>20</v>
      </c>
      <c r="E192">
        <v>2025</v>
      </c>
      <c r="F192">
        <v>8</v>
      </c>
      <c r="G192">
        <v>17</v>
      </c>
      <c r="H192">
        <v>9401</v>
      </c>
      <c r="I192">
        <v>0</v>
      </c>
      <c r="J192">
        <v>0</v>
      </c>
      <c r="K192">
        <v>156.69999999999999</v>
      </c>
      <c r="L192">
        <v>0</v>
      </c>
      <c r="M192">
        <v>9.1999999999999993</v>
      </c>
      <c r="N192">
        <v>136</v>
      </c>
      <c r="O192" s="1" t="s">
        <v>216</v>
      </c>
    </row>
    <row r="193" spans="1:15">
      <c r="A193">
        <v>1213083</v>
      </c>
      <c r="B193" t="s">
        <v>217</v>
      </c>
      <c r="C193" t="s">
        <v>218</v>
      </c>
      <c r="D193" t="s">
        <v>20</v>
      </c>
      <c r="E193">
        <v>2025</v>
      </c>
      <c r="F193">
        <v>6</v>
      </c>
      <c r="G193">
        <v>19</v>
      </c>
      <c r="H193">
        <v>10961</v>
      </c>
      <c r="I193">
        <v>0</v>
      </c>
      <c r="J193">
        <v>0</v>
      </c>
      <c r="K193">
        <v>182.7</v>
      </c>
      <c r="L193">
        <v>0</v>
      </c>
      <c r="M193">
        <v>9.6</v>
      </c>
      <c r="N193">
        <v>152</v>
      </c>
      <c r="O193" s="1" t="s">
        <v>219</v>
      </c>
    </row>
    <row r="194" spans="1:15">
      <c r="A194">
        <v>1213083</v>
      </c>
      <c r="B194" t="s">
        <v>217</v>
      </c>
      <c r="C194" t="s">
        <v>218</v>
      </c>
      <c r="D194" t="s">
        <v>20</v>
      </c>
      <c r="E194">
        <v>2025</v>
      </c>
      <c r="F194">
        <v>7</v>
      </c>
      <c r="G194">
        <v>18</v>
      </c>
      <c r="H194">
        <v>10731</v>
      </c>
      <c r="I194">
        <v>0</v>
      </c>
      <c r="J194">
        <v>0</v>
      </c>
      <c r="K194">
        <v>178.8</v>
      </c>
      <c r="L194">
        <v>0</v>
      </c>
      <c r="M194">
        <v>9.9</v>
      </c>
      <c r="N194">
        <v>144</v>
      </c>
      <c r="O194" s="1" t="s">
        <v>220</v>
      </c>
    </row>
    <row r="195" spans="1:15">
      <c r="A195">
        <v>1213083</v>
      </c>
      <c r="B195" t="s">
        <v>217</v>
      </c>
      <c r="C195" t="s">
        <v>218</v>
      </c>
      <c r="D195" t="s">
        <v>20</v>
      </c>
      <c r="E195">
        <v>2025</v>
      </c>
      <c r="F195">
        <v>8</v>
      </c>
      <c r="G195">
        <v>19</v>
      </c>
      <c r="H195">
        <v>9357</v>
      </c>
      <c r="I195">
        <v>0</v>
      </c>
      <c r="J195">
        <v>2</v>
      </c>
      <c r="K195">
        <v>156</v>
      </c>
      <c r="L195">
        <v>0</v>
      </c>
      <c r="M195">
        <v>8.1999999999999993</v>
      </c>
      <c r="N195">
        <v>136</v>
      </c>
      <c r="O195">
        <v>20</v>
      </c>
    </row>
    <row r="196" spans="1:15">
      <c r="A196">
        <v>1213101</v>
      </c>
      <c r="B196" t="s">
        <v>221</v>
      </c>
      <c r="C196" t="s">
        <v>160</v>
      </c>
      <c r="D196" t="s">
        <v>136</v>
      </c>
      <c r="E196">
        <v>2025</v>
      </c>
      <c r="F196">
        <v>6</v>
      </c>
      <c r="G196">
        <v>20</v>
      </c>
      <c r="H196">
        <v>11192</v>
      </c>
      <c r="I196">
        <v>1856</v>
      </c>
      <c r="J196">
        <v>3</v>
      </c>
      <c r="K196">
        <v>186.5</v>
      </c>
      <c r="L196">
        <v>30.9</v>
      </c>
      <c r="M196">
        <v>9.3000000000000007</v>
      </c>
      <c r="N196">
        <v>136</v>
      </c>
      <c r="O196">
        <v>50.5</v>
      </c>
    </row>
    <row r="197" spans="1:15">
      <c r="A197">
        <v>1213101</v>
      </c>
      <c r="B197" t="s">
        <v>221</v>
      </c>
      <c r="C197" t="s">
        <v>160</v>
      </c>
      <c r="D197" t="s">
        <v>136</v>
      </c>
      <c r="E197">
        <v>2025</v>
      </c>
      <c r="F197">
        <v>7</v>
      </c>
      <c r="G197">
        <v>16</v>
      </c>
      <c r="H197">
        <v>8836</v>
      </c>
      <c r="I197">
        <v>700</v>
      </c>
      <c r="J197">
        <v>0</v>
      </c>
      <c r="K197">
        <v>147.30000000000001</v>
      </c>
      <c r="L197">
        <v>11.7</v>
      </c>
      <c r="M197">
        <v>9.1999999999999993</v>
      </c>
      <c r="N197">
        <v>128</v>
      </c>
      <c r="O197" s="1" t="s">
        <v>222</v>
      </c>
    </row>
    <row r="198" spans="1:15">
      <c r="A198">
        <v>1213101</v>
      </c>
      <c r="B198" t="s">
        <v>221</v>
      </c>
      <c r="C198" t="s">
        <v>160</v>
      </c>
      <c r="D198" t="s">
        <v>136</v>
      </c>
      <c r="E198">
        <v>2025</v>
      </c>
      <c r="F198">
        <v>8</v>
      </c>
      <c r="G198">
        <v>12</v>
      </c>
      <c r="H198">
        <v>6283</v>
      </c>
      <c r="I198">
        <v>0</v>
      </c>
      <c r="J198">
        <v>0</v>
      </c>
      <c r="K198">
        <v>104.7</v>
      </c>
      <c r="L198">
        <v>0</v>
      </c>
      <c r="M198">
        <v>8.6999999999999993</v>
      </c>
      <c r="N198">
        <v>96</v>
      </c>
      <c r="O198" s="1" t="s">
        <v>223</v>
      </c>
    </row>
    <row r="199" spans="1:15">
      <c r="A199">
        <v>1213150</v>
      </c>
      <c r="B199" t="s">
        <v>224</v>
      </c>
      <c r="C199" t="s">
        <v>225</v>
      </c>
      <c r="D199" t="s">
        <v>136</v>
      </c>
      <c r="E199">
        <v>2025</v>
      </c>
      <c r="F199">
        <v>8</v>
      </c>
      <c r="G199">
        <v>1</v>
      </c>
      <c r="H199">
        <v>16</v>
      </c>
      <c r="I199">
        <v>0</v>
      </c>
      <c r="J199">
        <v>0</v>
      </c>
      <c r="K199">
        <v>0.3</v>
      </c>
      <c r="L199">
        <v>0</v>
      </c>
      <c r="M199">
        <v>0.3</v>
      </c>
      <c r="N199">
        <v>8</v>
      </c>
      <c r="O199">
        <v>-7.7</v>
      </c>
    </row>
    <row r="200" spans="1:15">
      <c r="A200">
        <v>1213151</v>
      </c>
      <c r="B200" t="s">
        <v>226</v>
      </c>
      <c r="C200" t="s">
        <v>210</v>
      </c>
      <c r="D200" t="s">
        <v>136</v>
      </c>
      <c r="E200">
        <v>2025</v>
      </c>
      <c r="F200">
        <v>6</v>
      </c>
      <c r="G200">
        <v>2</v>
      </c>
      <c r="H200">
        <v>481</v>
      </c>
      <c r="I200">
        <v>0</v>
      </c>
      <c r="J200">
        <v>0</v>
      </c>
      <c r="K200">
        <v>8</v>
      </c>
      <c r="L200">
        <v>0</v>
      </c>
      <c r="M200">
        <v>4</v>
      </c>
      <c r="N200">
        <v>16</v>
      </c>
      <c r="O200">
        <v>-8</v>
      </c>
    </row>
    <row r="201" spans="1:15">
      <c r="A201">
        <v>1213151</v>
      </c>
      <c r="B201" t="s">
        <v>226</v>
      </c>
      <c r="C201" t="s">
        <v>210</v>
      </c>
      <c r="D201" t="s">
        <v>136</v>
      </c>
      <c r="E201">
        <v>2025</v>
      </c>
      <c r="F201">
        <v>7</v>
      </c>
      <c r="G201">
        <v>6</v>
      </c>
      <c r="H201">
        <v>1921</v>
      </c>
      <c r="I201">
        <v>0</v>
      </c>
      <c r="J201">
        <v>0</v>
      </c>
      <c r="K201">
        <v>32</v>
      </c>
      <c r="L201">
        <v>0</v>
      </c>
      <c r="M201">
        <v>5.3</v>
      </c>
      <c r="N201">
        <v>48</v>
      </c>
      <c r="O201">
        <v>-16</v>
      </c>
    </row>
    <row r="202" spans="1:15">
      <c r="A202">
        <v>1213151</v>
      </c>
      <c r="B202" t="s">
        <v>226</v>
      </c>
      <c r="C202" t="s">
        <v>210</v>
      </c>
      <c r="D202" t="s">
        <v>136</v>
      </c>
      <c r="E202">
        <v>2025</v>
      </c>
      <c r="F202">
        <v>8</v>
      </c>
      <c r="G202">
        <v>3</v>
      </c>
      <c r="H202">
        <v>716</v>
      </c>
      <c r="I202">
        <v>0</v>
      </c>
      <c r="J202">
        <v>0</v>
      </c>
      <c r="K202">
        <v>11.9</v>
      </c>
      <c r="L202">
        <v>0</v>
      </c>
      <c r="M202">
        <v>4</v>
      </c>
      <c r="N202">
        <v>24</v>
      </c>
      <c r="O202">
        <v>-12.1</v>
      </c>
    </row>
    <row r="203" spans="1:15">
      <c r="A203">
        <v>1213173</v>
      </c>
      <c r="B203" t="s">
        <v>227</v>
      </c>
      <c r="C203" t="s">
        <v>41</v>
      </c>
      <c r="D203" t="s">
        <v>136</v>
      </c>
      <c r="E203">
        <v>2025</v>
      </c>
      <c r="F203">
        <v>6</v>
      </c>
      <c r="G203">
        <v>16</v>
      </c>
      <c r="H203">
        <v>8598</v>
      </c>
      <c r="I203">
        <v>0</v>
      </c>
      <c r="J203">
        <v>0</v>
      </c>
      <c r="K203">
        <v>143.30000000000001</v>
      </c>
      <c r="L203">
        <v>0</v>
      </c>
      <c r="M203">
        <v>9</v>
      </c>
      <c r="N203">
        <v>128</v>
      </c>
      <c r="O203" s="1" t="s">
        <v>208</v>
      </c>
    </row>
    <row r="204" spans="1:15">
      <c r="A204">
        <v>1213173</v>
      </c>
      <c r="B204" t="s">
        <v>227</v>
      </c>
      <c r="C204" t="s">
        <v>41</v>
      </c>
      <c r="D204" t="s">
        <v>136</v>
      </c>
      <c r="E204">
        <v>2025</v>
      </c>
      <c r="F204">
        <v>7</v>
      </c>
      <c r="G204">
        <v>17</v>
      </c>
      <c r="H204">
        <v>8270</v>
      </c>
      <c r="I204">
        <v>0</v>
      </c>
      <c r="J204">
        <v>0</v>
      </c>
      <c r="K204">
        <v>137.80000000000001</v>
      </c>
      <c r="L204">
        <v>0</v>
      </c>
      <c r="M204">
        <v>8.1</v>
      </c>
      <c r="N204">
        <v>136</v>
      </c>
      <c r="O204" s="1" t="s">
        <v>228</v>
      </c>
    </row>
    <row r="205" spans="1:15">
      <c r="A205">
        <v>1213173</v>
      </c>
      <c r="B205" t="s">
        <v>227</v>
      </c>
      <c r="C205" t="s">
        <v>41</v>
      </c>
      <c r="D205" t="s">
        <v>136</v>
      </c>
      <c r="E205">
        <v>2025</v>
      </c>
      <c r="F205">
        <v>8</v>
      </c>
      <c r="G205">
        <v>15</v>
      </c>
      <c r="H205">
        <v>6756</v>
      </c>
      <c r="I205">
        <v>0</v>
      </c>
      <c r="J205">
        <v>0</v>
      </c>
      <c r="K205">
        <v>112.6</v>
      </c>
      <c r="L205">
        <v>0</v>
      </c>
      <c r="M205">
        <v>7.5</v>
      </c>
      <c r="N205">
        <v>120</v>
      </c>
      <c r="O205">
        <v>-7.4</v>
      </c>
    </row>
    <row r="206" spans="1:15">
      <c r="A206">
        <v>1214002</v>
      </c>
      <c r="B206" t="s">
        <v>229</v>
      </c>
      <c r="C206" t="s">
        <v>61</v>
      </c>
      <c r="D206" t="s">
        <v>136</v>
      </c>
      <c r="E206">
        <v>2025</v>
      </c>
      <c r="F206">
        <v>6</v>
      </c>
      <c r="G206">
        <v>18</v>
      </c>
      <c r="H206">
        <v>10828</v>
      </c>
      <c r="I206">
        <v>604</v>
      </c>
      <c r="J206">
        <v>0</v>
      </c>
      <c r="K206">
        <v>180.5</v>
      </c>
      <c r="L206">
        <v>10.1</v>
      </c>
      <c r="M206">
        <v>10</v>
      </c>
      <c r="N206">
        <v>144</v>
      </c>
      <c r="O206">
        <v>36.5</v>
      </c>
    </row>
    <row r="207" spans="1:15">
      <c r="A207">
        <v>1214002</v>
      </c>
      <c r="B207" t="s">
        <v>229</v>
      </c>
      <c r="C207" t="s">
        <v>61</v>
      </c>
      <c r="D207" t="s">
        <v>136</v>
      </c>
      <c r="E207">
        <v>2025</v>
      </c>
      <c r="F207">
        <v>7</v>
      </c>
      <c r="G207">
        <v>16</v>
      </c>
      <c r="H207">
        <v>9783</v>
      </c>
      <c r="I207">
        <v>563</v>
      </c>
      <c r="J207">
        <v>0</v>
      </c>
      <c r="K207">
        <v>163</v>
      </c>
      <c r="L207">
        <v>9.4</v>
      </c>
      <c r="M207">
        <v>10.199999999999999</v>
      </c>
      <c r="N207">
        <v>128</v>
      </c>
      <c r="O207">
        <v>35</v>
      </c>
    </row>
    <row r="208" spans="1:15">
      <c r="A208">
        <v>1214002</v>
      </c>
      <c r="B208" t="s">
        <v>229</v>
      </c>
      <c r="C208" t="s">
        <v>61</v>
      </c>
      <c r="D208" t="s">
        <v>136</v>
      </c>
      <c r="E208">
        <v>2025</v>
      </c>
      <c r="F208">
        <v>8</v>
      </c>
      <c r="G208">
        <v>15</v>
      </c>
      <c r="H208">
        <v>8633</v>
      </c>
      <c r="I208">
        <v>409</v>
      </c>
      <c r="J208">
        <v>0</v>
      </c>
      <c r="K208">
        <v>143.9</v>
      </c>
      <c r="L208">
        <v>6.8</v>
      </c>
      <c r="M208">
        <v>9.6</v>
      </c>
      <c r="N208">
        <v>120</v>
      </c>
      <c r="O208" s="1" t="s">
        <v>230</v>
      </c>
    </row>
    <row r="209" spans="1:15">
      <c r="A209">
        <v>1214054</v>
      </c>
      <c r="B209" t="s">
        <v>231</v>
      </c>
      <c r="C209" t="s">
        <v>16</v>
      </c>
      <c r="D209" t="s">
        <v>90</v>
      </c>
      <c r="E209">
        <v>2025</v>
      </c>
      <c r="F209">
        <v>6</v>
      </c>
      <c r="G209">
        <v>19</v>
      </c>
      <c r="H209">
        <v>10252</v>
      </c>
      <c r="I209">
        <v>0</v>
      </c>
      <c r="J209">
        <v>0</v>
      </c>
      <c r="K209">
        <v>170.9</v>
      </c>
      <c r="L209">
        <v>0</v>
      </c>
      <c r="M209">
        <v>9</v>
      </c>
      <c r="N209">
        <v>152</v>
      </c>
      <c r="O209" s="1" t="s">
        <v>232</v>
      </c>
    </row>
    <row r="210" spans="1:15">
      <c r="A210">
        <v>1214054</v>
      </c>
      <c r="B210" t="s">
        <v>231</v>
      </c>
      <c r="C210" t="s">
        <v>16</v>
      </c>
      <c r="D210" t="s">
        <v>90</v>
      </c>
      <c r="E210">
        <v>2025</v>
      </c>
      <c r="F210">
        <v>7</v>
      </c>
      <c r="G210">
        <v>19</v>
      </c>
      <c r="H210">
        <v>6457</v>
      </c>
      <c r="I210">
        <v>0</v>
      </c>
      <c r="J210">
        <v>0</v>
      </c>
      <c r="K210">
        <v>107.6</v>
      </c>
      <c r="L210">
        <v>0</v>
      </c>
      <c r="M210">
        <v>5.7</v>
      </c>
      <c r="N210">
        <v>152</v>
      </c>
      <c r="O210">
        <v>-44.4</v>
      </c>
    </row>
    <row r="211" spans="1:15">
      <c r="A211">
        <v>1214054</v>
      </c>
      <c r="B211" t="s">
        <v>231</v>
      </c>
      <c r="C211" t="s">
        <v>16</v>
      </c>
      <c r="D211" t="s">
        <v>90</v>
      </c>
      <c r="E211">
        <v>2025</v>
      </c>
      <c r="F211">
        <v>8</v>
      </c>
      <c r="G211">
        <v>15</v>
      </c>
      <c r="H211">
        <v>3709</v>
      </c>
      <c r="I211">
        <v>0</v>
      </c>
      <c r="J211">
        <v>0</v>
      </c>
      <c r="K211">
        <v>61.8</v>
      </c>
      <c r="L211">
        <v>0</v>
      </c>
      <c r="M211">
        <v>4.0999999999999996</v>
      </c>
      <c r="N211">
        <v>120</v>
      </c>
      <c r="O211">
        <v>-58.2</v>
      </c>
    </row>
    <row r="212" spans="1:15">
      <c r="A212">
        <v>1214099</v>
      </c>
      <c r="B212" t="s">
        <v>233</v>
      </c>
      <c r="C212" t="s">
        <v>79</v>
      </c>
      <c r="D212" t="s">
        <v>20</v>
      </c>
      <c r="E212">
        <v>2025</v>
      </c>
      <c r="F212">
        <v>6</v>
      </c>
      <c r="G212">
        <v>19</v>
      </c>
      <c r="H212">
        <v>11678</v>
      </c>
      <c r="I212">
        <v>973</v>
      </c>
      <c r="J212">
        <v>0</v>
      </c>
      <c r="K212">
        <v>194.6</v>
      </c>
      <c r="L212">
        <v>16.2</v>
      </c>
      <c r="M212">
        <v>10.199999999999999</v>
      </c>
      <c r="N212">
        <v>152</v>
      </c>
      <c r="O212" s="1" t="s">
        <v>234</v>
      </c>
    </row>
    <row r="213" spans="1:15">
      <c r="A213">
        <v>1214099</v>
      </c>
      <c r="B213" t="s">
        <v>233</v>
      </c>
      <c r="C213" t="s">
        <v>79</v>
      </c>
      <c r="D213" t="s">
        <v>20</v>
      </c>
      <c r="E213">
        <v>2025</v>
      </c>
      <c r="F213">
        <v>7</v>
      </c>
      <c r="G213">
        <v>20</v>
      </c>
      <c r="H213">
        <v>11421</v>
      </c>
      <c r="I213">
        <v>636</v>
      </c>
      <c r="J213">
        <v>1</v>
      </c>
      <c r="K213">
        <v>190.4</v>
      </c>
      <c r="L213">
        <v>10.6</v>
      </c>
      <c r="M213">
        <v>9.5</v>
      </c>
      <c r="N213">
        <v>152</v>
      </c>
      <c r="O213" s="1" t="s">
        <v>84</v>
      </c>
    </row>
    <row r="214" spans="1:15">
      <c r="A214">
        <v>1214099</v>
      </c>
      <c r="B214" t="s">
        <v>233</v>
      </c>
      <c r="C214" t="s">
        <v>79</v>
      </c>
      <c r="D214" t="s">
        <v>20</v>
      </c>
      <c r="E214">
        <v>2025</v>
      </c>
      <c r="F214">
        <v>8</v>
      </c>
      <c r="G214">
        <v>16</v>
      </c>
      <c r="H214">
        <v>9396</v>
      </c>
      <c r="I214">
        <v>728</v>
      </c>
      <c r="J214">
        <v>0</v>
      </c>
      <c r="K214">
        <v>156.6</v>
      </c>
      <c r="L214">
        <v>12.1</v>
      </c>
      <c r="M214">
        <v>9.8000000000000007</v>
      </c>
      <c r="N214">
        <v>128</v>
      </c>
      <c r="O214" s="1" t="s">
        <v>74</v>
      </c>
    </row>
    <row r="215" spans="1:15">
      <c r="A215">
        <v>1214104</v>
      </c>
      <c r="B215" t="s">
        <v>235</v>
      </c>
      <c r="C215" t="s">
        <v>87</v>
      </c>
      <c r="D215" t="s">
        <v>136</v>
      </c>
      <c r="E215">
        <v>2025</v>
      </c>
      <c r="F215">
        <v>6</v>
      </c>
      <c r="G215">
        <v>16</v>
      </c>
      <c r="H215">
        <v>9018</v>
      </c>
      <c r="I215">
        <v>275</v>
      </c>
      <c r="J215">
        <v>0</v>
      </c>
      <c r="K215">
        <v>150.30000000000001</v>
      </c>
      <c r="L215">
        <v>4.5999999999999996</v>
      </c>
      <c r="M215">
        <v>9.4</v>
      </c>
      <c r="N215">
        <v>128</v>
      </c>
      <c r="O215" s="1" t="s">
        <v>163</v>
      </c>
    </row>
    <row r="216" spans="1:15">
      <c r="A216">
        <v>1214104</v>
      </c>
      <c r="B216" t="s">
        <v>235</v>
      </c>
      <c r="C216" t="s">
        <v>87</v>
      </c>
      <c r="D216" t="s">
        <v>136</v>
      </c>
      <c r="E216">
        <v>2025</v>
      </c>
      <c r="F216">
        <v>7</v>
      </c>
      <c r="G216">
        <v>18</v>
      </c>
      <c r="H216">
        <v>10567</v>
      </c>
      <c r="I216">
        <v>458</v>
      </c>
      <c r="J216">
        <v>0</v>
      </c>
      <c r="K216">
        <v>176.1</v>
      </c>
      <c r="L216">
        <v>7.6</v>
      </c>
      <c r="M216">
        <v>9.8000000000000007</v>
      </c>
      <c r="N216">
        <v>144</v>
      </c>
      <c r="O216" s="1" t="s">
        <v>42</v>
      </c>
    </row>
    <row r="217" spans="1:15">
      <c r="A217">
        <v>1214104</v>
      </c>
      <c r="B217" t="s">
        <v>235</v>
      </c>
      <c r="C217" t="s">
        <v>87</v>
      </c>
      <c r="D217" t="s">
        <v>136</v>
      </c>
      <c r="E217">
        <v>2025</v>
      </c>
      <c r="F217">
        <v>8</v>
      </c>
      <c r="G217">
        <v>15</v>
      </c>
      <c r="H217">
        <v>8373</v>
      </c>
      <c r="I217">
        <v>354</v>
      </c>
      <c r="J217">
        <v>0</v>
      </c>
      <c r="K217">
        <v>139.6</v>
      </c>
      <c r="L217">
        <v>5.9</v>
      </c>
      <c r="M217">
        <v>9.3000000000000007</v>
      </c>
      <c r="N217">
        <v>120</v>
      </c>
      <c r="O217" s="1" t="s">
        <v>25</v>
      </c>
    </row>
    <row r="218" spans="1:15">
      <c r="A218">
        <v>1214105</v>
      </c>
      <c r="B218" t="s">
        <v>236</v>
      </c>
      <c r="C218" t="s">
        <v>61</v>
      </c>
      <c r="D218" t="s">
        <v>136</v>
      </c>
      <c r="E218">
        <v>2025</v>
      </c>
      <c r="F218">
        <v>6</v>
      </c>
      <c r="G218">
        <v>18</v>
      </c>
      <c r="H218">
        <v>9874</v>
      </c>
      <c r="I218">
        <v>179</v>
      </c>
      <c r="J218">
        <v>0</v>
      </c>
      <c r="K218">
        <v>164.6</v>
      </c>
      <c r="L218">
        <v>3</v>
      </c>
      <c r="M218">
        <v>9.1</v>
      </c>
      <c r="N218">
        <v>144</v>
      </c>
      <c r="O218" s="1" t="s">
        <v>171</v>
      </c>
    </row>
    <row r="219" spans="1:15">
      <c r="A219">
        <v>1214105</v>
      </c>
      <c r="B219" t="s">
        <v>236</v>
      </c>
      <c r="C219" t="s">
        <v>61</v>
      </c>
      <c r="D219" t="s">
        <v>136</v>
      </c>
      <c r="E219">
        <v>2025</v>
      </c>
      <c r="F219">
        <v>7</v>
      </c>
      <c r="G219">
        <v>17</v>
      </c>
      <c r="H219">
        <v>9554</v>
      </c>
      <c r="I219">
        <v>506</v>
      </c>
      <c r="J219">
        <v>0</v>
      </c>
      <c r="K219">
        <v>159.19999999999999</v>
      </c>
      <c r="L219">
        <v>8.4</v>
      </c>
      <c r="M219">
        <v>9.4</v>
      </c>
      <c r="N219">
        <v>136</v>
      </c>
      <c r="O219" s="1" t="s">
        <v>133</v>
      </c>
    </row>
    <row r="220" spans="1:15">
      <c r="A220">
        <v>1214105</v>
      </c>
      <c r="B220" t="s">
        <v>236</v>
      </c>
      <c r="C220" t="s">
        <v>61</v>
      </c>
      <c r="D220" t="s">
        <v>136</v>
      </c>
      <c r="E220">
        <v>2025</v>
      </c>
      <c r="F220">
        <v>8</v>
      </c>
      <c r="G220">
        <v>14</v>
      </c>
      <c r="H220">
        <v>8078</v>
      </c>
      <c r="I220">
        <v>672</v>
      </c>
      <c r="J220">
        <v>0</v>
      </c>
      <c r="K220">
        <v>134.6</v>
      </c>
      <c r="L220">
        <v>11.2</v>
      </c>
      <c r="M220">
        <v>9.6</v>
      </c>
      <c r="N220">
        <v>112</v>
      </c>
      <c r="O220" s="1" t="s">
        <v>80</v>
      </c>
    </row>
    <row r="221" spans="1:15">
      <c r="A221">
        <v>1214138</v>
      </c>
      <c r="B221" t="s">
        <v>237</v>
      </c>
      <c r="C221" t="s">
        <v>177</v>
      </c>
      <c r="D221" t="s">
        <v>136</v>
      </c>
      <c r="E221">
        <v>2025</v>
      </c>
      <c r="F221">
        <v>6</v>
      </c>
      <c r="G221">
        <v>8</v>
      </c>
      <c r="H221">
        <v>2810</v>
      </c>
      <c r="I221">
        <v>0</v>
      </c>
      <c r="J221">
        <v>0</v>
      </c>
      <c r="K221">
        <v>46.8</v>
      </c>
      <c r="L221">
        <v>0</v>
      </c>
      <c r="M221">
        <v>5.8</v>
      </c>
      <c r="N221">
        <v>64</v>
      </c>
      <c r="O221">
        <v>-17.2</v>
      </c>
    </row>
    <row r="222" spans="1:15">
      <c r="A222">
        <v>1214138</v>
      </c>
      <c r="B222" t="s">
        <v>237</v>
      </c>
      <c r="C222" t="s">
        <v>177</v>
      </c>
      <c r="D222" t="s">
        <v>136</v>
      </c>
      <c r="E222">
        <v>2025</v>
      </c>
      <c r="F222">
        <v>7</v>
      </c>
      <c r="G222">
        <v>11</v>
      </c>
      <c r="H222">
        <v>4510</v>
      </c>
      <c r="I222">
        <v>0</v>
      </c>
      <c r="J222">
        <v>0</v>
      </c>
      <c r="K222">
        <v>75.2</v>
      </c>
      <c r="L222">
        <v>0</v>
      </c>
      <c r="M222">
        <v>6.8</v>
      </c>
      <c r="N222">
        <v>88</v>
      </c>
      <c r="O222">
        <v>-12.8</v>
      </c>
    </row>
    <row r="223" spans="1:15">
      <c r="A223">
        <v>1214138</v>
      </c>
      <c r="B223" t="s">
        <v>237</v>
      </c>
      <c r="C223" t="s">
        <v>177</v>
      </c>
      <c r="D223" t="s">
        <v>136</v>
      </c>
      <c r="E223">
        <v>2025</v>
      </c>
      <c r="F223">
        <v>8</v>
      </c>
      <c r="G223">
        <v>6</v>
      </c>
      <c r="H223">
        <v>1741</v>
      </c>
      <c r="I223">
        <v>0</v>
      </c>
      <c r="J223">
        <v>0</v>
      </c>
      <c r="K223">
        <v>29</v>
      </c>
      <c r="L223">
        <v>0</v>
      </c>
      <c r="M223">
        <v>4.8</v>
      </c>
      <c r="N223">
        <v>48</v>
      </c>
      <c r="O223">
        <v>-19</v>
      </c>
    </row>
    <row r="224" spans="1:15">
      <c r="A224">
        <v>1214159</v>
      </c>
      <c r="B224" t="s">
        <v>238</v>
      </c>
      <c r="C224" t="s">
        <v>239</v>
      </c>
      <c r="D224" t="s">
        <v>136</v>
      </c>
      <c r="E224">
        <v>2025</v>
      </c>
      <c r="F224">
        <v>6</v>
      </c>
      <c r="G224">
        <v>19</v>
      </c>
      <c r="H224">
        <v>9837</v>
      </c>
      <c r="I224">
        <v>178</v>
      </c>
      <c r="J224">
        <v>1</v>
      </c>
      <c r="K224">
        <v>164</v>
      </c>
      <c r="L224">
        <v>3</v>
      </c>
      <c r="M224">
        <v>8.6</v>
      </c>
      <c r="N224">
        <v>144</v>
      </c>
      <c r="O224">
        <v>20</v>
      </c>
    </row>
    <row r="225" spans="1:15">
      <c r="A225">
        <v>1214159</v>
      </c>
      <c r="B225" t="s">
        <v>238</v>
      </c>
      <c r="C225" t="s">
        <v>239</v>
      </c>
      <c r="D225" t="s">
        <v>136</v>
      </c>
      <c r="E225">
        <v>2025</v>
      </c>
      <c r="F225">
        <v>7</v>
      </c>
      <c r="G225">
        <v>20</v>
      </c>
      <c r="H225">
        <v>11249</v>
      </c>
      <c r="I225">
        <v>167</v>
      </c>
      <c r="J225">
        <v>0</v>
      </c>
      <c r="K225">
        <v>187.5</v>
      </c>
      <c r="L225">
        <v>2.8</v>
      </c>
      <c r="M225">
        <v>9.4</v>
      </c>
      <c r="N225">
        <v>160</v>
      </c>
      <c r="O225">
        <v>27.5</v>
      </c>
    </row>
    <row r="226" spans="1:15">
      <c r="A226">
        <v>1214159</v>
      </c>
      <c r="B226" t="s">
        <v>238</v>
      </c>
      <c r="C226" t="s">
        <v>239</v>
      </c>
      <c r="D226" t="s">
        <v>136</v>
      </c>
      <c r="E226">
        <v>2025</v>
      </c>
      <c r="F226">
        <v>8</v>
      </c>
      <c r="G226">
        <v>16</v>
      </c>
      <c r="H226">
        <v>8167</v>
      </c>
      <c r="I226">
        <v>0</v>
      </c>
      <c r="J226">
        <v>0</v>
      </c>
      <c r="K226">
        <v>136.1</v>
      </c>
      <c r="L226">
        <v>0</v>
      </c>
      <c r="M226">
        <v>8.5</v>
      </c>
      <c r="N226">
        <v>128</v>
      </c>
      <c r="O226" s="1" t="s">
        <v>240</v>
      </c>
    </row>
    <row r="227" spans="1:15">
      <c r="A227">
        <v>1214162</v>
      </c>
      <c r="B227" t="s">
        <v>241</v>
      </c>
      <c r="C227" t="s">
        <v>113</v>
      </c>
      <c r="D227" t="s">
        <v>136</v>
      </c>
      <c r="E227">
        <v>2025</v>
      </c>
      <c r="F227">
        <v>6</v>
      </c>
      <c r="G227">
        <v>18</v>
      </c>
      <c r="H227">
        <v>10230</v>
      </c>
      <c r="I227">
        <v>902</v>
      </c>
      <c r="J227">
        <v>0</v>
      </c>
      <c r="K227">
        <v>170.5</v>
      </c>
      <c r="L227">
        <v>15</v>
      </c>
      <c r="M227">
        <v>9.5</v>
      </c>
      <c r="N227">
        <v>144</v>
      </c>
      <c r="O227">
        <v>26.5</v>
      </c>
    </row>
    <row r="228" spans="1:15">
      <c r="A228">
        <v>1214162</v>
      </c>
      <c r="B228" t="s">
        <v>241</v>
      </c>
      <c r="C228" t="s">
        <v>113</v>
      </c>
      <c r="D228" t="s">
        <v>136</v>
      </c>
      <c r="E228">
        <v>2025</v>
      </c>
      <c r="F228">
        <v>7</v>
      </c>
      <c r="G228">
        <v>19</v>
      </c>
      <c r="H228">
        <v>11513</v>
      </c>
      <c r="I228">
        <v>1346</v>
      </c>
      <c r="J228">
        <v>0</v>
      </c>
      <c r="K228">
        <v>191.9</v>
      </c>
      <c r="L228">
        <v>22.4</v>
      </c>
      <c r="M228">
        <v>10.1</v>
      </c>
      <c r="N228">
        <v>152</v>
      </c>
      <c r="O228" s="1" t="s">
        <v>214</v>
      </c>
    </row>
    <row r="229" spans="1:15">
      <c r="A229">
        <v>1214162</v>
      </c>
      <c r="B229" t="s">
        <v>241</v>
      </c>
      <c r="C229" t="s">
        <v>113</v>
      </c>
      <c r="D229" t="s">
        <v>136</v>
      </c>
      <c r="E229">
        <v>2025</v>
      </c>
      <c r="F229">
        <v>8</v>
      </c>
      <c r="G229">
        <v>15</v>
      </c>
      <c r="H229">
        <v>7982</v>
      </c>
      <c r="I229">
        <v>486</v>
      </c>
      <c r="J229">
        <v>0</v>
      </c>
      <c r="K229">
        <v>133</v>
      </c>
      <c r="L229">
        <v>8.1</v>
      </c>
      <c r="M229">
        <v>8.9</v>
      </c>
      <c r="N229">
        <v>120</v>
      </c>
      <c r="O229">
        <v>13</v>
      </c>
    </row>
    <row r="230" spans="1:15">
      <c r="A230">
        <v>1214163</v>
      </c>
      <c r="B230" t="s">
        <v>242</v>
      </c>
      <c r="C230" t="s">
        <v>83</v>
      </c>
      <c r="D230" t="s">
        <v>136</v>
      </c>
      <c r="E230">
        <v>2025</v>
      </c>
      <c r="F230">
        <v>6</v>
      </c>
      <c r="G230">
        <v>18</v>
      </c>
      <c r="H230">
        <v>11101</v>
      </c>
      <c r="I230">
        <v>0</v>
      </c>
      <c r="J230">
        <v>0</v>
      </c>
      <c r="K230">
        <v>185</v>
      </c>
      <c r="L230">
        <v>0</v>
      </c>
      <c r="M230">
        <v>10.3</v>
      </c>
      <c r="N230">
        <v>144</v>
      </c>
      <c r="O230">
        <v>41</v>
      </c>
    </row>
    <row r="231" spans="1:15">
      <c r="A231">
        <v>1214163</v>
      </c>
      <c r="B231" t="s">
        <v>242</v>
      </c>
      <c r="C231" t="s">
        <v>83</v>
      </c>
      <c r="D231" t="s">
        <v>136</v>
      </c>
      <c r="E231">
        <v>2025</v>
      </c>
      <c r="F231">
        <v>7</v>
      </c>
      <c r="G231">
        <v>17</v>
      </c>
      <c r="H231">
        <v>10776</v>
      </c>
      <c r="I231">
        <v>70</v>
      </c>
      <c r="J231">
        <v>0</v>
      </c>
      <c r="K231">
        <v>179.6</v>
      </c>
      <c r="L231">
        <v>1.2</v>
      </c>
      <c r="M231">
        <v>10.6</v>
      </c>
      <c r="N231">
        <v>136</v>
      </c>
      <c r="O231" s="1" t="s">
        <v>243</v>
      </c>
    </row>
    <row r="232" spans="1:15">
      <c r="A232">
        <v>1214163</v>
      </c>
      <c r="B232" t="s">
        <v>242</v>
      </c>
      <c r="C232" t="s">
        <v>83</v>
      </c>
      <c r="D232" t="s">
        <v>136</v>
      </c>
      <c r="E232">
        <v>2025</v>
      </c>
      <c r="F232">
        <v>8</v>
      </c>
      <c r="G232">
        <v>15</v>
      </c>
      <c r="H232">
        <v>8804</v>
      </c>
      <c r="I232">
        <v>0</v>
      </c>
      <c r="J232">
        <v>0</v>
      </c>
      <c r="K232">
        <v>146.69999999999999</v>
      </c>
      <c r="L232">
        <v>0</v>
      </c>
      <c r="M232">
        <v>9.8000000000000007</v>
      </c>
      <c r="N232">
        <v>120</v>
      </c>
      <c r="O232" s="1" t="s">
        <v>244</v>
      </c>
    </row>
    <row r="233" spans="1:15">
      <c r="A233">
        <v>1214164</v>
      </c>
      <c r="B233" t="s">
        <v>245</v>
      </c>
      <c r="C233" t="s">
        <v>83</v>
      </c>
      <c r="D233" t="s">
        <v>136</v>
      </c>
      <c r="E233">
        <v>2025</v>
      </c>
      <c r="F233">
        <v>6</v>
      </c>
      <c r="G233">
        <v>14</v>
      </c>
      <c r="H233">
        <v>13386</v>
      </c>
      <c r="I233">
        <v>0</v>
      </c>
      <c r="J233">
        <v>1</v>
      </c>
      <c r="K233">
        <v>223.1</v>
      </c>
      <c r="L233">
        <v>0</v>
      </c>
      <c r="M233">
        <v>15.9</v>
      </c>
      <c r="N233">
        <v>104</v>
      </c>
      <c r="O233">
        <v>119.1</v>
      </c>
    </row>
    <row r="234" spans="1:15">
      <c r="A234">
        <v>1214164</v>
      </c>
      <c r="B234" t="s">
        <v>245</v>
      </c>
      <c r="C234" t="s">
        <v>83</v>
      </c>
      <c r="D234" t="s">
        <v>136</v>
      </c>
      <c r="E234">
        <v>2025</v>
      </c>
      <c r="F234">
        <v>7</v>
      </c>
      <c r="G234">
        <v>26</v>
      </c>
      <c r="H234">
        <v>34294</v>
      </c>
      <c r="I234">
        <v>0</v>
      </c>
      <c r="J234">
        <v>7</v>
      </c>
      <c r="K234">
        <v>571.6</v>
      </c>
      <c r="L234">
        <v>0</v>
      </c>
      <c r="M234">
        <v>22</v>
      </c>
      <c r="N234">
        <v>152</v>
      </c>
      <c r="O234">
        <v>419.6</v>
      </c>
    </row>
    <row r="235" spans="1:15">
      <c r="A235">
        <v>1214164</v>
      </c>
      <c r="B235" t="s">
        <v>245</v>
      </c>
      <c r="C235" t="s">
        <v>83</v>
      </c>
      <c r="D235" t="s">
        <v>136</v>
      </c>
      <c r="E235">
        <v>2025</v>
      </c>
      <c r="F235">
        <v>8</v>
      </c>
      <c r="G235">
        <v>21</v>
      </c>
      <c r="H235">
        <v>25986</v>
      </c>
      <c r="I235">
        <v>0</v>
      </c>
      <c r="J235">
        <v>4</v>
      </c>
      <c r="K235">
        <v>433.1</v>
      </c>
      <c r="L235">
        <v>0</v>
      </c>
      <c r="M235">
        <v>20.6</v>
      </c>
      <c r="N235">
        <v>136</v>
      </c>
      <c r="O235">
        <v>297.10000000000002</v>
      </c>
    </row>
    <row r="236" spans="1:15">
      <c r="A236">
        <v>1214165</v>
      </c>
      <c r="B236" t="s">
        <v>246</v>
      </c>
      <c r="C236" t="s">
        <v>79</v>
      </c>
      <c r="D236" t="s">
        <v>136</v>
      </c>
      <c r="E236">
        <v>2025</v>
      </c>
      <c r="F236">
        <v>6</v>
      </c>
      <c r="G236">
        <v>19</v>
      </c>
      <c r="H236">
        <v>10266</v>
      </c>
      <c r="I236">
        <v>43</v>
      </c>
      <c r="J236">
        <v>0</v>
      </c>
      <c r="K236">
        <v>171.1</v>
      </c>
      <c r="L236">
        <v>0.7</v>
      </c>
      <c r="M236">
        <v>9</v>
      </c>
      <c r="N236">
        <v>152</v>
      </c>
      <c r="O236" s="1" t="s">
        <v>247</v>
      </c>
    </row>
    <row r="237" spans="1:15">
      <c r="A237">
        <v>1214165</v>
      </c>
      <c r="B237" t="s">
        <v>246</v>
      </c>
      <c r="C237" t="s">
        <v>79</v>
      </c>
      <c r="D237" t="s">
        <v>136</v>
      </c>
      <c r="E237">
        <v>2025</v>
      </c>
      <c r="F237">
        <v>7</v>
      </c>
      <c r="G237">
        <v>18</v>
      </c>
      <c r="H237">
        <v>9919</v>
      </c>
      <c r="I237">
        <v>99</v>
      </c>
      <c r="J237">
        <v>0</v>
      </c>
      <c r="K237">
        <v>165.3</v>
      </c>
      <c r="L237">
        <v>1.6</v>
      </c>
      <c r="M237">
        <v>9.1999999999999993</v>
      </c>
      <c r="N237">
        <v>144</v>
      </c>
      <c r="O237" s="1" t="s">
        <v>248</v>
      </c>
    </row>
    <row r="238" spans="1:15">
      <c r="A238">
        <v>1214165</v>
      </c>
      <c r="B238" t="s">
        <v>246</v>
      </c>
      <c r="C238" t="s">
        <v>79</v>
      </c>
      <c r="D238" t="s">
        <v>136</v>
      </c>
      <c r="E238">
        <v>2025</v>
      </c>
      <c r="F238">
        <v>8</v>
      </c>
      <c r="G238">
        <v>16</v>
      </c>
      <c r="H238">
        <v>8193</v>
      </c>
      <c r="I238">
        <v>301</v>
      </c>
      <c r="J238">
        <v>0</v>
      </c>
      <c r="K238">
        <v>136.6</v>
      </c>
      <c r="L238">
        <v>5</v>
      </c>
      <c r="M238">
        <v>8.5</v>
      </c>
      <c r="N238">
        <v>128</v>
      </c>
      <c r="O238" s="1" t="s">
        <v>131</v>
      </c>
    </row>
    <row r="239" spans="1:15">
      <c r="A239">
        <v>1214170</v>
      </c>
      <c r="B239" t="s">
        <v>249</v>
      </c>
      <c r="C239" t="s">
        <v>117</v>
      </c>
      <c r="D239" t="s">
        <v>136</v>
      </c>
      <c r="E239">
        <v>2025</v>
      </c>
      <c r="F239">
        <v>6</v>
      </c>
      <c r="G239">
        <v>30</v>
      </c>
      <c r="H239">
        <v>42382</v>
      </c>
      <c r="I239">
        <v>0</v>
      </c>
      <c r="J239">
        <v>9</v>
      </c>
      <c r="K239">
        <v>706.4</v>
      </c>
      <c r="L239">
        <v>0</v>
      </c>
      <c r="M239">
        <v>23.5</v>
      </c>
      <c r="N239">
        <v>168</v>
      </c>
      <c r="O239">
        <v>538.4</v>
      </c>
    </row>
    <row r="240" spans="1:15">
      <c r="A240">
        <v>1214170</v>
      </c>
      <c r="B240" t="s">
        <v>249</v>
      </c>
      <c r="C240" t="s">
        <v>117</v>
      </c>
      <c r="D240" t="s">
        <v>136</v>
      </c>
      <c r="E240">
        <v>2025</v>
      </c>
      <c r="F240">
        <v>7</v>
      </c>
      <c r="G240">
        <v>31</v>
      </c>
      <c r="H240">
        <v>43707</v>
      </c>
      <c r="I240">
        <v>0</v>
      </c>
      <c r="J240">
        <v>8</v>
      </c>
      <c r="K240">
        <v>728.4</v>
      </c>
      <c r="L240">
        <v>0</v>
      </c>
      <c r="M240">
        <v>23.5</v>
      </c>
      <c r="N240">
        <v>184</v>
      </c>
      <c r="O240">
        <v>544.4</v>
      </c>
    </row>
    <row r="241" spans="1:15">
      <c r="A241">
        <v>1214170</v>
      </c>
      <c r="B241" t="s">
        <v>249</v>
      </c>
      <c r="C241" t="s">
        <v>117</v>
      </c>
      <c r="D241" t="s">
        <v>136</v>
      </c>
      <c r="E241">
        <v>2025</v>
      </c>
      <c r="F241">
        <v>8</v>
      </c>
      <c r="G241">
        <v>26</v>
      </c>
      <c r="H241">
        <v>36695</v>
      </c>
      <c r="I241">
        <v>0</v>
      </c>
      <c r="J241">
        <v>8</v>
      </c>
      <c r="K241">
        <v>611.6</v>
      </c>
      <c r="L241">
        <v>0</v>
      </c>
      <c r="M241">
        <v>23.5</v>
      </c>
      <c r="N241">
        <v>144</v>
      </c>
      <c r="O241">
        <v>467.6</v>
      </c>
    </row>
    <row r="242" spans="1:15">
      <c r="A242">
        <v>1214178</v>
      </c>
      <c r="B242" t="s">
        <v>250</v>
      </c>
      <c r="C242" t="s">
        <v>210</v>
      </c>
      <c r="D242" t="s">
        <v>136</v>
      </c>
      <c r="E242">
        <v>2025</v>
      </c>
      <c r="F242">
        <v>6</v>
      </c>
      <c r="G242">
        <v>16</v>
      </c>
      <c r="H242">
        <v>9106</v>
      </c>
      <c r="I242">
        <v>0</v>
      </c>
      <c r="J242">
        <v>0</v>
      </c>
      <c r="K242">
        <v>151.80000000000001</v>
      </c>
      <c r="L242">
        <v>0</v>
      </c>
      <c r="M242">
        <v>9.5</v>
      </c>
      <c r="N242">
        <v>128</v>
      </c>
      <c r="O242" s="1" t="s">
        <v>52</v>
      </c>
    </row>
    <row r="243" spans="1:15">
      <c r="A243">
        <v>1214178</v>
      </c>
      <c r="B243" t="s">
        <v>250</v>
      </c>
      <c r="C243" t="s">
        <v>210</v>
      </c>
      <c r="D243" t="s">
        <v>136</v>
      </c>
      <c r="E243">
        <v>2025</v>
      </c>
      <c r="F243">
        <v>7</v>
      </c>
      <c r="G243">
        <v>14</v>
      </c>
      <c r="H243">
        <v>6601</v>
      </c>
      <c r="I243">
        <v>0</v>
      </c>
      <c r="J243">
        <v>1</v>
      </c>
      <c r="K243">
        <v>110</v>
      </c>
      <c r="L243">
        <v>0</v>
      </c>
      <c r="M243">
        <v>7.9</v>
      </c>
      <c r="N243">
        <v>104</v>
      </c>
      <c r="O243">
        <v>6</v>
      </c>
    </row>
    <row r="244" spans="1:15">
      <c r="A244">
        <v>1214178</v>
      </c>
      <c r="B244" t="s">
        <v>250</v>
      </c>
      <c r="C244" t="s">
        <v>210</v>
      </c>
      <c r="D244" t="s">
        <v>136</v>
      </c>
      <c r="E244">
        <v>2025</v>
      </c>
      <c r="F244">
        <v>8</v>
      </c>
      <c r="G244">
        <v>13</v>
      </c>
      <c r="H244">
        <v>5520</v>
      </c>
      <c r="I244">
        <v>0</v>
      </c>
      <c r="J244">
        <v>2</v>
      </c>
      <c r="K244">
        <v>92</v>
      </c>
      <c r="L244">
        <v>0</v>
      </c>
      <c r="M244">
        <v>7.1</v>
      </c>
      <c r="N244">
        <v>88</v>
      </c>
      <c r="O244">
        <v>4</v>
      </c>
    </row>
    <row r="245" spans="1:15">
      <c r="A245">
        <v>1214181</v>
      </c>
      <c r="B245" t="s">
        <v>251</v>
      </c>
      <c r="C245" t="s">
        <v>41</v>
      </c>
      <c r="D245" t="s">
        <v>20</v>
      </c>
      <c r="E245">
        <v>2025</v>
      </c>
      <c r="F245">
        <v>6</v>
      </c>
      <c r="G245">
        <v>30</v>
      </c>
      <c r="H245">
        <v>42334</v>
      </c>
      <c r="I245">
        <v>0</v>
      </c>
      <c r="J245">
        <v>9</v>
      </c>
      <c r="K245">
        <v>705.6</v>
      </c>
      <c r="L245">
        <v>0</v>
      </c>
      <c r="M245">
        <v>23.5</v>
      </c>
      <c r="N245">
        <v>168</v>
      </c>
      <c r="O245">
        <v>537.6</v>
      </c>
    </row>
    <row r="246" spans="1:15">
      <c r="A246">
        <v>1214181</v>
      </c>
      <c r="B246" t="s">
        <v>251</v>
      </c>
      <c r="C246" t="s">
        <v>41</v>
      </c>
      <c r="D246" t="s">
        <v>20</v>
      </c>
      <c r="E246">
        <v>2025</v>
      </c>
      <c r="F246">
        <v>7</v>
      </c>
      <c r="G246">
        <v>24</v>
      </c>
      <c r="H246">
        <v>33813</v>
      </c>
      <c r="I246">
        <v>0</v>
      </c>
      <c r="J246">
        <v>6</v>
      </c>
      <c r="K246">
        <v>563.6</v>
      </c>
      <c r="L246">
        <v>0</v>
      </c>
      <c r="M246">
        <v>23.5</v>
      </c>
      <c r="N246">
        <v>144</v>
      </c>
      <c r="O246">
        <v>419.6</v>
      </c>
    </row>
    <row r="247" spans="1:15">
      <c r="A247">
        <v>1214181</v>
      </c>
      <c r="B247" t="s">
        <v>251</v>
      </c>
      <c r="C247" t="s">
        <v>41</v>
      </c>
      <c r="D247" t="s">
        <v>20</v>
      </c>
      <c r="E247">
        <v>2025</v>
      </c>
      <c r="F247">
        <v>8</v>
      </c>
      <c r="G247">
        <v>21</v>
      </c>
      <c r="H247">
        <v>27065</v>
      </c>
      <c r="I247">
        <v>0</v>
      </c>
      <c r="J247">
        <v>4</v>
      </c>
      <c r="K247">
        <v>451.1</v>
      </c>
      <c r="L247">
        <v>0</v>
      </c>
      <c r="M247">
        <v>21.5</v>
      </c>
      <c r="N247">
        <v>136</v>
      </c>
      <c r="O247">
        <v>315.10000000000002</v>
      </c>
    </row>
    <row r="248" spans="1:15">
      <c r="A248">
        <v>1214201</v>
      </c>
      <c r="B248" t="s">
        <v>252</v>
      </c>
      <c r="C248" t="s">
        <v>16</v>
      </c>
      <c r="D248" t="s">
        <v>20</v>
      </c>
      <c r="E248">
        <v>2025</v>
      </c>
      <c r="F248">
        <v>6</v>
      </c>
      <c r="G248">
        <v>15</v>
      </c>
      <c r="H248">
        <v>11569</v>
      </c>
      <c r="I248">
        <v>0</v>
      </c>
      <c r="J248">
        <v>0</v>
      </c>
      <c r="K248">
        <v>192.8</v>
      </c>
      <c r="L248">
        <v>0</v>
      </c>
      <c r="M248">
        <v>12.9</v>
      </c>
      <c r="N248">
        <v>120</v>
      </c>
      <c r="O248" s="1" t="s">
        <v>253</v>
      </c>
    </row>
    <row r="249" spans="1:15">
      <c r="A249">
        <v>1214201</v>
      </c>
      <c r="B249" t="s">
        <v>252</v>
      </c>
      <c r="C249" t="s">
        <v>16</v>
      </c>
      <c r="D249" t="s">
        <v>20</v>
      </c>
      <c r="E249">
        <v>2025</v>
      </c>
      <c r="F249">
        <v>7</v>
      </c>
      <c r="G249">
        <v>18</v>
      </c>
      <c r="H249">
        <v>10378</v>
      </c>
      <c r="I249">
        <v>0</v>
      </c>
      <c r="J249">
        <v>0</v>
      </c>
      <c r="K249">
        <v>173</v>
      </c>
      <c r="L249">
        <v>0</v>
      </c>
      <c r="M249">
        <v>9.6</v>
      </c>
      <c r="N249">
        <v>144</v>
      </c>
      <c r="O249">
        <v>29</v>
      </c>
    </row>
    <row r="250" spans="1:15">
      <c r="A250">
        <v>1214201</v>
      </c>
      <c r="B250" t="s">
        <v>252</v>
      </c>
      <c r="C250" t="s">
        <v>16</v>
      </c>
      <c r="D250" t="s">
        <v>20</v>
      </c>
      <c r="E250">
        <v>2025</v>
      </c>
      <c r="F250">
        <v>8</v>
      </c>
      <c r="G250">
        <v>12</v>
      </c>
      <c r="H250">
        <v>6810</v>
      </c>
      <c r="I250">
        <v>0</v>
      </c>
      <c r="J250">
        <v>0</v>
      </c>
      <c r="K250">
        <v>113.5</v>
      </c>
      <c r="L250">
        <v>0</v>
      </c>
      <c r="M250">
        <v>9.5</v>
      </c>
      <c r="N250">
        <v>96</v>
      </c>
      <c r="O250">
        <v>17.5</v>
      </c>
    </row>
    <row r="251" spans="1:15">
      <c r="A251">
        <v>1215007</v>
      </c>
      <c r="B251" t="s">
        <v>254</v>
      </c>
      <c r="C251" t="s">
        <v>210</v>
      </c>
      <c r="D251" t="s">
        <v>136</v>
      </c>
      <c r="E251">
        <v>2025</v>
      </c>
      <c r="F251">
        <v>7</v>
      </c>
      <c r="G251">
        <v>2</v>
      </c>
      <c r="H251">
        <v>270</v>
      </c>
      <c r="I251">
        <v>1</v>
      </c>
      <c r="J251">
        <v>0</v>
      </c>
      <c r="K251">
        <v>4.5</v>
      </c>
      <c r="L251">
        <v>0</v>
      </c>
      <c r="M251">
        <v>2.2000000000000002</v>
      </c>
      <c r="N251">
        <v>16</v>
      </c>
      <c r="O251">
        <v>-11.5</v>
      </c>
    </row>
    <row r="252" spans="1:15">
      <c r="A252">
        <v>1215010</v>
      </c>
      <c r="B252" t="s">
        <v>255</v>
      </c>
      <c r="C252" t="s">
        <v>41</v>
      </c>
      <c r="D252" t="s">
        <v>136</v>
      </c>
      <c r="E252">
        <v>2025</v>
      </c>
      <c r="F252">
        <v>6</v>
      </c>
      <c r="G252">
        <v>18</v>
      </c>
      <c r="H252">
        <v>9268</v>
      </c>
      <c r="I252">
        <v>0</v>
      </c>
      <c r="J252">
        <v>0</v>
      </c>
      <c r="K252">
        <v>154.5</v>
      </c>
      <c r="L252">
        <v>0</v>
      </c>
      <c r="M252">
        <v>8.6</v>
      </c>
      <c r="N252">
        <v>144</v>
      </c>
      <c r="O252">
        <v>10.5</v>
      </c>
    </row>
    <row r="253" spans="1:15">
      <c r="A253">
        <v>1215010</v>
      </c>
      <c r="B253" t="s">
        <v>255</v>
      </c>
      <c r="C253" t="s">
        <v>41</v>
      </c>
      <c r="D253" t="s">
        <v>136</v>
      </c>
      <c r="E253">
        <v>2025</v>
      </c>
      <c r="F253">
        <v>7</v>
      </c>
      <c r="G253">
        <v>14</v>
      </c>
      <c r="H253">
        <v>7440</v>
      </c>
      <c r="I253">
        <v>0</v>
      </c>
      <c r="J253">
        <v>0</v>
      </c>
      <c r="K253">
        <v>124</v>
      </c>
      <c r="L253">
        <v>0</v>
      </c>
      <c r="M253">
        <v>8.9</v>
      </c>
      <c r="N253">
        <v>112</v>
      </c>
      <c r="O253">
        <v>12</v>
      </c>
    </row>
    <row r="254" spans="1:15">
      <c r="A254">
        <v>1215010</v>
      </c>
      <c r="B254" t="s">
        <v>255</v>
      </c>
      <c r="C254" t="s">
        <v>41</v>
      </c>
      <c r="D254" t="s">
        <v>136</v>
      </c>
      <c r="E254">
        <v>2025</v>
      </c>
      <c r="F254">
        <v>8</v>
      </c>
      <c r="G254">
        <v>15</v>
      </c>
      <c r="H254">
        <v>7844</v>
      </c>
      <c r="I254">
        <v>0</v>
      </c>
      <c r="J254">
        <v>0</v>
      </c>
      <c r="K254">
        <v>130.69999999999999</v>
      </c>
      <c r="L254">
        <v>0</v>
      </c>
      <c r="M254">
        <v>8.6999999999999993</v>
      </c>
      <c r="N254">
        <v>120</v>
      </c>
      <c r="O254" s="1" t="s">
        <v>256</v>
      </c>
    </row>
    <row r="255" spans="1:15">
      <c r="A255">
        <v>1215033</v>
      </c>
      <c r="B255" t="s">
        <v>257</v>
      </c>
      <c r="C255" t="s">
        <v>16</v>
      </c>
      <c r="D255" t="s">
        <v>136</v>
      </c>
      <c r="E255">
        <v>2025</v>
      </c>
      <c r="F255">
        <v>6</v>
      </c>
      <c r="G255">
        <v>16</v>
      </c>
      <c r="H255">
        <v>9569</v>
      </c>
      <c r="I255">
        <v>0</v>
      </c>
      <c r="J255">
        <v>0</v>
      </c>
      <c r="K255">
        <v>159.5</v>
      </c>
      <c r="L255">
        <v>0</v>
      </c>
      <c r="M255">
        <v>10</v>
      </c>
      <c r="N255">
        <v>128</v>
      </c>
      <c r="O255">
        <v>31.5</v>
      </c>
    </row>
    <row r="256" spans="1:15">
      <c r="A256">
        <v>1215033</v>
      </c>
      <c r="B256" t="s">
        <v>257</v>
      </c>
      <c r="C256" t="s">
        <v>16</v>
      </c>
      <c r="D256" t="s">
        <v>136</v>
      </c>
      <c r="E256">
        <v>2025</v>
      </c>
      <c r="F256">
        <v>7</v>
      </c>
      <c r="G256">
        <v>17</v>
      </c>
      <c r="H256">
        <v>6812</v>
      </c>
      <c r="I256">
        <v>60</v>
      </c>
      <c r="J256">
        <v>0</v>
      </c>
      <c r="K256">
        <v>113.5</v>
      </c>
      <c r="L256">
        <v>1</v>
      </c>
      <c r="M256">
        <v>6.7</v>
      </c>
      <c r="N256">
        <v>136</v>
      </c>
      <c r="O256">
        <v>-22.5</v>
      </c>
    </row>
    <row r="257" spans="1:15">
      <c r="A257">
        <v>1215033</v>
      </c>
      <c r="B257" t="s">
        <v>257</v>
      </c>
      <c r="C257" t="s">
        <v>16</v>
      </c>
      <c r="D257" t="s">
        <v>136</v>
      </c>
      <c r="E257">
        <v>2025</v>
      </c>
      <c r="F257">
        <v>8</v>
      </c>
      <c r="G257">
        <v>18</v>
      </c>
      <c r="H257">
        <v>7462</v>
      </c>
      <c r="I257">
        <v>0</v>
      </c>
      <c r="J257">
        <v>2</v>
      </c>
      <c r="K257">
        <v>124.4</v>
      </c>
      <c r="L257">
        <v>0</v>
      </c>
      <c r="M257">
        <v>6.9</v>
      </c>
      <c r="N257">
        <v>128</v>
      </c>
      <c r="O257">
        <v>-3.6</v>
      </c>
    </row>
    <row r="258" spans="1:15">
      <c r="A258">
        <v>1215048</v>
      </c>
      <c r="B258" t="s">
        <v>258</v>
      </c>
      <c r="C258" t="s">
        <v>41</v>
      </c>
      <c r="D258" t="s">
        <v>136</v>
      </c>
      <c r="E258">
        <v>2025</v>
      </c>
      <c r="F258">
        <v>6</v>
      </c>
      <c r="G258">
        <v>15</v>
      </c>
      <c r="H258">
        <v>8518</v>
      </c>
      <c r="I258">
        <v>0</v>
      </c>
      <c r="J258">
        <v>0</v>
      </c>
      <c r="K258">
        <v>142</v>
      </c>
      <c r="L258">
        <v>0</v>
      </c>
      <c r="M258">
        <v>9.5</v>
      </c>
      <c r="N258">
        <v>120</v>
      </c>
      <c r="O258">
        <v>22</v>
      </c>
    </row>
    <row r="259" spans="1:15">
      <c r="A259">
        <v>1215048</v>
      </c>
      <c r="B259" t="s">
        <v>258</v>
      </c>
      <c r="C259" t="s">
        <v>41</v>
      </c>
      <c r="D259" t="s">
        <v>136</v>
      </c>
      <c r="E259">
        <v>2025</v>
      </c>
      <c r="F259">
        <v>7</v>
      </c>
      <c r="G259">
        <v>2</v>
      </c>
      <c r="H259">
        <v>214</v>
      </c>
      <c r="I259">
        <v>0</v>
      </c>
      <c r="J259">
        <v>0</v>
      </c>
      <c r="K259">
        <v>3.6</v>
      </c>
      <c r="L259">
        <v>0</v>
      </c>
      <c r="M259">
        <v>1.8</v>
      </c>
      <c r="N259">
        <v>16</v>
      </c>
      <c r="O259">
        <v>-12.4</v>
      </c>
    </row>
    <row r="260" spans="1:15">
      <c r="A260">
        <v>1215059</v>
      </c>
      <c r="B260" t="s">
        <v>259</v>
      </c>
      <c r="C260" t="s">
        <v>160</v>
      </c>
      <c r="D260" t="s">
        <v>136</v>
      </c>
      <c r="E260">
        <v>2025</v>
      </c>
      <c r="F260">
        <v>6</v>
      </c>
      <c r="G260">
        <v>16</v>
      </c>
      <c r="H260">
        <v>11127</v>
      </c>
      <c r="I260">
        <v>0</v>
      </c>
      <c r="J260">
        <v>2</v>
      </c>
      <c r="K260">
        <v>185.4</v>
      </c>
      <c r="L260">
        <v>0</v>
      </c>
      <c r="M260">
        <v>11.6</v>
      </c>
      <c r="N260">
        <v>112</v>
      </c>
      <c r="O260">
        <v>73.400000000000006</v>
      </c>
    </row>
    <row r="261" spans="1:15">
      <c r="A261">
        <v>1215059</v>
      </c>
      <c r="B261" t="s">
        <v>259</v>
      </c>
      <c r="C261" t="s">
        <v>160</v>
      </c>
      <c r="D261" t="s">
        <v>136</v>
      </c>
      <c r="E261">
        <v>2025</v>
      </c>
      <c r="F261">
        <v>7</v>
      </c>
      <c r="G261">
        <v>12</v>
      </c>
      <c r="H261">
        <v>4873</v>
      </c>
      <c r="I261">
        <v>26</v>
      </c>
      <c r="J261">
        <v>1</v>
      </c>
      <c r="K261">
        <v>81.2</v>
      </c>
      <c r="L261">
        <v>0.4</v>
      </c>
      <c r="M261">
        <v>6.8</v>
      </c>
      <c r="N261">
        <v>88</v>
      </c>
      <c r="O261">
        <v>-6.8</v>
      </c>
    </row>
    <row r="262" spans="1:15">
      <c r="A262">
        <v>1215059</v>
      </c>
      <c r="B262" t="s">
        <v>259</v>
      </c>
      <c r="C262" t="s">
        <v>160</v>
      </c>
      <c r="D262" t="s">
        <v>136</v>
      </c>
      <c r="E262">
        <v>2025</v>
      </c>
      <c r="F262">
        <v>8</v>
      </c>
      <c r="G262">
        <v>15</v>
      </c>
      <c r="H262">
        <v>7008</v>
      </c>
      <c r="I262">
        <v>0</v>
      </c>
      <c r="J262">
        <v>0</v>
      </c>
      <c r="K262">
        <v>116.8</v>
      </c>
      <c r="L262">
        <v>0</v>
      </c>
      <c r="M262">
        <v>7.8</v>
      </c>
      <c r="N262">
        <v>120</v>
      </c>
      <c r="O262">
        <v>-3.2</v>
      </c>
    </row>
    <row r="263" spans="1:15">
      <c r="A263">
        <v>1215079</v>
      </c>
      <c r="B263" t="s">
        <v>260</v>
      </c>
      <c r="C263" t="s">
        <v>19</v>
      </c>
      <c r="D263" t="s">
        <v>20</v>
      </c>
      <c r="E263">
        <v>2025</v>
      </c>
      <c r="F263">
        <v>6</v>
      </c>
      <c r="G263">
        <v>19</v>
      </c>
      <c r="H263">
        <v>9881</v>
      </c>
      <c r="I263">
        <v>0</v>
      </c>
      <c r="J263">
        <v>1</v>
      </c>
      <c r="K263">
        <v>164.7</v>
      </c>
      <c r="L263">
        <v>0</v>
      </c>
      <c r="M263">
        <v>8.6999999999999993</v>
      </c>
      <c r="N263">
        <v>144</v>
      </c>
      <c r="O263" s="1" t="s">
        <v>216</v>
      </c>
    </row>
    <row r="264" spans="1:15">
      <c r="A264">
        <v>1215079</v>
      </c>
      <c r="B264" t="s">
        <v>260</v>
      </c>
      <c r="C264" t="s">
        <v>19</v>
      </c>
      <c r="D264" t="s">
        <v>20</v>
      </c>
      <c r="E264">
        <v>2025</v>
      </c>
      <c r="F264">
        <v>7</v>
      </c>
      <c r="G264">
        <v>18</v>
      </c>
      <c r="H264">
        <v>9925</v>
      </c>
      <c r="I264">
        <v>58</v>
      </c>
      <c r="J264">
        <v>1</v>
      </c>
      <c r="K264">
        <v>165.4</v>
      </c>
      <c r="L264">
        <v>1</v>
      </c>
      <c r="M264">
        <v>9.1999999999999993</v>
      </c>
      <c r="N264">
        <v>136</v>
      </c>
      <c r="O264" s="1" t="s">
        <v>261</v>
      </c>
    </row>
    <row r="265" spans="1:15">
      <c r="A265">
        <v>1215079</v>
      </c>
      <c r="B265" t="s">
        <v>260</v>
      </c>
      <c r="C265" t="s">
        <v>19</v>
      </c>
      <c r="D265" t="s">
        <v>20</v>
      </c>
      <c r="E265">
        <v>2025</v>
      </c>
      <c r="F265">
        <v>8</v>
      </c>
      <c r="G265">
        <v>17</v>
      </c>
      <c r="H265">
        <v>8474</v>
      </c>
      <c r="I265">
        <v>0</v>
      </c>
      <c r="J265">
        <v>1</v>
      </c>
      <c r="K265">
        <v>141.19999999999999</v>
      </c>
      <c r="L265">
        <v>0</v>
      </c>
      <c r="M265">
        <v>8.3000000000000007</v>
      </c>
      <c r="N265">
        <v>128</v>
      </c>
      <c r="O265" s="1" t="s">
        <v>262</v>
      </c>
    </row>
    <row r="266" spans="1:15">
      <c r="A266">
        <v>1215081</v>
      </c>
      <c r="B266" t="s">
        <v>263</v>
      </c>
      <c r="C266" t="s">
        <v>264</v>
      </c>
      <c r="D266" t="s">
        <v>20</v>
      </c>
      <c r="E266">
        <v>2025</v>
      </c>
      <c r="F266">
        <v>6</v>
      </c>
      <c r="G266">
        <v>20</v>
      </c>
      <c r="H266">
        <v>15285</v>
      </c>
      <c r="I266">
        <v>0</v>
      </c>
      <c r="J266">
        <v>2</v>
      </c>
      <c r="K266">
        <v>254.8</v>
      </c>
      <c r="L266">
        <v>0</v>
      </c>
      <c r="M266">
        <v>12.7</v>
      </c>
      <c r="N266">
        <v>144</v>
      </c>
      <c r="O266" s="1" t="s">
        <v>265</v>
      </c>
    </row>
    <row r="267" spans="1:15">
      <c r="A267">
        <v>1215081</v>
      </c>
      <c r="B267" t="s">
        <v>263</v>
      </c>
      <c r="C267" t="s">
        <v>264</v>
      </c>
      <c r="D267" t="s">
        <v>20</v>
      </c>
      <c r="E267">
        <v>2025</v>
      </c>
      <c r="F267">
        <v>7</v>
      </c>
      <c r="G267">
        <v>18</v>
      </c>
      <c r="H267">
        <v>13313</v>
      </c>
      <c r="I267">
        <v>0</v>
      </c>
      <c r="J267">
        <v>2</v>
      </c>
      <c r="K267">
        <v>221.9</v>
      </c>
      <c r="L267">
        <v>0</v>
      </c>
      <c r="M267">
        <v>12.3</v>
      </c>
      <c r="N267">
        <v>128</v>
      </c>
      <c r="O267">
        <v>93.9</v>
      </c>
    </row>
    <row r="268" spans="1:15">
      <c r="A268">
        <v>1215081</v>
      </c>
      <c r="B268" t="s">
        <v>263</v>
      </c>
      <c r="C268" t="s">
        <v>264</v>
      </c>
      <c r="D268" t="s">
        <v>20</v>
      </c>
      <c r="E268">
        <v>2025</v>
      </c>
      <c r="F268">
        <v>8</v>
      </c>
      <c r="G268">
        <v>16</v>
      </c>
      <c r="H268">
        <v>11549</v>
      </c>
      <c r="I268">
        <v>0</v>
      </c>
      <c r="J268">
        <v>0</v>
      </c>
      <c r="K268">
        <v>192.5</v>
      </c>
      <c r="L268">
        <v>0</v>
      </c>
      <c r="M268">
        <v>12</v>
      </c>
      <c r="N268">
        <v>128</v>
      </c>
      <c r="O268">
        <v>64.5</v>
      </c>
    </row>
    <row r="269" spans="1:15">
      <c r="A269">
        <v>1215084</v>
      </c>
      <c r="B269" t="s">
        <v>266</v>
      </c>
      <c r="C269" t="s">
        <v>210</v>
      </c>
      <c r="D269" t="s">
        <v>20</v>
      </c>
      <c r="E269">
        <v>2025</v>
      </c>
      <c r="F269">
        <v>6</v>
      </c>
      <c r="G269">
        <v>2</v>
      </c>
      <c r="H269">
        <v>1093</v>
      </c>
      <c r="I269">
        <v>0</v>
      </c>
      <c r="J269">
        <v>0</v>
      </c>
      <c r="K269">
        <v>18.2</v>
      </c>
      <c r="L269">
        <v>0</v>
      </c>
      <c r="M269">
        <v>9.1</v>
      </c>
      <c r="N269">
        <v>16</v>
      </c>
      <c r="O269" s="1" t="s">
        <v>267</v>
      </c>
    </row>
    <row r="270" spans="1:15">
      <c r="A270">
        <v>1215084</v>
      </c>
      <c r="B270" t="s">
        <v>266</v>
      </c>
      <c r="C270" t="s">
        <v>210</v>
      </c>
      <c r="D270" t="s">
        <v>20</v>
      </c>
      <c r="E270">
        <v>2025</v>
      </c>
      <c r="F270">
        <v>7</v>
      </c>
      <c r="G270">
        <v>7</v>
      </c>
      <c r="H270">
        <v>4072</v>
      </c>
      <c r="I270">
        <v>205</v>
      </c>
      <c r="J270">
        <v>0</v>
      </c>
      <c r="K270">
        <v>67.900000000000006</v>
      </c>
      <c r="L270">
        <v>3.4</v>
      </c>
      <c r="M270">
        <v>9.6999999999999993</v>
      </c>
      <c r="N270">
        <v>56</v>
      </c>
      <c r="O270" s="1" t="s">
        <v>36</v>
      </c>
    </row>
    <row r="271" spans="1:15">
      <c r="A271">
        <v>1215084</v>
      </c>
      <c r="B271" t="s">
        <v>266</v>
      </c>
      <c r="C271" t="s">
        <v>210</v>
      </c>
      <c r="D271" t="s">
        <v>20</v>
      </c>
      <c r="E271">
        <v>2025</v>
      </c>
      <c r="F271">
        <v>8</v>
      </c>
      <c r="G271">
        <v>5</v>
      </c>
      <c r="H271">
        <v>2615</v>
      </c>
      <c r="I271">
        <v>105</v>
      </c>
      <c r="J271">
        <v>0</v>
      </c>
      <c r="K271">
        <v>43.6</v>
      </c>
      <c r="L271">
        <v>1.8</v>
      </c>
      <c r="M271">
        <v>8.6999999999999993</v>
      </c>
      <c r="N271">
        <v>40</v>
      </c>
      <c r="O271" s="1" t="s">
        <v>268</v>
      </c>
    </row>
    <row r="272" spans="1:15">
      <c r="A272">
        <v>1215086</v>
      </c>
      <c r="B272" t="s">
        <v>269</v>
      </c>
      <c r="C272" t="s">
        <v>44</v>
      </c>
      <c r="D272" t="s">
        <v>20</v>
      </c>
      <c r="E272">
        <v>2025</v>
      </c>
      <c r="F272">
        <v>6</v>
      </c>
      <c r="G272">
        <v>21</v>
      </c>
      <c r="H272">
        <v>11986</v>
      </c>
      <c r="I272">
        <v>643</v>
      </c>
      <c r="J272">
        <v>2</v>
      </c>
      <c r="K272">
        <v>199.8</v>
      </c>
      <c r="L272">
        <v>10.7</v>
      </c>
      <c r="M272">
        <v>9.5</v>
      </c>
      <c r="N272">
        <v>152</v>
      </c>
      <c r="O272" s="1" t="s">
        <v>121</v>
      </c>
    </row>
    <row r="273" spans="1:15">
      <c r="A273">
        <v>1215086</v>
      </c>
      <c r="B273" t="s">
        <v>269</v>
      </c>
      <c r="C273" t="s">
        <v>44</v>
      </c>
      <c r="D273" t="s">
        <v>20</v>
      </c>
      <c r="E273">
        <v>2025</v>
      </c>
      <c r="F273">
        <v>7</v>
      </c>
      <c r="G273">
        <v>21</v>
      </c>
      <c r="H273">
        <v>12253</v>
      </c>
      <c r="I273">
        <v>1064</v>
      </c>
      <c r="J273">
        <v>2</v>
      </c>
      <c r="K273">
        <v>204.2</v>
      </c>
      <c r="L273">
        <v>17.7</v>
      </c>
      <c r="M273">
        <v>9.6999999999999993</v>
      </c>
      <c r="N273">
        <v>152</v>
      </c>
      <c r="O273" s="1" t="s">
        <v>270</v>
      </c>
    </row>
    <row r="274" spans="1:15">
      <c r="A274">
        <v>1215086</v>
      </c>
      <c r="B274" t="s">
        <v>269</v>
      </c>
      <c r="C274" t="s">
        <v>44</v>
      </c>
      <c r="D274" t="s">
        <v>20</v>
      </c>
      <c r="E274">
        <v>2025</v>
      </c>
      <c r="F274">
        <v>8</v>
      </c>
      <c r="G274">
        <v>16</v>
      </c>
      <c r="H274">
        <v>9533</v>
      </c>
      <c r="I274">
        <v>642</v>
      </c>
      <c r="J274">
        <v>0</v>
      </c>
      <c r="K274">
        <v>158.9</v>
      </c>
      <c r="L274">
        <v>10.7</v>
      </c>
      <c r="M274">
        <v>9.9</v>
      </c>
      <c r="N274">
        <v>128</v>
      </c>
      <c r="O274" s="1" t="s">
        <v>271</v>
      </c>
    </row>
    <row r="275" spans="1:15">
      <c r="A275">
        <v>1215098</v>
      </c>
      <c r="B275" t="s">
        <v>272</v>
      </c>
      <c r="C275" t="s">
        <v>39</v>
      </c>
      <c r="D275" t="s">
        <v>136</v>
      </c>
      <c r="E275">
        <v>2025</v>
      </c>
      <c r="F275">
        <v>6</v>
      </c>
      <c r="G275">
        <v>20</v>
      </c>
      <c r="H275">
        <v>12620</v>
      </c>
      <c r="I275">
        <v>0</v>
      </c>
      <c r="J275">
        <v>4</v>
      </c>
      <c r="K275">
        <v>210.3</v>
      </c>
      <c r="L275">
        <v>0</v>
      </c>
      <c r="M275">
        <v>10.5</v>
      </c>
      <c r="N275">
        <v>128</v>
      </c>
      <c r="O275" s="1" t="s">
        <v>273</v>
      </c>
    </row>
    <row r="276" spans="1:15">
      <c r="A276">
        <v>1215098</v>
      </c>
      <c r="B276" t="s">
        <v>272</v>
      </c>
      <c r="C276" t="s">
        <v>39</v>
      </c>
      <c r="D276" t="s">
        <v>136</v>
      </c>
      <c r="E276">
        <v>2025</v>
      </c>
      <c r="F276">
        <v>7</v>
      </c>
      <c r="G276">
        <v>11</v>
      </c>
      <c r="H276">
        <v>5547</v>
      </c>
      <c r="I276">
        <v>0</v>
      </c>
      <c r="J276">
        <v>1</v>
      </c>
      <c r="K276">
        <v>92.4</v>
      </c>
      <c r="L276">
        <v>0</v>
      </c>
      <c r="M276">
        <v>8.4</v>
      </c>
      <c r="N276">
        <v>80</v>
      </c>
      <c r="O276" s="1" t="s">
        <v>274</v>
      </c>
    </row>
    <row r="277" spans="1:15">
      <c r="A277">
        <v>1215098</v>
      </c>
      <c r="B277" t="s">
        <v>272</v>
      </c>
      <c r="C277" t="s">
        <v>39</v>
      </c>
      <c r="D277" t="s">
        <v>136</v>
      </c>
      <c r="E277">
        <v>2025</v>
      </c>
      <c r="F277">
        <v>8</v>
      </c>
      <c r="G277">
        <v>5</v>
      </c>
      <c r="H277">
        <v>2458</v>
      </c>
      <c r="I277">
        <v>0</v>
      </c>
      <c r="J277">
        <v>0</v>
      </c>
      <c r="K277">
        <v>41</v>
      </c>
      <c r="L277">
        <v>0</v>
      </c>
      <c r="M277">
        <v>8.1999999999999993</v>
      </c>
      <c r="N277">
        <v>40</v>
      </c>
      <c r="O277">
        <v>1</v>
      </c>
    </row>
    <row r="278" spans="1:15">
      <c r="A278">
        <v>1215099</v>
      </c>
      <c r="B278" t="s">
        <v>275</v>
      </c>
      <c r="C278" t="s">
        <v>76</v>
      </c>
      <c r="D278" t="s">
        <v>136</v>
      </c>
      <c r="E278">
        <v>2025</v>
      </c>
      <c r="F278">
        <v>6</v>
      </c>
      <c r="G278">
        <v>19</v>
      </c>
      <c r="H278">
        <v>10746</v>
      </c>
      <c r="I278">
        <v>40</v>
      </c>
      <c r="J278">
        <v>0</v>
      </c>
      <c r="K278">
        <v>179.1</v>
      </c>
      <c r="L278">
        <v>0.7</v>
      </c>
      <c r="M278">
        <v>9.4</v>
      </c>
      <c r="N278">
        <v>152</v>
      </c>
      <c r="O278" s="1" t="s">
        <v>276</v>
      </c>
    </row>
    <row r="279" spans="1:15">
      <c r="A279">
        <v>1215099</v>
      </c>
      <c r="B279" t="s">
        <v>275</v>
      </c>
      <c r="C279" t="s">
        <v>76</v>
      </c>
      <c r="D279" t="s">
        <v>136</v>
      </c>
      <c r="E279">
        <v>2025</v>
      </c>
      <c r="F279">
        <v>7</v>
      </c>
      <c r="G279">
        <v>19</v>
      </c>
      <c r="H279">
        <v>10578</v>
      </c>
      <c r="I279">
        <v>44</v>
      </c>
      <c r="J279">
        <v>0</v>
      </c>
      <c r="K279">
        <v>176.3</v>
      </c>
      <c r="L279">
        <v>0.7</v>
      </c>
      <c r="M279">
        <v>9.3000000000000007</v>
      </c>
      <c r="N279">
        <v>152</v>
      </c>
      <c r="O279" s="1" t="s">
        <v>277</v>
      </c>
    </row>
    <row r="280" spans="1:15">
      <c r="A280">
        <v>1215099</v>
      </c>
      <c r="B280" t="s">
        <v>275</v>
      </c>
      <c r="C280" t="s">
        <v>76</v>
      </c>
      <c r="D280" t="s">
        <v>136</v>
      </c>
      <c r="E280">
        <v>2025</v>
      </c>
      <c r="F280">
        <v>8</v>
      </c>
      <c r="G280">
        <v>17</v>
      </c>
      <c r="H280">
        <v>8424</v>
      </c>
      <c r="I280">
        <v>80</v>
      </c>
      <c r="J280">
        <v>1</v>
      </c>
      <c r="K280">
        <v>140.4</v>
      </c>
      <c r="L280">
        <v>1.3</v>
      </c>
      <c r="M280">
        <v>8.3000000000000007</v>
      </c>
      <c r="N280">
        <v>128</v>
      </c>
      <c r="O280" s="1" t="s">
        <v>274</v>
      </c>
    </row>
    <row r="281" spans="1:15">
      <c r="A281">
        <v>1215101</v>
      </c>
      <c r="B281" t="s">
        <v>278</v>
      </c>
      <c r="C281" t="s">
        <v>160</v>
      </c>
      <c r="D281" t="s">
        <v>20</v>
      </c>
      <c r="E281">
        <v>2025</v>
      </c>
      <c r="F281">
        <v>6</v>
      </c>
      <c r="G281">
        <v>16</v>
      </c>
      <c r="H281">
        <v>10492</v>
      </c>
      <c r="I281">
        <v>0</v>
      </c>
      <c r="J281">
        <v>0</v>
      </c>
      <c r="K281">
        <v>174.9</v>
      </c>
      <c r="L281">
        <v>0</v>
      </c>
      <c r="M281">
        <v>10.9</v>
      </c>
      <c r="N281">
        <v>128</v>
      </c>
      <c r="O281" s="1" t="s">
        <v>279</v>
      </c>
    </row>
    <row r="282" spans="1:15">
      <c r="A282">
        <v>1215101</v>
      </c>
      <c r="B282" t="s">
        <v>278</v>
      </c>
      <c r="C282" t="s">
        <v>160</v>
      </c>
      <c r="D282" t="s">
        <v>20</v>
      </c>
      <c r="E282">
        <v>2025</v>
      </c>
      <c r="F282">
        <v>7</v>
      </c>
      <c r="G282">
        <v>12</v>
      </c>
      <c r="H282">
        <v>8306</v>
      </c>
      <c r="I282">
        <v>0</v>
      </c>
      <c r="J282">
        <v>0</v>
      </c>
      <c r="K282">
        <v>138.4</v>
      </c>
      <c r="L282">
        <v>0</v>
      </c>
      <c r="M282">
        <v>11.5</v>
      </c>
      <c r="N282">
        <v>96</v>
      </c>
      <c r="O282" s="1" t="s">
        <v>126</v>
      </c>
    </row>
    <row r="283" spans="1:15">
      <c r="A283">
        <v>1215101</v>
      </c>
      <c r="B283" t="s">
        <v>278</v>
      </c>
      <c r="C283" t="s">
        <v>160</v>
      </c>
      <c r="D283" t="s">
        <v>20</v>
      </c>
      <c r="E283">
        <v>2025</v>
      </c>
      <c r="F283">
        <v>8</v>
      </c>
      <c r="G283">
        <v>14</v>
      </c>
      <c r="H283">
        <v>8696</v>
      </c>
      <c r="I283">
        <v>0</v>
      </c>
      <c r="J283">
        <v>0</v>
      </c>
      <c r="K283">
        <v>144.9</v>
      </c>
      <c r="L283">
        <v>0</v>
      </c>
      <c r="M283">
        <v>10.4</v>
      </c>
      <c r="N283">
        <v>112</v>
      </c>
      <c r="O283" s="1" t="s">
        <v>280</v>
      </c>
    </row>
    <row r="284" spans="1:15">
      <c r="A284">
        <v>1215137</v>
      </c>
      <c r="B284" t="s">
        <v>281</v>
      </c>
      <c r="C284" t="s">
        <v>239</v>
      </c>
      <c r="D284" t="s">
        <v>136</v>
      </c>
      <c r="E284">
        <v>2025</v>
      </c>
      <c r="F284">
        <v>6</v>
      </c>
      <c r="G284">
        <v>21</v>
      </c>
      <c r="H284">
        <v>11151</v>
      </c>
      <c r="I284">
        <v>0</v>
      </c>
      <c r="J284">
        <v>2</v>
      </c>
      <c r="K284">
        <v>185.8</v>
      </c>
      <c r="L284">
        <v>0</v>
      </c>
      <c r="M284">
        <v>8.8000000000000007</v>
      </c>
      <c r="N284">
        <v>152</v>
      </c>
      <c r="O284" s="1" t="s">
        <v>282</v>
      </c>
    </row>
    <row r="285" spans="1:15">
      <c r="A285">
        <v>1215137</v>
      </c>
      <c r="B285" t="s">
        <v>281</v>
      </c>
      <c r="C285" t="s">
        <v>239</v>
      </c>
      <c r="D285" t="s">
        <v>136</v>
      </c>
      <c r="E285">
        <v>2025</v>
      </c>
      <c r="F285">
        <v>7</v>
      </c>
      <c r="G285">
        <v>16</v>
      </c>
      <c r="H285">
        <v>7376</v>
      </c>
      <c r="I285">
        <v>0</v>
      </c>
      <c r="J285">
        <v>3</v>
      </c>
      <c r="K285">
        <v>122.9</v>
      </c>
      <c r="L285">
        <v>0</v>
      </c>
      <c r="M285">
        <v>7.7</v>
      </c>
      <c r="N285">
        <v>104</v>
      </c>
      <c r="O285" s="1" t="s">
        <v>232</v>
      </c>
    </row>
    <row r="286" spans="1:15">
      <c r="A286">
        <v>1215137</v>
      </c>
      <c r="B286" t="s">
        <v>281</v>
      </c>
      <c r="C286" t="s">
        <v>239</v>
      </c>
      <c r="D286" t="s">
        <v>136</v>
      </c>
      <c r="E286">
        <v>2025</v>
      </c>
      <c r="F286">
        <v>8</v>
      </c>
      <c r="G286">
        <v>19</v>
      </c>
      <c r="H286">
        <v>8091</v>
      </c>
      <c r="I286">
        <v>6</v>
      </c>
      <c r="J286">
        <v>4</v>
      </c>
      <c r="K286">
        <v>134.80000000000001</v>
      </c>
      <c r="L286">
        <v>0.1</v>
      </c>
      <c r="M286">
        <v>7.1</v>
      </c>
      <c r="N286">
        <v>120</v>
      </c>
      <c r="O286" s="1" t="s">
        <v>283</v>
      </c>
    </row>
    <row r="287" spans="1:15">
      <c r="A287">
        <v>1215138</v>
      </c>
      <c r="B287" t="s">
        <v>284</v>
      </c>
      <c r="C287" t="s">
        <v>27</v>
      </c>
      <c r="D287" t="s">
        <v>136</v>
      </c>
      <c r="E287">
        <v>2025</v>
      </c>
      <c r="F287">
        <v>6</v>
      </c>
      <c r="G287">
        <v>16</v>
      </c>
      <c r="H287">
        <v>10055</v>
      </c>
      <c r="I287">
        <v>1124</v>
      </c>
      <c r="J287">
        <v>0</v>
      </c>
      <c r="K287">
        <v>167.6</v>
      </c>
      <c r="L287">
        <v>18.7</v>
      </c>
      <c r="M287">
        <v>10.5</v>
      </c>
      <c r="N287">
        <v>128</v>
      </c>
      <c r="O287" s="1" t="s">
        <v>285</v>
      </c>
    </row>
    <row r="288" spans="1:15">
      <c r="A288">
        <v>1215138</v>
      </c>
      <c r="B288" t="s">
        <v>284</v>
      </c>
      <c r="C288" t="s">
        <v>27</v>
      </c>
      <c r="D288" t="s">
        <v>136</v>
      </c>
      <c r="E288">
        <v>2025</v>
      </c>
      <c r="F288">
        <v>7</v>
      </c>
      <c r="G288">
        <v>17</v>
      </c>
      <c r="H288">
        <v>10735</v>
      </c>
      <c r="I288">
        <v>1213</v>
      </c>
      <c r="J288">
        <v>0</v>
      </c>
      <c r="K288">
        <v>178.9</v>
      </c>
      <c r="L288">
        <v>20.2</v>
      </c>
      <c r="M288">
        <v>10.5</v>
      </c>
      <c r="N288">
        <v>136</v>
      </c>
      <c r="O288" s="1" t="s">
        <v>286</v>
      </c>
    </row>
    <row r="289" spans="1:15">
      <c r="A289">
        <v>1215138</v>
      </c>
      <c r="B289" t="s">
        <v>284</v>
      </c>
      <c r="C289" t="s">
        <v>27</v>
      </c>
      <c r="D289" t="s">
        <v>136</v>
      </c>
      <c r="E289">
        <v>2025</v>
      </c>
      <c r="F289">
        <v>8</v>
      </c>
      <c r="G289">
        <v>15</v>
      </c>
      <c r="H289">
        <v>9548</v>
      </c>
      <c r="I289">
        <v>1449</v>
      </c>
      <c r="J289">
        <v>0</v>
      </c>
      <c r="K289">
        <v>159.1</v>
      </c>
      <c r="L289">
        <v>24.2</v>
      </c>
      <c r="M289">
        <v>10.6</v>
      </c>
      <c r="N289">
        <v>120</v>
      </c>
      <c r="O289" s="1" t="s">
        <v>287</v>
      </c>
    </row>
    <row r="290" spans="1:15">
      <c r="A290">
        <v>1215149</v>
      </c>
      <c r="B290" t="s">
        <v>288</v>
      </c>
      <c r="C290" t="s">
        <v>218</v>
      </c>
      <c r="D290" t="s">
        <v>136</v>
      </c>
      <c r="E290">
        <v>2025</v>
      </c>
      <c r="F290">
        <v>6</v>
      </c>
      <c r="G290">
        <v>19</v>
      </c>
      <c r="H290">
        <v>11220</v>
      </c>
      <c r="I290">
        <v>0</v>
      </c>
      <c r="J290">
        <v>0</v>
      </c>
      <c r="K290">
        <v>187</v>
      </c>
      <c r="L290">
        <v>0</v>
      </c>
      <c r="M290">
        <v>9.8000000000000007</v>
      </c>
      <c r="N290">
        <v>152</v>
      </c>
      <c r="O290">
        <v>35</v>
      </c>
    </row>
    <row r="291" spans="1:15">
      <c r="A291">
        <v>1215149</v>
      </c>
      <c r="B291" t="s">
        <v>288</v>
      </c>
      <c r="C291" t="s">
        <v>218</v>
      </c>
      <c r="D291" t="s">
        <v>136</v>
      </c>
      <c r="E291">
        <v>2025</v>
      </c>
      <c r="F291">
        <v>7</v>
      </c>
      <c r="G291">
        <v>19</v>
      </c>
      <c r="H291">
        <v>11380</v>
      </c>
      <c r="I291">
        <v>0</v>
      </c>
      <c r="J291">
        <v>0</v>
      </c>
      <c r="K291">
        <v>189.7</v>
      </c>
      <c r="L291">
        <v>0</v>
      </c>
      <c r="M291">
        <v>10</v>
      </c>
      <c r="N291">
        <v>152</v>
      </c>
      <c r="O291" s="1" t="s">
        <v>289</v>
      </c>
    </row>
    <row r="292" spans="1:15">
      <c r="A292">
        <v>1215149</v>
      </c>
      <c r="B292" t="s">
        <v>288</v>
      </c>
      <c r="C292" t="s">
        <v>218</v>
      </c>
      <c r="D292" t="s">
        <v>136</v>
      </c>
      <c r="E292">
        <v>2025</v>
      </c>
      <c r="F292">
        <v>8</v>
      </c>
      <c r="G292">
        <v>16</v>
      </c>
      <c r="H292">
        <v>9049</v>
      </c>
      <c r="I292">
        <v>0</v>
      </c>
      <c r="J292">
        <v>0</v>
      </c>
      <c r="K292">
        <v>150.80000000000001</v>
      </c>
      <c r="L292">
        <v>0</v>
      </c>
      <c r="M292">
        <v>9.4</v>
      </c>
      <c r="N292">
        <v>128</v>
      </c>
      <c r="O292" s="1" t="s">
        <v>290</v>
      </c>
    </row>
    <row r="293" spans="1:15">
      <c r="A293">
        <v>1216011</v>
      </c>
      <c r="B293" t="s">
        <v>291</v>
      </c>
      <c r="C293" t="s">
        <v>225</v>
      </c>
      <c r="D293" t="s">
        <v>136</v>
      </c>
      <c r="E293">
        <v>2025</v>
      </c>
      <c r="F293">
        <v>6</v>
      </c>
      <c r="G293">
        <v>15</v>
      </c>
      <c r="H293">
        <v>7885</v>
      </c>
      <c r="I293">
        <v>0</v>
      </c>
      <c r="J293">
        <v>0</v>
      </c>
      <c r="K293">
        <v>131.4</v>
      </c>
      <c r="L293">
        <v>0</v>
      </c>
      <c r="M293">
        <v>8.8000000000000007</v>
      </c>
      <c r="N293">
        <v>120</v>
      </c>
      <c r="O293" s="1" t="s">
        <v>292</v>
      </c>
    </row>
    <row r="294" spans="1:15">
      <c r="A294">
        <v>1216011</v>
      </c>
      <c r="B294" t="s">
        <v>291</v>
      </c>
      <c r="C294" t="s">
        <v>225</v>
      </c>
      <c r="D294" t="s">
        <v>136</v>
      </c>
      <c r="E294">
        <v>2025</v>
      </c>
      <c r="F294">
        <v>7</v>
      </c>
      <c r="G294">
        <v>15</v>
      </c>
      <c r="H294">
        <v>8789</v>
      </c>
      <c r="I294">
        <v>0</v>
      </c>
      <c r="J294">
        <v>0</v>
      </c>
      <c r="K294">
        <v>146.5</v>
      </c>
      <c r="L294">
        <v>0</v>
      </c>
      <c r="M294">
        <v>9.8000000000000007</v>
      </c>
      <c r="N294">
        <v>120</v>
      </c>
      <c r="O294">
        <v>26.5</v>
      </c>
    </row>
    <row r="295" spans="1:15">
      <c r="A295">
        <v>1216011</v>
      </c>
      <c r="B295" t="s">
        <v>291</v>
      </c>
      <c r="C295" t="s">
        <v>225</v>
      </c>
      <c r="D295" t="s">
        <v>136</v>
      </c>
      <c r="E295">
        <v>2025</v>
      </c>
      <c r="F295">
        <v>8</v>
      </c>
      <c r="G295">
        <v>14</v>
      </c>
      <c r="H295">
        <v>7967</v>
      </c>
      <c r="I295">
        <v>0</v>
      </c>
      <c r="J295">
        <v>0</v>
      </c>
      <c r="K295">
        <v>132.80000000000001</v>
      </c>
      <c r="L295">
        <v>0</v>
      </c>
      <c r="M295">
        <v>9.5</v>
      </c>
      <c r="N295">
        <v>112</v>
      </c>
      <c r="O295" s="1" t="s">
        <v>293</v>
      </c>
    </row>
    <row r="296" spans="1:15">
      <c r="A296">
        <v>1216012</v>
      </c>
      <c r="B296" t="s">
        <v>294</v>
      </c>
      <c r="C296" t="s">
        <v>44</v>
      </c>
      <c r="D296" t="s">
        <v>136</v>
      </c>
      <c r="E296">
        <v>2025</v>
      </c>
      <c r="F296">
        <v>6</v>
      </c>
      <c r="G296">
        <v>17</v>
      </c>
      <c r="H296">
        <v>8662</v>
      </c>
      <c r="I296">
        <v>0</v>
      </c>
      <c r="J296">
        <v>0</v>
      </c>
      <c r="K296">
        <v>144.4</v>
      </c>
      <c r="L296">
        <v>0</v>
      </c>
      <c r="M296">
        <v>8.5</v>
      </c>
      <c r="N296">
        <v>136</v>
      </c>
      <c r="O296" s="1" t="s">
        <v>295</v>
      </c>
    </row>
    <row r="297" spans="1:15">
      <c r="A297">
        <v>1216012</v>
      </c>
      <c r="B297" t="s">
        <v>294</v>
      </c>
      <c r="C297" t="s">
        <v>44</v>
      </c>
      <c r="D297" t="s">
        <v>136</v>
      </c>
      <c r="E297">
        <v>2025</v>
      </c>
      <c r="F297">
        <v>7</v>
      </c>
      <c r="G297">
        <v>17</v>
      </c>
      <c r="H297">
        <v>8859</v>
      </c>
      <c r="I297">
        <v>0</v>
      </c>
      <c r="J297">
        <v>0</v>
      </c>
      <c r="K297">
        <v>147.6</v>
      </c>
      <c r="L297">
        <v>0</v>
      </c>
      <c r="M297">
        <v>8.6999999999999993</v>
      </c>
      <c r="N297">
        <v>136</v>
      </c>
      <c r="O297" s="1" t="s">
        <v>296</v>
      </c>
    </row>
    <row r="298" spans="1:15">
      <c r="A298">
        <v>1216012</v>
      </c>
      <c r="B298" t="s">
        <v>294</v>
      </c>
      <c r="C298" t="s">
        <v>44</v>
      </c>
      <c r="D298" t="s">
        <v>136</v>
      </c>
      <c r="E298">
        <v>2025</v>
      </c>
      <c r="F298">
        <v>8</v>
      </c>
      <c r="G298">
        <v>16</v>
      </c>
      <c r="H298">
        <v>8334</v>
      </c>
      <c r="I298">
        <v>0</v>
      </c>
      <c r="J298">
        <v>0</v>
      </c>
      <c r="K298">
        <v>138.9</v>
      </c>
      <c r="L298">
        <v>0</v>
      </c>
      <c r="M298">
        <v>8.6999999999999993</v>
      </c>
      <c r="N298">
        <v>128</v>
      </c>
      <c r="O298" s="1" t="s">
        <v>297</v>
      </c>
    </row>
    <row r="299" spans="1:15">
      <c r="A299">
        <v>1216022</v>
      </c>
      <c r="B299" t="s">
        <v>298</v>
      </c>
      <c r="C299" t="s">
        <v>83</v>
      </c>
      <c r="D299" t="s">
        <v>194</v>
      </c>
      <c r="E299">
        <v>2025</v>
      </c>
      <c r="F299">
        <v>6</v>
      </c>
      <c r="G299">
        <v>19</v>
      </c>
      <c r="H299">
        <v>9678</v>
      </c>
      <c r="I299">
        <v>40</v>
      </c>
      <c r="J299">
        <v>0</v>
      </c>
      <c r="K299">
        <v>161.30000000000001</v>
      </c>
      <c r="L299">
        <v>0.7</v>
      </c>
      <c r="M299">
        <v>8.5</v>
      </c>
      <c r="N299">
        <v>152</v>
      </c>
      <c r="O299" s="1" t="s">
        <v>299</v>
      </c>
    </row>
    <row r="300" spans="1:15">
      <c r="A300">
        <v>1216022</v>
      </c>
      <c r="B300" t="s">
        <v>298</v>
      </c>
      <c r="C300" t="s">
        <v>83</v>
      </c>
      <c r="D300" t="s">
        <v>194</v>
      </c>
      <c r="E300">
        <v>2025</v>
      </c>
      <c r="F300">
        <v>7</v>
      </c>
      <c r="G300">
        <v>18</v>
      </c>
      <c r="H300">
        <v>9615</v>
      </c>
      <c r="I300">
        <v>57</v>
      </c>
      <c r="J300">
        <v>0</v>
      </c>
      <c r="K300">
        <v>160.19999999999999</v>
      </c>
      <c r="L300">
        <v>1</v>
      </c>
      <c r="M300">
        <v>8.9</v>
      </c>
      <c r="N300">
        <v>144</v>
      </c>
      <c r="O300" s="1" t="s">
        <v>300</v>
      </c>
    </row>
    <row r="301" spans="1:15">
      <c r="A301">
        <v>1216022</v>
      </c>
      <c r="B301" t="s">
        <v>298</v>
      </c>
      <c r="C301" t="s">
        <v>83</v>
      </c>
      <c r="D301" t="s">
        <v>194</v>
      </c>
      <c r="E301">
        <v>2025</v>
      </c>
      <c r="F301">
        <v>8</v>
      </c>
      <c r="G301">
        <v>13</v>
      </c>
      <c r="H301">
        <v>7549</v>
      </c>
      <c r="I301">
        <v>87</v>
      </c>
      <c r="J301">
        <v>0</v>
      </c>
      <c r="K301">
        <v>125.8</v>
      </c>
      <c r="L301">
        <v>1.4</v>
      </c>
      <c r="M301">
        <v>9.6999999999999993</v>
      </c>
      <c r="N301">
        <v>104</v>
      </c>
      <c r="O301" s="1" t="s">
        <v>301</v>
      </c>
    </row>
    <row r="302" spans="1:15">
      <c r="A302">
        <v>1216025</v>
      </c>
      <c r="B302" t="s">
        <v>302</v>
      </c>
      <c r="C302" t="s">
        <v>210</v>
      </c>
      <c r="D302" t="s">
        <v>136</v>
      </c>
      <c r="E302">
        <v>2025</v>
      </c>
      <c r="F302">
        <v>6</v>
      </c>
      <c r="G302">
        <v>12</v>
      </c>
      <c r="H302">
        <v>6095</v>
      </c>
      <c r="I302">
        <v>0</v>
      </c>
      <c r="J302">
        <v>0</v>
      </c>
      <c r="K302">
        <v>101.6</v>
      </c>
      <c r="L302">
        <v>0</v>
      </c>
      <c r="M302">
        <v>8.5</v>
      </c>
      <c r="N302">
        <v>96</v>
      </c>
      <c r="O302" s="1" t="s">
        <v>303</v>
      </c>
    </row>
    <row r="303" spans="1:15">
      <c r="A303">
        <v>1216025</v>
      </c>
      <c r="B303" t="s">
        <v>302</v>
      </c>
      <c r="C303" t="s">
        <v>210</v>
      </c>
      <c r="D303" t="s">
        <v>136</v>
      </c>
      <c r="E303">
        <v>2025</v>
      </c>
      <c r="F303">
        <v>7</v>
      </c>
      <c r="G303">
        <v>14</v>
      </c>
      <c r="H303">
        <v>5661</v>
      </c>
      <c r="I303">
        <v>0</v>
      </c>
      <c r="J303">
        <v>1</v>
      </c>
      <c r="K303">
        <v>94.4</v>
      </c>
      <c r="L303">
        <v>0</v>
      </c>
      <c r="M303">
        <v>6.7</v>
      </c>
      <c r="N303">
        <v>104</v>
      </c>
      <c r="O303">
        <v>-9.6</v>
      </c>
    </row>
    <row r="304" spans="1:15">
      <c r="A304">
        <v>1216025</v>
      </c>
      <c r="B304" t="s">
        <v>302</v>
      </c>
      <c r="C304" t="s">
        <v>210</v>
      </c>
      <c r="D304" t="s">
        <v>136</v>
      </c>
      <c r="E304">
        <v>2025</v>
      </c>
      <c r="F304">
        <v>8</v>
      </c>
      <c r="G304">
        <v>6</v>
      </c>
      <c r="H304">
        <v>2968</v>
      </c>
      <c r="I304">
        <v>0</v>
      </c>
      <c r="J304">
        <v>0</v>
      </c>
      <c r="K304">
        <v>49.5</v>
      </c>
      <c r="L304">
        <v>0</v>
      </c>
      <c r="M304">
        <v>8.1999999999999993</v>
      </c>
      <c r="N304">
        <v>48</v>
      </c>
      <c r="O304">
        <v>1.5</v>
      </c>
    </row>
    <row r="305" spans="1:15">
      <c r="A305">
        <v>1216044</v>
      </c>
      <c r="B305" t="s">
        <v>304</v>
      </c>
      <c r="C305" t="s">
        <v>27</v>
      </c>
      <c r="D305" t="s">
        <v>194</v>
      </c>
      <c r="E305">
        <v>2025</v>
      </c>
      <c r="F305">
        <v>6</v>
      </c>
      <c r="G305">
        <v>18</v>
      </c>
      <c r="H305">
        <v>11153</v>
      </c>
      <c r="I305">
        <v>562</v>
      </c>
      <c r="J305">
        <v>0</v>
      </c>
      <c r="K305">
        <v>185.9</v>
      </c>
      <c r="L305">
        <v>9.4</v>
      </c>
      <c r="M305">
        <v>10.3</v>
      </c>
      <c r="N305">
        <v>144</v>
      </c>
      <c r="O305" s="1" t="s">
        <v>305</v>
      </c>
    </row>
    <row r="306" spans="1:15">
      <c r="A306">
        <v>1216044</v>
      </c>
      <c r="B306" t="s">
        <v>304</v>
      </c>
      <c r="C306" t="s">
        <v>27</v>
      </c>
      <c r="D306" t="s">
        <v>194</v>
      </c>
      <c r="E306">
        <v>2025</v>
      </c>
      <c r="F306">
        <v>7</v>
      </c>
      <c r="G306">
        <v>18</v>
      </c>
      <c r="H306">
        <v>10670</v>
      </c>
      <c r="I306">
        <v>400</v>
      </c>
      <c r="J306">
        <v>0</v>
      </c>
      <c r="K306">
        <v>177.8</v>
      </c>
      <c r="L306">
        <v>6.7</v>
      </c>
      <c r="M306">
        <v>9.9</v>
      </c>
      <c r="N306">
        <v>144</v>
      </c>
      <c r="O306" s="1" t="s">
        <v>282</v>
      </c>
    </row>
    <row r="307" spans="1:15">
      <c r="A307">
        <v>1216044</v>
      </c>
      <c r="B307" t="s">
        <v>304</v>
      </c>
      <c r="C307" t="s">
        <v>27</v>
      </c>
      <c r="D307" t="s">
        <v>194</v>
      </c>
      <c r="E307">
        <v>2025</v>
      </c>
      <c r="F307">
        <v>8</v>
      </c>
      <c r="G307">
        <v>17</v>
      </c>
      <c r="H307">
        <v>9979</v>
      </c>
      <c r="I307">
        <v>615</v>
      </c>
      <c r="J307">
        <v>1</v>
      </c>
      <c r="K307">
        <v>166.3</v>
      </c>
      <c r="L307">
        <v>10.199999999999999</v>
      </c>
      <c r="M307">
        <v>9.8000000000000007</v>
      </c>
      <c r="N307">
        <v>128</v>
      </c>
      <c r="O307" s="1" t="s">
        <v>306</v>
      </c>
    </row>
    <row r="308" spans="1:15">
      <c r="A308">
        <v>1216071</v>
      </c>
      <c r="B308" t="s">
        <v>307</v>
      </c>
      <c r="C308" t="s">
        <v>308</v>
      </c>
      <c r="D308" t="s">
        <v>20</v>
      </c>
      <c r="E308">
        <v>2025</v>
      </c>
      <c r="F308">
        <v>6</v>
      </c>
      <c r="G308">
        <v>28</v>
      </c>
      <c r="H308">
        <v>36492</v>
      </c>
      <c r="I308">
        <v>0</v>
      </c>
      <c r="J308">
        <v>7</v>
      </c>
      <c r="K308">
        <v>608.20000000000005</v>
      </c>
      <c r="L308">
        <v>0</v>
      </c>
      <c r="M308">
        <v>21.7</v>
      </c>
      <c r="N308">
        <v>168</v>
      </c>
      <c r="O308" s="1" t="s">
        <v>309</v>
      </c>
    </row>
    <row r="309" spans="1:15">
      <c r="A309">
        <v>1216071</v>
      </c>
      <c r="B309" t="s">
        <v>307</v>
      </c>
      <c r="C309" t="s">
        <v>308</v>
      </c>
      <c r="D309" t="s">
        <v>20</v>
      </c>
      <c r="E309">
        <v>2025</v>
      </c>
      <c r="F309">
        <v>7</v>
      </c>
      <c r="G309">
        <v>29</v>
      </c>
      <c r="H309">
        <v>38092</v>
      </c>
      <c r="I309">
        <v>0</v>
      </c>
      <c r="J309">
        <v>8</v>
      </c>
      <c r="K309">
        <v>634.9</v>
      </c>
      <c r="L309">
        <v>0</v>
      </c>
      <c r="M309">
        <v>21.9</v>
      </c>
      <c r="N309">
        <v>168</v>
      </c>
      <c r="O309">
        <v>466.9</v>
      </c>
    </row>
    <row r="310" spans="1:15">
      <c r="A310">
        <v>1216071</v>
      </c>
      <c r="B310" t="s">
        <v>307</v>
      </c>
      <c r="C310" t="s">
        <v>308</v>
      </c>
      <c r="D310" t="s">
        <v>20</v>
      </c>
      <c r="E310">
        <v>2025</v>
      </c>
      <c r="F310">
        <v>8</v>
      </c>
      <c r="G310">
        <v>20</v>
      </c>
      <c r="H310">
        <v>21299</v>
      </c>
      <c r="I310">
        <v>0</v>
      </c>
      <c r="J310">
        <v>4</v>
      </c>
      <c r="K310">
        <v>355</v>
      </c>
      <c r="L310">
        <v>0</v>
      </c>
      <c r="M310">
        <v>17.8</v>
      </c>
      <c r="N310">
        <v>128</v>
      </c>
      <c r="O310">
        <v>227</v>
      </c>
    </row>
    <row r="311" spans="1:15">
      <c r="A311">
        <v>1216118</v>
      </c>
      <c r="B311" t="s">
        <v>310</v>
      </c>
      <c r="C311" t="s">
        <v>213</v>
      </c>
      <c r="D311" t="s">
        <v>136</v>
      </c>
      <c r="E311">
        <v>2025</v>
      </c>
      <c r="F311">
        <v>6</v>
      </c>
      <c r="G311">
        <v>19</v>
      </c>
      <c r="H311">
        <v>11402</v>
      </c>
      <c r="I311">
        <v>0</v>
      </c>
      <c r="J311">
        <v>0</v>
      </c>
      <c r="K311">
        <v>190</v>
      </c>
      <c r="L311">
        <v>0</v>
      </c>
      <c r="M311">
        <v>10</v>
      </c>
      <c r="N311">
        <v>152</v>
      </c>
      <c r="O311">
        <v>38</v>
      </c>
    </row>
    <row r="312" spans="1:15">
      <c r="A312">
        <v>1216118</v>
      </c>
      <c r="B312" t="s">
        <v>310</v>
      </c>
      <c r="C312" t="s">
        <v>213</v>
      </c>
      <c r="D312" t="s">
        <v>136</v>
      </c>
      <c r="E312">
        <v>2025</v>
      </c>
      <c r="F312">
        <v>7</v>
      </c>
      <c r="G312">
        <v>25</v>
      </c>
      <c r="H312">
        <v>13660</v>
      </c>
      <c r="I312">
        <v>0</v>
      </c>
      <c r="J312">
        <v>3</v>
      </c>
      <c r="K312">
        <v>227.7</v>
      </c>
      <c r="L312">
        <v>0</v>
      </c>
      <c r="M312">
        <v>9.1</v>
      </c>
      <c r="N312">
        <v>176</v>
      </c>
      <c r="O312" s="1" t="s">
        <v>311</v>
      </c>
    </row>
    <row r="313" spans="1:15">
      <c r="A313">
        <v>1216118</v>
      </c>
      <c r="B313" t="s">
        <v>310</v>
      </c>
      <c r="C313" t="s">
        <v>213</v>
      </c>
      <c r="D313" t="s">
        <v>136</v>
      </c>
      <c r="E313">
        <v>2025</v>
      </c>
      <c r="F313">
        <v>8</v>
      </c>
      <c r="G313">
        <v>15</v>
      </c>
      <c r="H313">
        <v>8311</v>
      </c>
      <c r="I313">
        <v>0</v>
      </c>
      <c r="J313">
        <v>0</v>
      </c>
      <c r="K313">
        <v>138.5</v>
      </c>
      <c r="L313">
        <v>0</v>
      </c>
      <c r="M313">
        <v>9.1999999999999993</v>
      </c>
      <c r="N313">
        <v>120</v>
      </c>
      <c r="O313">
        <v>18.5</v>
      </c>
    </row>
    <row r="314" spans="1:15">
      <c r="A314">
        <v>1216119</v>
      </c>
      <c r="B314" t="s">
        <v>312</v>
      </c>
      <c r="C314" t="s">
        <v>41</v>
      </c>
      <c r="D314" t="s">
        <v>136</v>
      </c>
      <c r="E314">
        <v>2025</v>
      </c>
      <c r="F314">
        <v>6</v>
      </c>
      <c r="G314">
        <v>21</v>
      </c>
      <c r="H314">
        <v>11226</v>
      </c>
      <c r="I314">
        <v>2031</v>
      </c>
      <c r="J314">
        <v>4</v>
      </c>
      <c r="K314">
        <v>187.1</v>
      </c>
      <c r="L314">
        <v>33.799999999999997</v>
      </c>
      <c r="M314">
        <v>8.9</v>
      </c>
      <c r="N314">
        <v>136</v>
      </c>
      <c r="O314" s="1" t="s">
        <v>313</v>
      </c>
    </row>
    <row r="315" spans="1:15">
      <c r="A315">
        <v>1216119</v>
      </c>
      <c r="B315" t="s">
        <v>312</v>
      </c>
      <c r="C315" t="s">
        <v>41</v>
      </c>
      <c r="D315" t="s">
        <v>136</v>
      </c>
      <c r="E315">
        <v>2025</v>
      </c>
      <c r="F315">
        <v>7</v>
      </c>
      <c r="G315">
        <v>24</v>
      </c>
      <c r="H315">
        <v>15721</v>
      </c>
      <c r="I315">
        <v>2039</v>
      </c>
      <c r="J315">
        <v>4</v>
      </c>
      <c r="K315">
        <v>262</v>
      </c>
      <c r="L315">
        <v>34</v>
      </c>
      <c r="M315">
        <v>10.9</v>
      </c>
      <c r="N315">
        <v>160</v>
      </c>
      <c r="O315">
        <v>102</v>
      </c>
    </row>
    <row r="316" spans="1:15">
      <c r="A316">
        <v>1216119</v>
      </c>
      <c r="B316" t="s">
        <v>312</v>
      </c>
      <c r="C316" t="s">
        <v>41</v>
      </c>
      <c r="D316" t="s">
        <v>136</v>
      </c>
      <c r="E316">
        <v>2025</v>
      </c>
      <c r="F316">
        <v>8</v>
      </c>
      <c r="G316">
        <v>20</v>
      </c>
      <c r="H316">
        <v>8498</v>
      </c>
      <c r="I316">
        <v>521</v>
      </c>
      <c r="J316">
        <v>4</v>
      </c>
      <c r="K316">
        <v>141.6</v>
      </c>
      <c r="L316">
        <v>8.6999999999999993</v>
      </c>
      <c r="M316">
        <v>7.1</v>
      </c>
      <c r="N316">
        <v>128</v>
      </c>
      <c r="O316" s="1" t="s">
        <v>314</v>
      </c>
    </row>
    <row r="317" spans="1:15">
      <c r="A317">
        <v>1216123</v>
      </c>
      <c r="B317" t="s">
        <v>315</v>
      </c>
      <c r="C317" t="s">
        <v>96</v>
      </c>
      <c r="D317" t="s">
        <v>136</v>
      </c>
      <c r="E317">
        <v>2025</v>
      </c>
      <c r="F317">
        <v>6</v>
      </c>
      <c r="G317">
        <v>17</v>
      </c>
      <c r="H317">
        <v>11500</v>
      </c>
      <c r="I317">
        <v>2042</v>
      </c>
      <c r="J317">
        <v>0</v>
      </c>
      <c r="K317">
        <v>191.7</v>
      </c>
      <c r="L317">
        <v>34</v>
      </c>
      <c r="M317">
        <v>11.3</v>
      </c>
      <c r="N317">
        <v>136</v>
      </c>
      <c r="O317" s="1" t="s">
        <v>316</v>
      </c>
    </row>
    <row r="318" spans="1:15">
      <c r="A318">
        <v>1216123</v>
      </c>
      <c r="B318" t="s">
        <v>315</v>
      </c>
      <c r="C318" t="s">
        <v>96</v>
      </c>
      <c r="D318" t="s">
        <v>136</v>
      </c>
      <c r="E318">
        <v>2025</v>
      </c>
      <c r="F318">
        <v>7</v>
      </c>
      <c r="G318">
        <v>17</v>
      </c>
      <c r="H318">
        <v>11367</v>
      </c>
      <c r="I318">
        <v>2316</v>
      </c>
      <c r="J318">
        <v>0</v>
      </c>
      <c r="K318">
        <v>189.4</v>
      </c>
      <c r="L318">
        <v>38.6</v>
      </c>
      <c r="M318">
        <v>11.1</v>
      </c>
      <c r="N318">
        <v>136</v>
      </c>
      <c r="O318" s="1" t="s">
        <v>317</v>
      </c>
    </row>
    <row r="319" spans="1:15">
      <c r="A319">
        <v>1216123</v>
      </c>
      <c r="B319" t="s">
        <v>315</v>
      </c>
      <c r="C319" t="s">
        <v>96</v>
      </c>
      <c r="D319" t="s">
        <v>136</v>
      </c>
      <c r="E319">
        <v>2025</v>
      </c>
      <c r="F319">
        <v>8</v>
      </c>
      <c r="G319">
        <v>15</v>
      </c>
      <c r="H319">
        <v>10661</v>
      </c>
      <c r="I319">
        <v>2216</v>
      </c>
      <c r="J319">
        <v>0</v>
      </c>
      <c r="K319">
        <v>177.7</v>
      </c>
      <c r="L319">
        <v>36.9</v>
      </c>
      <c r="M319">
        <v>11.8</v>
      </c>
      <c r="N319">
        <v>120</v>
      </c>
      <c r="O319" s="1" t="s">
        <v>318</v>
      </c>
    </row>
    <row r="320" spans="1:15">
      <c r="A320">
        <v>1216125</v>
      </c>
      <c r="B320" t="s">
        <v>319</v>
      </c>
      <c r="C320" t="s">
        <v>96</v>
      </c>
      <c r="D320" t="s">
        <v>136</v>
      </c>
      <c r="E320">
        <v>2025</v>
      </c>
      <c r="F320">
        <v>6</v>
      </c>
      <c r="G320">
        <v>19</v>
      </c>
      <c r="H320">
        <v>12514</v>
      </c>
      <c r="I320">
        <v>2192</v>
      </c>
      <c r="J320">
        <v>1</v>
      </c>
      <c r="K320">
        <v>208.6</v>
      </c>
      <c r="L320">
        <v>36.5</v>
      </c>
      <c r="M320">
        <v>11</v>
      </c>
      <c r="N320">
        <v>144</v>
      </c>
      <c r="O320">
        <v>64.599999999999994</v>
      </c>
    </row>
    <row r="321" spans="1:15">
      <c r="A321">
        <v>1216125</v>
      </c>
      <c r="B321" t="s">
        <v>319</v>
      </c>
      <c r="C321" t="s">
        <v>96</v>
      </c>
      <c r="D321" t="s">
        <v>136</v>
      </c>
      <c r="E321">
        <v>2025</v>
      </c>
      <c r="F321">
        <v>7</v>
      </c>
      <c r="G321">
        <v>17</v>
      </c>
      <c r="H321">
        <v>12135</v>
      </c>
      <c r="I321">
        <v>2101</v>
      </c>
      <c r="J321">
        <v>0</v>
      </c>
      <c r="K321">
        <v>202.2</v>
      </c>
      <c r="L321">
        <v>35</v>
      </c>
      <c r="M321">
        <v>11.9</v>
      </c>
      <c r="N321">
        <v>136</v>
      </c>
      <c r="O321" s="1" t="s">
        <v>320</v>
      </c>
    </row>
    <row r="322" spans="1:15">
      <c r="A322">
        <v>1216125</v>
      </c>
      <c r="B322" t="s">
        <v>319</v>
      </c>
      <c r="C322" t="s">
        <v>96</v>
      </c>
      <c r="D322" t="s">
        <v>136</v>
      </c>
      <c r="E322">
        <v>2025</v>
      </c>
      <c r="F322">
        <v>8</v>
      </c>
      <c r="G322">
        <v>16</v>
      </c>
      <c r="H322">
        <v>10927</v>
      </c>
      <c r="I322">
        <v>1773</v>
      </c>
      <c r="J322">
        <v>0</v>
      </c>
      <c r="K322">
        <v>182.1</v>
      </c>
      <c r="L322">
        <v>29.6</v>
      </c>
      <c r="M322">
        <v>11.4</v>
      </c>
      <c r="N322">
        <v>128</v>
      </c>
      <c r="O322" s="1" t="s">
        <v>321</v>
      </c>
    </row>
    <row r="323" spans="1:15">
      <c r="A323">
        <v>1216132</v>
      </c>
      <c r="B323" t="s">
        <v>322</v>
      </c>
      <c r="C323" t="s">
        <v>117</v>
      </c>
      <c r="D323" t="s">
        <v>20</v>
      </c>
      <c r="E323">
        <v>2025</v>
      </c>
      <c r="F323">
        <v>6</v>
      </c>
      <c r="G323">
        <v>20</v>
      </c>
      <c r="H323">
        <v>17305</v>
      </c>
      <c r="I323">
        <v>0</v>
      </c>
      <c r="J323">
        <v>3</v>
      </c>
      <c r="K323">
        <v>288.39999999999998</v>
      </c>
      <c r="L323">
        <v>0</v>
      </c>
      <c r="M323">
        <v>14.4</v>
      </c>
      <c r="N323">
        <v>136</v>
      </c>
      <c r="O323" s="1" t="s">
        <v>323</v>
      </c>
    </row>
    <row r="324" spans="1:15">
      <c r="A324">
        <v>1216132</v>
      </c>
      <c r="B324" t="s">
        <v>322</v>
      </c>
      <c r="C324" t="s">
        <v>117</v>
      </c>
      <c r="D324" t="s">
        <v>20</v>
      </c>
      <c r="E324">
        <v>2025</v>
      </c>
      <c r="F324">
        <v>7</v>
      </c>
      <c r="G324">
        <v>18</v>
      </c>
      <c r="H324">
        <v>13192</v>
      </c>
      <c r="I324">
        <v>0</v>
      </c>
      <c r="J324">
        <v>0</v>
      </c>
      <c r="K324">
        <v>219.9</v>
      </c>
      <c r="L324">
        <v>0</v>
      </c>
      <c r="M324">
        <v>12.2</v>
      </c>
      <c r="N324">
        <v>144</v>
      </c>
      <c r="O324">
        <v>75.900000000000006</v>
      </c>
    </row>
    <row r="325" spans="1:15">
      <c r="A325">
        <v>1216132</v>
      </c>
      <c r="B325" t="s">
        <v>322</v>
      </c>
      <c r="C325" t="s">
        <v>117</v>
      </c>
      <c r="D325" t="s">
        <v>20</v>
      </c>
      <c r="E325">
        <v>2025</v>
      </c>
      <c r="F325">
        <v>8</v>
      </c>
      <c r="G325">
        <v>15</v>
      </c>
      <c r="H325">
        <v>10460</v>
      </c>
      <c r="I325">
        <v>0</v>
      </c>
      <c r="J325">
        <v>0</v>
      </c>
      <c r="K325">
        <v>174.3</v>
      </c>
      <c r="L325">
        <v>0</v>
      </c>
      <c r="M325">
        <v>11.6</v>
      </c>
      <c r="N325">
        <v>120</v>
      </c>
      <c r="O325" s="1" t="s">
        <v>324</v>
      </c>
    </row>
    <row r="326" spans="1:15">
      <c r="A326">
        <v>1216155</v>
      </c>
      <c r="B326" t="s">
        <v>325</v>
      </c>
      <c r="C326" t="s">
        <v>76</v>
      </c>
      <c r="D326" t="s">
        <v>194</v>
      </c>
      <c r="E326">
        <v>2025</v>
      </c>
      <c r="F326">
        <v>6</v>
      </c>
      <c r="G326">
        <v>18</v>
      </c>
      <c r="H326">
        <v>10111</v>
      </c>
      <c r="I326">
        <v>28</v>
      </c>
      <c r="J326">
        <v>0</v>
      </c>
      <c r="K326">
        <v>168.5</v>
      </c>
      <c r="L326">
        <v>0.5</v>
      </c>
      <c r="M326">
        <v>9.4</v>
      </c>
      <c r="N326">
        <v>144</v>
      </c>
      <c r="O326">
        <v>24.5</v>
      </c>
    </row>
    <row r="327" spans="1:15">
      <c r="A327">
        <v>1216155</v>
      </c>
      <c r="B327" t="s">
        <v>325</v>
      </c>
      <c r="C327" t="s">
        <v>76</v>
      </c>
      <c r="D327" t="s">
        <v>194</v>
      </c>
      <c r="E327">
        <v>2025</v>
      </c>
      <c r="F327">
        <v>7</v>
      </c>
      <c r="G327">
        <v>17</v>
      </c>
      <c r="H327">
        <v>9344</v>
      </c>
      <c r="I327">
        <v>0</v>
      </c>
      <c r="J327">
        <v>0</v>
      </c>
      <c r="K327">
        <v>155.69999999999999</v>
      </c>
      <c r="L327">
        <v>0</v>
      </c>
      <c r="M327">
        <v>9.1999999999999993</v>
      </c>
      <c r="N327">
        <v>136</v>
      </c>
      <c r="O327" s="1" t="s">
        <v>326</v>
      </c>
    </row>
    <row r="328" spans="1:15">
      <c r="A328">
        <v>1216155</v>
      </c>
      <c r="B328" t="s">
        <v>325</v>
      </c>
      <c r="C328" t="s">
        <v>76</v>
      </c>
      <c r="D328" t="s">
        <v>194</v>
      </c>
      <c r="E328">
        <v>2025</v>
      </c>
      <c r="F328">
        <v>8</v>
      </c>
      <c r="G328">
        <v>16</v>
      </c>
      <c r="H328">
        <v>8377</v>
      </c>
      <c r="I328">
        <v>0</v>
      </c>
      <c r="J328">
        <v>0</v>
      </c>
      <c r="K328">
        <v>139.6</v>
      </c>
      <c r="L328">
        <v>0</v>
      </c>
      <c r="M328">
        <v>8.6999999999999993</v>
      </c>
      <c r="N328">
        <v>128</v>
      </c>
      <c r="O328" s="1" t="s">
        <v>296</v>
      </c>
    </row>
    <row r="329" spans="1:15">
      <c r="A329">
        <v>1216179</v>
      </c>
      <c r="B329" t="s">
        <v>327</v>
      </c>
      <c r="C329" t="s">
        <v>328</v>
      </c>
      <c r="D329" t="s">
        <v>20</v>
      </c>
      <c r="E329">
        <v>2025</v>
      </c>
      <c r="F329">
        <v>6</v>
      </c>
      <c r="G329">
        <v>17</v>
      </c>
      <c r="H329">
        <v>9955</v>
      </c>
      <c r="I329">
        <v>0</v>
      </c>
      <c r="J329">
        <v>0</v>
      </c>
      <c r="K329">
        <v>165.9</v>
      </c>
      <c r="L329">
        <v>0</v>
      </c>
      <c r="M329">
        <v>9.8000000000000007</v>
      </c>
      <c r="N329">
        <v>136</v>
      </c>
      <c r="O329" s="1" t="s">
        <v>329</v>
      </c>
    </row>
    <row r="330" spans="1:15">
      <c r="A330">
        <v>1216179</v>
      </c>
      <c r="B330" t="s">
        <v>327</v>
      </c>
      <c r="C330" t="s">
        <v>328</v>
      </c>
      <c r="D330" t="s">
        <v>20</v>
      </c>
      <c r="E330">
        <v>2025</v>
      </c>
      <c r="F330">
        <v>7</v>
      </c>
      <c r="G330">
        <v>19</v>
      </c>
      <c r="H330">
        <v>11135</v>
      </c>
      <c r="I330">
        <v>0</v>
      </c>
      <c r="J330">
        <v>0</v>
      </c>
      <c r="K330">
        <v>185.6</v>
      </c>
      <c r="L330">
        <v>0</v>
      </c>
      <c r="M330">
        <v>9.8000000000000007</v>
      </c>
      <c r="N330">
        <v>152</v>
      </c>
      <c r="O330" s="1" t="s">
        <v>330</v>
      </c>
    </row>
    <row r="331" spans="1:15">
      <c r="A331">
        <v>1216179</v>
      </c>
      <c r="B331" t="s">
        <v>327</v>
      </c>
      <c r="C331" t="s">
        <v>328</v>
      </c>
      <c r="D331" t="s">
        <v>20</v>
      </c>
      <c r="E331">
        <v>2025</v>
      </c>
      <c r="F331">
        <v>8</v>
      </c>
      <c r="G331">
        <v>15</v>
      </c>
      <c r="H331">
        <v>8199</v>
      </c>
      <c r="I331">
        <v>0</v>
      </c>
      <c r="J331">
        <v>0</v>
      </c>
      <c r="K331">
        <v>136.6</v>
      </c>
      <c r="L331">
        <v>0</v>
      </c>
      <c r="M331">
        <v>9.1</v>
      </c>
      <c r="N331">
        <v>120</v>
      </c>
      <c r="O331" s="1" t="s">
        <v>331</v>
      </c>
    </row>
    <row r="332" spans="1:15">
      <c r="A332">
        <v>1216181</v>
      </c>
      <c r="B332" t="s">
        <v>332</v>
      </c>
      <c r="C332" t="s">
        <v>177</v>
      </c>
      <c r="D332" t="s">
        <v>194</v>
      </c>
      <c r="E332">
        <v>2025</v>
      </c>
      <c r="F332">
        <v>6</v>
      </c>
      <c r="G332">
        <v>17</v>
      </c>
      <c r="H332">
        <v>9113</v>
      </c>
      <c r="I332">
        <v>0</v>
      </c>
      <c r="J332">
        <v>0</v>
      </c>
      <c r="K332">
        <v>151.9</v>
      </c>
      <c r="L332">
        <v>0</v>
      </c>
      <c r="M332">
        <v>8.9</v>
      </c>
      <c r="N332">
        <v>136</v>
      </c>
      <c r="O332" s="1" t="s">
        <v>333</v>
      </c>
    </row>
    <row r="333" spans="1:15">
      <c r="A333">
        <v>1216181</v>
      </c>
      <c r="B333" t="s">
        <v>332</v>
      </c>
      <c r="C333" t="s">
        <v>177</v>
      </c>
      <c r="D333" t="s">
        <v>194</v>
      </c>
      <c r="E333">
        <v>2025</v>
      </c>
      <c r="F333">
        <v>7</v>
      </c>
      <c r="G333">
        <v>18</v>
      </c>
      <c r="H333">
        <v>9828</v>
      </c>
      <c r="I333">
        <v>0</v>
      </c>
      <c r="J333">
        <v>0</v>
      </c>
      <c r="K333">
        <v>163.80000000000001</v>
      </c>
      <c r="L333">
        <v>0</v>
      </c>
      <c r="M333">
        <v>9.1</v>
      </c>
      <c r="N333">
        <v>144</v>
      </c>
      <c r="O333" s="1" t="s">
        <v>334</v>
      </c>
    </row>
    <row r="334" spans="1:15">
      <c r="A334">
        <v>1216181</v>
      </c>
      <c r="B334" t="s">
        <v>332</v>
      </c>
      <c r="C334" t="s">
        <v>177</v>
      </c>
      <c r="D334" t="s">
        <v>194</v>
      </c>
      <c r="E334">
        <v>2025</v>
      </c>
      <c r="F334">
        <v>8</v>
      </c>
      <c r="G334">
        <v>16</v>
      </c>
      <c r="H334">
        <v>8304</v>
      </c>
      <c r="I334">
        <v>0</v>
      </c>
      <c r="J334">
        <v>0</v>
      </c>
      <c r="K334">
        <v>138.4</v>
      </c>
      <c r="L334">
        <v>0</v>
      </c>
      <c r="M334">
        <v>8.6</v>
      </c>
      <c r="N334">
        <v>128</v>
      </c>
      <c r="O334" s="1" t="s">
        <v>335</v>
      </c>
    </row>
    <row r="335" spans="1:15">
      <c r="A335">
        <v>1216192</v>
      </c>
      <c r="B335" t="s">
        <v>336</v>
      </c>
      <c r="C335" t="s">
        <v>225</v>
      </c>
      <c r="D335" t="s">
        <v>20</v>
      </c>
      <c r="E335">
        <v>2025</v>
      </c>
      <c r="F335">
        <v>6</v>
      </c>
      <c r="G335">
        <v>19</v>
      </c>
      <c r="H335">
        <v>9941</v>
      </c>
      <c r="I335">
        <v>0</v>
      </c>
      <c r="J335">
        <v>0</v>
      </c>
      <c r="K335">
        <v>165.7</v>
      </c>
      <c r="L335">
        <v>0</v>
      </c>
      <c r="M335">
        <v>8.6999999999999993</v>
      </c>
      <c r="N335">
        <v>152</v>
      </c>
      <c r="O335" s="1" t="s">
        <v>337</v>
      </c>
    </row>
    <row r="336" spans="1:15">
      <c r="A336">
        <v>1216192</v>
      </c>
      <c r="B336" t="s">
        <v>336</v>
      </c>
      <c r="C336" t="s">
        <v>225</v>
      </c>
      <c r="D336" t="s">
        <v>20</v>
      </c>
      <c r="E336">
        <v>2025</v>
      </c>
      <c r="F336">
        <v>7</v>
      </c>
      <c r="G336">
        <v>18</v>
      </c>
      <c r="H336">
        <v>9309</v>
      </c>
      <c r="I336">
        <v>0</v>
      </c>
      <c r="J336">
        <v>0</v>
      </c>
      <c r="K336">
        <v>155.19999999999999</v>
      </c>
      <c r="L336">
        <v>0</v>
      </c>
      <c r="M336">
        <v>8.6</v>
      </c>
      <c r="N336">
        <v>144</v>
      </c>
      <c r="O336" s="1" t="s">
        <v>77</v>
      </c>
    </row>
    <row r="337" spans="1:15">
      <c r="A337">
        <v>1216192</v>
      </c>
      <c r="B337" t="s">
        <v>336</v>
      </c>
      <c r="C337" t="s">
        <v>225</v>
      </c>
      <c r="D337" t="s">
        <v>20</v>
      </c>
      <c r="E337">
        <v>2025</v>
      </c>
      <c r="F337">
        <v>8</v>
      </c>
      <c r="G337">
        <v>16</v>
      </c>
      <c r="H337">
        <v>8017</v>
      </c>
      <c r="I337">
        <v>0</v>
      </c>
      <c r="J337">
        <v>0</v>
      </c>
      <c r="K337">
        <v>133.6</v>
      </c>
      <c r="L337">
        <v>0</v>
      </c>
      <c r="M337">
        <v>8.4</v>
      </c>
      <c r="N337">
        <v>128</v>
      </c>
      <c r="O337" s="1" t="s">
        <v>303</v>
      </c>
    </row>
    <row r="338" spans="1:15">
      <c r="A338">
        <v>1217012</v>
      </c>
      <c r="B338" t="s">
        <v>338</v>
      </c>
      <c r="C338" t="s">
        <v>210</v>
      </c>
      <c r="D338" t="s">
        <v>136</v>
      </c>
      <c r="E338">
        <v>2025</v>
      </c>
      <c r="F338">
        <v>6</v>
      </c>
      <c r="G338">
        <v>29</v>
      </c>
      <c r="H338">
        <v>34101</v>
      </c>
      <c r="I338">
        <v>0</v>
      </c>
      <c r="J338">
        <v>8</v>
      </c>
      <c r="K338">
        <v>568.4</v>
      </c>
      <c r="L338">
        <v>0</v>
      </c>
      <c r="M338">
        <v>19.600000000000001</v>
      </c>
      <c r="N338">
        <v>168</v>
      </c>
      <c r="O338">
        <v>400.4</v>
      </c>
    </row>
    <row r="339" spans="1:15">
      <c r="A339">
        <v>1217012</v>
      </c>
      <c r="B339" t="s">
        <v>338</v>
      </c>
      <c r="C339" t="s">
        <v>210</v>
      </c>
      <c r="D339" t="s">
        <v>136</v>
      </c>
      <c r="E339">
        <v>2025</v>
      </c>
      <c r="F339">
        <v>7</v>
      </c>
      <c r="G339">
        <v>23</v>
      </c>
      <c r="H339">
        <v>28672</v>
      </c>
      <c r="I339">
        <v>0</v>
      </c>
      <c r="J339">
        <v>3</v>
      </c>
      <c r="K339">
        <v>477.9</v>
      </c>
      <c r="L339">
        <v>0</v>
      </c>
      <c r="M339">
        <v>20.8</v>
      </c>
      <c r="N339">
        <v>160</v>
      </c>
      <c r="O339">
        <v>317.89999999999998</v>
      </c>
    </row>
    <row r="340" spans="1:15">
      <c r="A340">
        <v>1217012</v>
      </c>
      <c r="B340" t="s">
        <v>338</v>
      </c>
      <c r="C340" t="s">
        <v>210</v>
      </c>
      <c r="D340" t="s">
        <v>136</v>
      </c>
      <c r="E340">
        <v>2025</v>
      </c>
      <c r="F340">
        <v>8</v>
      </c>
      <c r="G340">
        <v>22</v>
      </c>
      <c r="H340">
        <v>29369</v>
      </c>
      <c r="I340">
        <v>0</v>
      </c>
      <c r="J340">
        <v>6</v>
      </c>
      <c r="K340">
        <v>489.5</v>
      </c>
      <c r="L340">
        <v>0</v>
      </c>
      <c r="M340">
        <v>22.2</v>
      </c>
      <c r="N340">
        <v>128</v>
      </c>
      <c r="O340">
        <v>361.5</v>
      </c>
    </row>
    <row r="341" spans="1:15">
      <c r="A341">
        <v>1217016</v>
      </c>
      <c r="B341" t="s">
        <v>339</v>
      </c>
      <c r="C341" t="s">
        <v>87</v>
      </c>
      <c r="D341" t="s">
        <v>136</v>
      </c>
      <c r="E341">
        <v>2025</v>
      </c>
      <c r="F341">
        <v>6</v>
      </c>
      <c r="G341">
        <v>18</v>
      </c>
      <c r="H341">
        <v>10693</v>
      </c>
      <c r="I341">
        <v>394</v>
      </c>
      <c r="J341">
        <v>0</v>
      </c>
      <c r="K341">
        <v>178.2</v>
      </c>
      <c r="L341">
        <v>6.6</v>
      </c>
      <c r="M341">
        <v>9.9</v>
      </c>
      <c r="N341">
        <v>144</v>
      </c>
      <c r="O341" s="1" t="s">
        <v>340</v>
      </c>
    </row>
    <row r="342" spans="1:15">
      <c r="A342">
        <v>1217016</v>
      </c>
      <c r="B342" t="s">
        <v>339</v>
      </c>
      <c r="C342" t="s">
        <v>87</v>
      </c>
      <c r="D342" t="s">
        <v>136</v>
      </c>
      <c r="E342">
        <v>2025</v>
      </c>
      <c r="F342">
        <v>7</v>
      </c>
      <c r="G342">
        <v>18</v>
      </c>
      <c r="H342">
        <v>10616</v>
      </c>
      <c r="I342">
        <v>662</v>
      </c>
      <c r="J342">
        <v>0</v>
      </c>
      <c r="K342">
        <v>176.9</v>
      </c>
      <c r="L342">
        <v>11</v>
      </c>
      <c r="M342">
        <v>9.8000000000000007</v>
      </c>
      <c r="N342">
        <v>144</v>
      </c>
      <c r="O342" s="1" t="s">
        <v>280</v>
      </c>
    </row>
    <row r="343" spans="1:15">
      <c r="A343">
        <v>1217016</v>
      </c>
      <c r="B343" t="s">
        <v>339</v>
      </c>
      <c r="C343" t="s">
        <v>87</v>
      </c>
      <c r="D343" t="s">
        <v>136</v>
      </c>
      <c r="E343">
        <v>2025</v>
      </c>
      <c r="F343">
        <v>8</v>
      </c>
      <c r="G343">
        <v>16</v>
      </c>
      <c r="H343">
        <v>8823</v>
      </c>
      <c r="I343">
        <v>707</v>
      </c>
      <c r="J343">
        <v>0</v>
      </c>
      <c r="K343">
        <v>147</v>
      </c>
      <c r="L343">
        <v>11.8</v>
      </c>
      <c r="M343">
        <v>9.1999999999999993</v>
      </c>
      <c r="N343">
        <v>128</v>
      </c>
      <c r="O343">
        <v>19</v>
      </c>
    </row>
    <row r="344" spans="1:15">
      <c r="A344">
        <v>1217023</v>
      </c>
      <c r="B344" t="s">
        <v>341</v>
      </c>
      <c r="C344" t="s">
        <v>210</v>
      </c>
      <c r="D344" t="s">
        <v>136</v>
      </c>
      <c r="E344">
        <v>2025</v>
      </c>
      <c r="F344">
        <v>7</v>
      </c>
      <c r="G344">
        <v>4</v>
      </c>
      <c r="H344">
        <v>2055</v>
      </c>
      <c r="I344">
        <v>0</v>
      </c>
      <c r="J344">
        <v>0</v>
      </c>
      <c r="K344">
        <v>34.200000000000003</v>
      </c>
      <c r="L344">
        <v>0</v>
      </c>
      <c r="M344">
        <v>8.6</v>
      </c>
      <c r="N344">
        <v>32</v>
      </c>
      <c r="O344" s="1" t="s">
        <v>342</v>
      </c>
    </row>
    <row r="345" spans="1:15">
      <c r="A345">
        <v>1217029</v>
      </c>
      <c r="B345" t="s">
        <v>343</v>
      </c>
      <c r="C345" t="s">
        <v>16</v>
      </c>
      <c r="D345" t="s">
        <v>20</v>
      </c>
      <c r="E345">
        <v>2025</v>
      </c>
      <c r="F345">
        <v>6</v>
      </c>
      <c r="G345">
        <v>17</v>
      </c>
      <c r="H345">
        <v>9860</v>
      </c>
      <c r="I345">
        <v>0</v>
      </c>
      <c r="J345">
        <v>0</v>
      </c>
      <c r="K345">
        <v>164.3</v>
      </c>
      <c r="L345">
        <v>0</v>
      </c>
      <c r="M345">
        <v>9.6999999999999993</v>
      </c>
      <c r="N345">
        <v>136</v>
      </c>
      <c r="O345" s="1" t="s">
        <v>184</v>
      </c>
    </row>
    <row r="346" spans="1:15">
      <c r="A346">
        <v>1217029</v>
      </c>
      <c r="B346" t="s">
        <v>343</v>
      </c>
      <c r="C346" t="s">
        <v>16</v>
      </c>
      <c r="D346" t="s">
        <v>20</v>
      </c>
      <c r="E346">
        <v>2025</v>
      </c>
      <c r="F346">
        <v>7</v>
      </c>
      <c r="G346">
        <v>18</v>
      </c>
      <c r="H346">
        <v>10416</v>
      </c>
      <c r="I346">
        <v>0</v>
      </c>
      <c r="J346">
        <v>0</v>
      </c>
      <c r="K346">
        <v>173.6</v>
      </c>
      <c r="L346">
        <v>0</v>
      </c>
      <c r="M346">
        <v>9.6</v>
      </c>
      <c r="N346">
        <v>144</v>
      </c>
      <c r="O346" s="1" t="s">
        <v>146</v>
      </c>
    </row>
    <row r="347" spans="1:15">
      <c r="A347">
        <v>1217029</v>
      </c>
      <c r="B347" t="s">
        <v>343</v>
      </c>
      <c r="C347" t="s">
        <v>16</v>
      </c>
      <c r="D347" t="s">
        <v>20</v>
      </c>
      <c r="E347">
        <v>2025</v>
      </c>
      <c r="F347">
        <v>8</v>
      </c>
      <c r="G347">
        <v>14</v>
      </c>
      <c r="H347">
        <v>7740</v>
      </c>
      <c r="I347">
        <v>0</v>
      </c>
      <c r="J347">
        <v>0</v>
      </c>
      <c r="K347">
        <v>129</v>
      </c>
      <c r="L347">
        <v>0</v>
      </c>
      <c r="M347">
        <v>9.1999999999999993</v>
      </c>
      <c r="N347">
        <v>112</v>
      </c>
      <c r="O347">
        <v>17</v>
      </c>
    </row>
    <row r="348" spans="1:15">
      <c r="A348">
        <v>1217043</v>
      </c>
      <c r="B348" t="s">
        <v>344</v>
      </c>
      <c r="C348" t="s">
        <v>87</v>
      </c>
      <c r="D348" t="s">
        <v>136</v>
      </c>
      <c r="E348">
        <v>2025</v>
      </c>
      <c r="F348">
        <v>6</v>
      </c>
      <c r="G348">
        <v>18</v>
      </c>
      <c r="H348">
        <v>10508</v>
      </c>
      <c r="I348">
        <v>515</v>
      </c>
      <c r="J348">
        <v>0</v>
      </c>
      <c r="K348">
        <v>175.1</v>
      </c>
      <c r="L348">
        <v>8.6</v>
      </c>
      <c r="M348">
        <v>9.6999999999999993</v>
      </c>
      <c r="N348">
        <v>144</v>
      </c>
      <c r="O348" s="1" t="s">
        <v>345</v>
      </c>
    </row>
    <row r="349" spans="1:15">
      <c r="A349">
        <v>1217043</v>
      </c>
      <c r="B349" t="s">
        <v>344</v>
      </c>
      <c r="C349" t="s">
        <v>87</v>
      </c>
      <c r="D349" t="s">
        <v>136</v>
      </c>
      <c r="E349">
        <v>2025</v>
      </c>
      <c r="F349">
        <v>7</v>
      </c>
      <c r="G349">
        <v>19</v>
      </c>
      <c r="H349">
        <v>11107</v>
      </c>
      <c r="I349">
        <v>1305</v>
      </c>
      <c r="J349">
        <v>1</v>
      </c>
      <c r="K349">
        <v>185.1</v>
      </c>
      <c r="L349">
        <v>21.8</v>
      </c>
      <c r="M349">
        <v>9.6999999999999993</v>
      </c>
      <c r="N349">
        <v>144</v>
      </c>
      <c r="O349" s="1" t="s">
        <v>346</v>
      </c>
    </row>
    <row r="350" spans="1:15">
      <c r="A350">
        <v>1217043</v>
      </c>
      <c r="B350" t="s">
        <v>344</v>
      </c>
      <c r="C350" t="s">
        <v>87</v>
      </c>
      <c r="D350" t="s">
        <v>136</v>
      </c>
      <c r="E350">
        <v>2025</v>
      </c>
      <c r="F350">
        <v>8</v>
      </c>
      <c r="G350">
        <v>15</v>
      </c>
      <c r="H350">
        <v>7892</v>
      </c>
      <c r="I350">
        <v>304</v>
      </c>
      <c r="J350">
        <v>0</v>
      </c>
      <c r="K350">
        <v>131.5</v>
      </c>
      <c r="L350">
        <v>5.0999999999999996</v>
      </c>
      <c r="M350">
        <v>8.8000000000000007</v>
      </c>
      <c r="N350">
        <v>120</v>
      </c>
      <c r="O350">
        <v>11.5</v>
      </c>
    </row>
    <row r="351" spans="1:15">
      <c r="A351">
        <v>1217067</v>
      </c>
      <c r="B351" t="s">
        <v>347</v>
      </c>
      <c r="C351" t="s">
        <v>348</v>
      </c>
      <c r="D351" t="s">
        <v>194</v>
      </c>
      <c r="E351">
        <v>2025</v>
      </c>
      <c r="F351">
        <v>6</v>
      </c>
      <c r="G351">
        <v>16</v>
      </c>
      <c r="H351">
        <v>8238</v>
      </c>
      <c r="I351">
        <v>0</v>
      </c>
      <c r="J351">
        <v>0</v>
      </c>
      <c r="K351">
        <v>137.30000000000001</v>
      </c>
      <c r="L351">
        <v>0</v>
      </c>
      <c r="M351">
        <v>8.6</v>
      </c>
      <c r="N351">
        <v>128</v>
      </c>
      <c r="O351" s="1" t="s">
        <v>299</v>
      </c>
    </row>
    <row r="352" spans="1:15">
      <c r="A352">
        <v>1217067</v>
      </c>
      <c r="B352" t="s">
        <v>347</v>
      </c>
      <c r="C352" t="s">
        <v>348</v>
      </c>
      <c r="D352" t="s">
        <v>194</v>
      </c>
      <c r="E352">
        <v>2025</v>
      </c>
      <c r="F352">
        <v>7</v>
      </c>
      <c r="G352">
        <v>19</v>
      </c>
      <c r="H352">
        <v>10666</v>
      </c>
      <c r="I352">
        <v>158</v>
      </c>
      <c r="J352">
        <v>0</v>
      </c>
      <c r="K352">
        <v>177.8</v>
      </c>
      <c r="L352">
        <v>2.6</v>
      </c>
      <c r="M352">
        <v>9.4</v>
      </c>
      <c r="N352">
        <v>152</v>
      </c>
      <c r="O352" s="1" t="s">
        <v>104</v>
      </c>
    </row>
    <row r="353" spans="1:15">
      <c r="A353">
        <v>1217067</v>
      </c>
      <c r="B353" t="s">
        <v>347</v>
      </c>
      <c r="C353" t="s">
        <v>348</v>
      </c>
      <c r="D353" t="s">
        <v>194</v>
      </c>
      <c r="E353">
        <v>2025</v>
      </c>
      <c r="F353">
        <v>8</v>
      </c>
      <c r="G353">
        <v>16</v>
      </c>
      <c r="H353">
        <v>8285</v>
      </c>
      <c r="I353">
        <v>0</v>
      </c>
      <c r="J353">
        <v>0</v>
      </c>
      <c r="K353">
        <v>138.1</v>
      </c>
      <c r="L353">
        <v>0</v>
      </c>
      <c r="M353">
        <v>8.6</v>
      </c>
      <c r="N353">
        <v>128</v>
      </c>
      <c r="O353" s="1" t="s">
        <v>173</v>
      </c>
    </row>
    <row r="354" spans="1:15">
      <c r="A354">
        <v>1217068</v>
      </c>
      <c r="B354" t="s">
        <v>349</v>
      </c>
      <c r="C354" t="s">
        <v>210</v>
      </c>
      <c r="D354" t="s">
        <v>136</v>
      </c>
      <c r="E354">
        <v>2025</v>
      </c>
      <c r="F354">
        <v>6</v>
      </c>
      <c r="G354">
        <v>26</v>
      </c>
      <c r="H354">
        <v>28507</v>
      </c>
      <c r="I354">
        <v>3151</v>
      </c>
      <c r="J354">
        <v>5</v>
      </c>
      <c r="K354">
        <v>475.1</v>
      </c>
      <c r="L354">
        <v>52.5</v>
      </c>
      <c r="M354">
        <v>18.3</v>
      </c>
      <c r="N354">
        <v>168</v>
      </c>
      <c r="O354">
        <v>307.10000000000002</v>
      </c>
    </row>
    <row r="355" spans="1:15">
      <c r="A355">
        <v>1217068</v>
      </c>
      <c r="B355" t="s">
        <v>349</v>
      </c>
      <c r="C355" t="s">
        <v>210</v>
      </c>
      <c r="D355" t="s">
        <v>136</v>
      </c>
      <c r="E355">
        <v>2025</v>
      </c>
      <c r="F355">
        <v>7</v>
      </c>
      <c r="G355">
        <v>22</v>
      </c>
      <c r="H355">
        <v>19798</v>
      </c>
      <c r="I355">
        <v>2843</v>
      </c>
      <c r="J355">
        <v>3</v>
      </c>
      <c r="K355">
        <v>330</v>
      </c>
      <c r="L355">
        <v>47.4</v>
      </c>
      <c r="M355">
        <v>15</v>
      </c>
      <c r="N355">
        <v>152</v>
      </c>
      <c r="O355">
        <v>178</v>
      </c>
    </row>
    <row r="356" spans="1:15">
      <c r="A356">
        <v>1217068</v>
      </c>
      <c r="B356" t="s">
        <v>349</v>
      </c>
      <c r="C356" t="s">
        <v>210</v>
      </c>
      <c r="D356" t="s">
        <v>136</v>
      </c>
      <c r="E356">
        <v>2025</v>
      </c>
      <c r="F356">
        <v>8</v>
      </c>
      <c r="G356">
        <v>17</v>
      </c>
      <c r="H356">
        <v>11916</v>
      </c>
      <c r="I356">
        <v>1771</v>
      </c>
      <c r="J356">
        <v>0</v>
      </c>
      <c r="K356">
        <v>198.6</v>
      </c>
      <c r="L356">
        <v>29.5</v>
      </c>
      <c r="M356">
        <v>11.7</v>
      </c>
      <c r="N356">
        <v>136</v>
      </c>
      <c r="O356" s="1" t="s">
        <v>350</v>
      </c>
    </row>
    <row r="357" spans="1:15">
      <c r="A357">
        <v>1218006</v>
      </c>
      <c r="B357" t="s">
        <v>351</v>
      </c>
      <c r="C357" t="s">
        <v>210</v>
      </c>
      <c r="D357" t="s">
        <v>136</v>
      </c>
      <c r="E357">
        <v>2025</v>
      </c>
      <c r="F357">
        <v>6</v>
      </c>
      <c r="G357">
        <v>7</v>
      </c>
      <c r="H357">
        <v>2960</v>
      </c>
      <c r="I357">
        <v>0</v>
      </c>
      <c r="J357">
        <v>0</v>
      </c>
      <c r="K357">
        <v>49.3</v>
      </c>
      <c r="L357">
        <v>0</v>
      </c>
      <c r="M357">
        <v>7</v>
      </c>
      <c r="N357">
        <v>56</v>
      </c>
      <c r="O357">
        <v>-6.7</v>
      </c>
    </row>
    <row r="358" spans="1:15">
      <c r="A358">
        <v>1218006</v>
      </c>
      <c r="B358" t="s">
        <v>351</v>
      </c>
      <c r="C358" t="s">
        <v>210</v>
      </c>
      <c r="D358" t="s">
        <v>136</v>
      </c>
      <c r="E358">
        <v>2025</v>
      </c>
      <c r="F358">
        <v>7</v>
      </c>
      <c r="G358">
        <v>13</v>
      </c>
      <c r="H358">
        <v>6565</v>
      </c>
      <c r="I358">
        <v>0</v>
      </c>
      <c r="J358">
        <v>1</v>
      </c>
      <c r="K358">
        <v>109.4</v>
      </c>
      <c r="L358">
        <v>0</v>
      </c>
      <c r="M358">
        <v>8.4</v>
      </c>
      <c r="N358">
        <v>96</v>
      </c>
      <c r="O358" s="1" t="s">
        <v>352</v>
      </c>
    </row>
    <row r="359" spans="1:15">
      <c r="A359">
        <v>1218006</v>
      </c>
      <c r="B359" t="s">
        <v>351</v>
      </c>
      <c r="C359" t="s">
        <v>210</v>
      </c>
      <c r="D359" t="s">
        <v>136</v>
      </c>
      <c r="E359">
        <v>2025</v>
      </c>
      <c r="F359">
        <v>8</v>
      </c>
      <c r="G359">
        <v>11</v>
      </c>
      <c r="H359">
        <v>4715</v>
      </c>
      <c r="I359">
        <v>0</v>
      </c>
      <c r="J359">
        <v>0</v>
      </c>
      <c r="K359">
        <v>78.599999999999994</v>
      </c>
      <c r="L359">
        <v>0</v>
      </c>
      <c r="M359">
        <v>7.1</v>
      </c>
      <c r="N359">
        <v>88</v>
      </c>
      <c r="O359">
        <v>-9.4</v>
      </c>
    </row>
    <row r="360" spans="1:15">
      <c r="A360">
        <v>1218008</v>
      </c>
      <c r="B360" t="s">
        <v>353</v>
      </c>
      <c r="C360" t="s">
        <v>117</v>
      </c>
      <c r="D360" t="s">
        <v>20</v>
      </c>
      <c r="E360">
        <v>2025</v>
      </c>
      <c r="F360">
        <v>6</v>
      </c>
      <c r="G360">
        <v>17</v>
      </c>
      <c r="H360">
        <v>8427</v>
      </c>
      <c r="I360">
        <v>120</v>
      </c>
      <c r="J360">
        <v>0</v>
      </c>
      <c r="K360">
        <v>140.4</v>
      </c>
      <c r="L360">
        <v>2</v>
      </c>
      <c r="M360">
        <v>8.3000000000000007</v>
      </c>
      <c r="N360">
        <v>136</v>
      </c>
      <c r="O360" s="1" t="s">
        <v>354</v>
      </c>
    </row>
    <row r="361" spans="1:15">
      <c r="A361">
        <v>1218008</v>
      </c>
      <c r="B361" t="s">
        <v>353</v>
      </c>
      <c r="C361" t="s">
        <v>117</v>
      </c>
      <c r="D361" t="s">
        <v>20</v>
      </c>
      <c r="E361">
        <v>2025</v>
      </c>
      <c r="F361">
        <v>7</v>
      </c>
      <c r="G361">
        <v>16</v>
      </c>
      <c r="H361">
        <v>8913</v>
      </c>
      <c r="I361">
        <v>0</v>
      </c>
      <c r="J361">
        <v>0</v>
      </c>
      <c r="K361">
        <v>148.6</v>
      </c>
      <c r="L361">
        <v>0</v>
      </c>
      <c r="M361">
        <v>9.3000000000000007</v>
      </c>
      <c r="N361">
        <v>128</v>
      </c>
      <c r="O361" s="1" t="s">
        <v>171</v>
      </c>
    </row>
    <row r="362" spans="1:15">
      <c r="A362">
        <v>1218008</v>
      </c>
      <c r="B362" t="s">
        <v>353</v>
      </c>
      <c r="C362" t="s">
        <v>117</v>
      </c>
      <c r="D362" t="s">
        <v>20</v>
      </c>
      <c r="E362">
        <v>2025</v>
      </c>
      <c r="F362">
        <v>8</v>
      </c>
      <c r="G362">
        <v>16</v>
      </c>
      <c r="H362">
        <v>8049</v>
      </c>
      <c r="I362">
        <v>133</v>
      </c>
      <c r="J362">
        <v>0</v>
      </c>
      <c r="K362">
        <v>134.19999999999999</v>
      </c>
      <c r="L362">
        <v>2.2000000000000002</v>
      </c>
      <c r="M362">
        <v>8.4</v>
      </c>
      <c r="N362">
        <v>128</v>
      </c>
      <c r="O362" s="1" t="s">
        <v>355</v>
      </c>
    </row>
    <row r="363" spans="1:15">
      <c r="A363">
        <v>1219011</v>
      </c>
      <c r="B363" t="s">
        <v>356</v>
      </c>
      <c r="C363" t="s">
        <v>213</v>
      </c>
      <c r="D363" t="s">
        <v>136</v>
      </c>
      <c r="E363">
        <v>2025</v>
      </c>
      <c r="F363">
        <v>6</v>
      </c>
      <c r="G363">
        <v>18</v>
      </c>
      <c r="H363">
        <v>10762</v>
      </c>
      <c r="I363">
        <v>0</v>
      </c>
      <c r="J363">
        <v>0</v>
      </c>
      <c r="K363">
        <v>179.4</v>
      </c>
      <c r="L363">
        <v>0</v>
      </c>
      <c r="M363">
        <v>10</v>
      </c>
      <c r="N363">
        <v>144</v>
      </c>
      <c r="O363" s="1" t="s">
        <v>357</v>
      </c>
    </row>
    <row r="364" spans="1:15">
      <c r="A364">
        <v>1219011</v>
      </c>
      <c r="B364" t="s">
        <v>356</v>
      </c>
      <c r="C364" t="s">
        <v>213</v>
      </c>
      <c r="D364" t="s">
        <v>136</v>
      </c>
      <c r="E364">
        <v>2025</v>
      </c>
      <c r="F364">
        <v>7</v>
      </c>
      <c r="G364">
        <v>23</v>
      </c>
      <c r="H364">
        <v>14440</v>
      </c>
      <c r="I364">
        <v>0</v>
      </c>
      <c r="J364">
        <v>0</v>
      </c>
      <c r="K364">
        <v>240.7</v>
      </c>
      <c r="L364">
        <v>0</v>
      </c>
      <c r="M364">
        <v>10.5</v>
      </c>
      <c r="N364">
        <v>184</v>
      </c>
      <c r="O364" s="1" t="s">
        <v>358</v>
      </c>
    </row>
    <row r="365" spans="1:15">
      <c r="A365">
        <v>1219011</v>
      </c>
      <c r="B365" t="s">
        <v>356</v>
      </c>
      <c r="C365" t="s">
        <v>213</v>
      </c>
      <c r="D365" t="s">
        <v>136</v>
      </c>
      <c r="E365">
        <v>2025</v>
      </c>
      <c r="F365">
        <v>8</v>
      </c>
      <c r="G365">
        <v>16</v>
      </c>
      <c r="H365">
        <v>8211</v>
      </c>
      <c r="I365">
        <v>0</v>
      </c>
      <c r="J365">
        <v>0</v>
      </c>
      <c r="K365">
        <v>136.80000000000001</v>
      </c>
      <c r="L365">
        <v>0</v>
      </c>
      <c r="M365">
        <v>8.6</v>
      </c>
      <c r="N365">
        <v>128</v>
      </c>
      <c r="O365" s="1" t="s">
        <v>359</v>
      </c>
    </row>
    <row r="366" spans="1:15">
      <c r="A366">
        <v>1219013</v>
      </c>
      <c r="B366" t="s">
        <v>360</v>
      </c>
      <c r="C366" t="s">
        <v>49</v>
      </c>
      <c r="D366" t="s">
        <v>136</v>
      </c>
      <c r="E366">
        <v>2025</v>
      </c>
      <c r="F366">
        <v>6</v>
      </c>
      <c r="G366">
        <v>19</v>
      </c>
      <c r="H366">
        <v>9649</v>
      </c>
      <c r="I366">
        <v>360</v>
      </c>
      <c r="J366">
        <v>0</v>
      </c>
      <c r="K366">
        <v>160.80000000000001</v>
      </c>
      <c r="L366">
        <v>6</v>
      </c>
      <c r="M366">
        <v>8.5</v>
      </c>
      <c r="N366">
        <v>152</v>
      </c>
      <c r="O366" s="1" t="s">
        <v>359</v>
      </c>
    </row>
    <row r="367" spans="1:15">
      <c r="A367">
        <v>1219013</v>
      </c>
      <c r="B367" t="s">
        <v>360</v>
      </c>
      <c r="C367" t="s">
        <v>49</v>
      </c>
      <c r="D367" t="s">
        <v>136</v>
      </c>
      <c r="E367">
        <v>2025</v>
      </c>
      <c r="F367">
        <v>7</v>
      </c>
      <c r="G367">
        <v>16</v>
      </c>
      <c r="H367">
        <v>9119</v>
      </c>
      <c r="I367">
        <v>600</v>
      </c>
      <c r="J367">
        <v>0</v>
      </c>
      <c r="K367">
        <v>152</v>
      </c>
      <c r="L367">
        <v>10</v>
      </c>
      <c r="M367">
        <v>9.5</v>
      </c>
      <c r="N367">
        <v>128</v>
      </c>
      <c r="O367">
        <v>24</v>
      </c>
    </row>
    <row r="368" spans="1:15">
      <c r="A368">
        <v>1219013</v>
      </c>
      <c r="B368" t="s">
        <v>360</v>
      </c>
      <c r="C368" t="s">
        <v>49</v>
      </c>
      <c r="D368" t="s">
        <v>136</v>
      </c>
      <c r="E368">
        <v>2025</v>
      </c>
      <c r="F368">
        <v>8</v>
      </c>
      <c r="G368">
        <v>15</v>
      </c>
      <c r="H368">
        <v>6685</v>
      </c>
      <c r="I368">
        <v>240</v>
      </c>
      <c r="J368">
        <v>0</v>
      </c>
      <c r="K368">
        <v>111.4</v>
      </c>
      <c r="L368">
        <v>4</v>
      </c>
      <c r="M368">
        <v>7.4</v>
      </c>
      <c r="N368">
        <v>120</v>
      </c>
      <c r="O368">
        <v>-8.6</v>
      </c>
    </row>
    <row r="369" spans="1:15">
      <c r="A369">
        <v>1219014</v>
      </c>
      <c r="B369" t="s">
        <v>361</v>
      </c>
      <c r="C369" t="s">
        <v>49</v>
      </c>
      <c r="D369" t="s">
        <v>136</v>
      </c>
      <c r="E369">
        <v>2025</v>
      </c>
      <c r="F369">
        <v>6</v>
      </c>
      <c r="G369">
        <v>18</v>
      </c>
      <c r="H369">
        <v>9405</v>
      </c>
      <c r="I369">
        <v>216</v>
      </c>
      <c r="J369">
        <v>0</v>
      </c>
      <c r="K369">
        <v>156.80000000000001</v>
      </c>
      <c r="L369">
        <v>3.6</v>
      </c>
      <c r="M369">
        <v>8.6999999999999993</v>
      </c>
      <c r="N369">
        <v>144</v>
      </c>
      <c r="O369" s="1" t="s">
        <v>362</v>
      </c>
    </row>
    <row r="370" spans="1:15">
      <c r="A370">
        <v>1219014</v>
      </c>
      <c r="B370" t="s">
        <v>361</v>
      </c>
      <c r="C370" t="s">
        <v>49</v>
      </c>
      <c r="D370" t="s">
        <v>136</v>
      </c>
      <c r="E370">
        <v>2025</v>
      </c>
      <c r="F370">
        <v>7</v>
      </c>
      <c r="G370">
        <v>19</v>
      </c>
      <c r="H370">
        <v>10613</v>
      </c>
      <c r="I370">
        <v>930</v>
      </c>
      <c r="J370">
        <v>1</v>
      </c>
      <c r="K370">
        <v>176.9</v>
      </c>
      <c r="L370">
        <v>15.5</v>
      </c>
      <c r="M370">
        <v>9.3000000000000007</v>
      </c>
      <c r="N370">
        <v>144</v>
      </c>
      <c r="O370" s="1" t="s">
        <v>280</v>
      </c>
    </row>
    <row r="371" spans="1:15">
      <c r="A371">
        <v>1219014</v>
      </c>
      <c r="B371" t="s">
        <v>361</v>
      </c>
      <c r="C371" t="s">
        <v>49</v>
      </c>
      <c r="D371" t="s">
        <v>136</v>
      </c>
      <c r="E371">
        <v>2025</v>
      </c>
      <c r="F371">
        <v>8</v>
      </c>
      <c r="G371">
        <v>16</v>
      </c>
      <c r="H371">
        <v>8117</v>
      </c>
      <c r="I371">
        <v>29</v>
      </c>
      <c r="J371">
        <v>0</v>
      </c>
      <c r="K371">
        <v>135.30000000000001</v>
      </c>
      <c r="L371">
        <v>0.5</v>
      </c>
      <c r="M371">
        <v>8.5</v>
      </c>
      <c r="N371">
        <v>128</v>
      </c>
      <c r="O371" s="1" t="s">
        <v>363</v>
      </c>
    </row>
    <row r="372" spans="1:15">
      <c r="A372">
        <v>1219016</v>
      </c>
      <c r="B372" t="s">
        <v>364</v>
      </c>
      <c r="C372" t="s">
        <v>182</v>
      </c>
      <c r="D372" t="s">
        <v>136</v>
      </c>
      <c r="E372">
        <v>2025</v>
      </c>
      <c r="F372">
        <v>6</v>
      </c>
      <c r="G372">
        <v>19</v>
      </c>
      <c r="H372">
        <v>11466</v>
      </c>
      <c r="I372">
        <v>650</v>
      </c>
      <c r="J372">
        <v>0</v>
      </c>
      <c r="K372">
        <v>191.1</v>
      </c>
      <c r="L372">
        <v>10.8</v>
      </c>
      <c r="M372">
        <v>10.1</v>
      </c>
      <c r="N372">
        <v>152</v>
      </c>
      <c r="O372" s="1" t="s">
        <v>287</v>
      </c>
    </row>
    <row r="373" spans="1:15">
      <c r="A373">
        <v>1219016</v>
      </c>
      <c r="B373" t="s">
        <v>364</v>
      </c>
      <c r="C373" t="s">
        <v>182</v>
      </c>
      <c r="D373" t="s">
        <v>136</v>
      </c>
      <c r="E373">
        <v>2025</v>
      </c>
      <c r="F373">
        <v>7</v>
      </c>
      <c r="G373">
        <v>21</v>
      </c>
      <c r="H373">
        <v>11322</v>
      </c>
      <c r="I373">
        <v>751</v>
      </c>
      <c r="J373">
        <v>3</v>
      </c>
      <c r="K373">
        <v>188.7</v>
      </c>
      <c r="L373">
        <v>12.5</v>
      </c>
      <c r="M373">
        <v>9</v>
      </c>
      <c r="N373">
        <v>144</v>
      </c>
      <c r="O373" s="1" t="s">
        <v>365</v>
      </c>
    </row>
    <row r="374" spans="1:15">
      <c r="A374">
        <v>1219016</v>
      </c>
      <c r="B374" t="s">
        <v>364</v>
      </c>
      <c r="C374" t="s">
        <v>182</v>
      </c>
      <c r="D374" t="s">
        <v>136</v>
      </c>
      <c r="E374">
        <v>2025</v>
      </c>
      <c r="F374">
        <v>8</v>
      </c>
      <c r="G374">
        <v>15</v>
      </c>
      <c r="H374">
        <v>8843</v>
      </c>
      <c r="I374">
        <v>801</v>
      </c>
      <c r="J374">
        <v>0</v>
      </c>
      <c r="K374">
        <v>147.4</v>
      </c>
      <c r="L374">
        <v>13.4</v>
      </c>
      <c r="M374">
        <v>9.8000000000000007</v>
      </c>
      <c r="N374">
        <v>120</v>
      </c>
      <c r="O374" s="1" t="s">
        <v>366</v>
      </c>
    </row>
    <row r="375" spans="1:15">
      <c r="A375">
        <v>1220016</v>
      </c>
      <c r="B375" t="s">
        <v>367</v>
      </c>
      <c r="C375" t="s">
        <v>213</v>
      </c>
      <c r="D375" t="s">
        <v>20</v>
      </c>
      <c r="E375">
        <v>2025</v>
      </c>
      <c r="F375">
        <v>6</v>
      </c>
      <c r="G375">
        <v>20</v>
      </c>
      <c r="H375">
        <v>13698</v>
      </c>
      <c r="I375">
        <v>0</v>
      </c>
      <c r="J375">
        <v>1</v>
      </c>
      <c r="K375">
        <v>228.3</v>
      </c>
      <c r="L375">
        <v>0</v>
      </c>
      <c r="M375">
        <v>11.4</v>
      </c>
      <c r="N375">
        <v>152</v>
      </c>
      <c r="O375" s="1" t="s">
        <v>368</v>
      </c>
    </row>
    <row r="376" spans="1:15">
      <c r="A376">
        <v>1220016</v>
      </c>
      <c r="B376" t="s">
        <v>367</v>
      </c>
      <c r="C376" t="s">
        <v>213</v>
      </c>
      <c r="D376" t="s">
        <v>20</v>
      </c>
      <c r="E376">
        <v>2025</v>
      </c>
      <c r="F376">
        <v>7</v>
      </c>
      <c r="G376">
        <v>23</v>
      </c>
      <c r="H376">
        <v>14210</v>
      </c>
      <c r="I376">
        <v>0</v>
      </c>
      <c r="J376">
        <v>0</v>
      </c>
      <c r="K376">
        <v>236.8</v>
      </c>
      <c r="L376">
        <v>0</v>
      </c>
      <c r="M376">
        <v>10.3</v>
      </c>
      <c r="N376">
        <v>184</v>
      </c>
      <c r="O376" s="1" t="s">
        <v>369</v>
      </c>
    </row>
    <row r="377" spans="1:15">
      <c r="A377">
        <v>1220016</v>
      </c>
      <c r="B377" t="s">
        <v>367</v>
      </c>
      <c r="C377" t="s">
        <v>213</v>
      </c>
      <c r="D377" t="s">
        <v>20</v>
      </c>
      <c r="E377">
        <v>2025</v>
      </c>
      <c r="F377">
        <v>8</v>
      </c>
      <c r="G377">
        <v>20</v>
      </c>
      <c r="H377">
        <v>10868</v>
      </c>
      <c r="I377">
        <v>0</v>
      </c>
      <c r="J377">
        <v>3</v>
      </c>
      <c r="K377">
        <v>181.1</v>
      </c>
      <c r="L377">
        <v>0</v>
      </c>
      <c r="M377">
        <v>9.1</v>
      </c>
      <c r="N377">
        <v>136</v>
      </c>
      <c r="O377" s="1" t="s">
        <v>191</v>
      </c>
    </row>
    <row r="378" spans="1:15">
      <c r="A378">
        <v>1221026</v>
      </c>
      <c r="B378" t="s">
        <v>370</v>
      </c>
      <c r="C378" t="s">
        <v>328</v>
      </c>
      <c r="D378" t="s">
        <v>194</v>
      </c>
      <c r="E378">
        <v>2025</v>
      </c>
      <c r="F378">
        <v>6</v>
      </c>
      <c r="G378">
        <v>17</v>
      </c>
      <c r="H378">
        <v>9710</v>
      </c>
      <c r="I378">
        <v>0</v>
      </c>
      <c r="J378">
        <v>0</v>
      </c>
      <c r="K378">
        <v>161.80000000000001</v>
      </c>
      <c r="L378">
        <v>0</v>
      </c>
      <c r="M378">
        <v>9.5</v>
      </c>
      <c r="N378">
        <v>136</v>
      </c>
      <c r="O378" s="1" t="s">
        <v>104</v>
      </c>
    </row>
    <row r="379" spans="1:15">
      <c r="A379">
        <v>1221026</v>
      </c>
      <c r="B379" t="s">
        <v>370</v>
      </c>
      <c r="C379" t="s">
        <v>328</v>
      </c>
      <c r="D379" t="s">
        <v>194</v>
      </c>
      <c r="E379">
        <v>2025</v>
      </c>
      <c r="F379">
        <v>7</v>
      </c>
      <c r="G379">
        <v>19</v>
      </c>
      <c r="H379">
        <v>10595</v>
      </c>
      <c r="I379">
        <v>0</v>
      </c>
      <c r="J379">
        <v>0</v>
      </c>
      <c r="K379">
        <v>176.6</v>
      </c>
      <c r="L379">
        <v>0</v>
      </c>
      <c r="M379">
        <v>9.3000000000000007</v>
      </c>
      <c r="N379">
        <v>152</v>
      </c>
      <c r="O379" s="1" t="s">
        <v>371</v>
      </c>
    </row>
    <row r="380" spans="1:15">
      <c r="A380">
        <v>1221026</v>
      </c>
      <c r="B380" t="s">
        <v>370</v>
      </c>
      <c r="C380" t="s">
        <v>328</v>
      </c>
      <c r="D380" t="s">
        <v>194</v>
      </c>
      <c r="E380">
        <v>2025</v>
      </c>
      <c r="F380">
        <v>8</v>
      </c>
      <c r="G380">
        <v>16</v>
      </c>
      <c r="H380">
        <v>8756</v>
      </c>
      <c r="I380">
        <v>0</v>
      </c>
      <c r="J380">
        <v>0</v>
      </c>
      <c r="K380">
        <v>145.9</v>
      </c>
      <c r="L380">
        <v>0</v>
      </c>
      <c r="M380">
        <v>9.1</v>
      </c>
      <c r="N380">
        <v>128</v>
      </c>
      <c r="O380" s="1" t="s">
        <v>155</v>
      </c>
    </row>
    <row r="381" spans="1:15">
      <c r="A381">
        <v>1221034</v>
      </c>
      <c r="B381" t="s">
        <v>372</v>
      </c>
      <c r="C381" t="s">
        <v>39</v>
      </c>
      <c r="D381" t="s">
        <v>136</v>
      </c>
      <c r="E381">
        <v>2025</v>
      </c>
      <c r="F381">
        <v>6</v>
      </c>
      <c r="G381">
        <v>17</v>
      </c>
      <c r="H381">
        <v>9501</v>
      </c>
      <c r="I381">
        <v>351</v>
      </c>
      <c r="J381">
        <v>0</v>
      </c>
      <c r="K381">
        <v>158.4</v>
      </c>
      <c r="L381">
        <v>5.8</v>
      </c>
      <c r="M381">
        <v>9.3000000000000007</v>
      </c>
      <c r="N381">
        <v>136</v>
      </c>
      <c r="O381" s="1" t="s">
        <v>373</v>
      </c>
    </row>
    <row r="382" spans="1:15">
      <c r="A382">
        <v>1221034</v>
      </c>
      <c r="B382" t="s">
        <v>372</v>
      </c>
      <c r="C382" t="s">
        <v>39</v>
      </c>
      <c r="D382" t="s">
        <v>136</v>
      </c>
      <c r="E382">
        <v>2025</v>
      </c>
      <c r="F382">
        <v>7</v>
      </c>
      <c r="G382">
        <v>16</v>
      </c>
      <c r="H382">
        <v>9076</v>
      </c>
      <c r="I382">
        <v>147</v>
      </c>
      <c r="J382">
        <v>0</v>
      </c>
      <c r="K382">
        <v>151.30000000000001</v>
      </c>
      <c r="L382">
        <v>2.4</v>
      </c>
      <c r="M382">
        <v>9.5</v>
      </c>
      <c r="N382">
        <v>128</v>
      </c>
      <c r="O382" s="1" t="s">
        <v>374</v>
      </c>
    </row>
    <row r="383" spans="1:15">
      <c r="A383">
        <v>1221034</v>
      </c>
      <c r="B383" t="s">
        <v>372</v>
      </c>
      <c r="C383" t="s">
        <v>39</v>
      </c>
      <c r="D383" t="s">
        <v>136</v>
      </c>
      <c r="E383">
        <v>2025</v>
      </c>
      <c r="F383">
        <v>8</v>
      </c>
      <c r="G383">
        <v>14</v>
      </c>
      <c r="H383">
        <v>7447</v>
      </c>
      <c r="I383">
        <v>256</v>
      </c>
      <c r="J383">
        <v>0</v>
      </c>
      <c r="K383">
        <v>124.1</v>
      </c>
      <c r="L383">
        <v>4.3</v>
      </c>
      <c r="M383">
        <v>8.9</v>
      </c>
      <c r="N383">
        <v>112</v>
      </c>
      <c r="O383" s="1" t="s">
        <v>375</v>
      </c>
    </row>
    <row r="384" spans="1:15">
      <c r="A384">
        <v>1221050</v>
      </c>
      <c r="B384" t="s">
        <v>376</v>
      </c>
      <c r="C384" t="s">
        <v>44</v>
      </c>
      <c r="D384" t="s">
        <v>136</v>
      </c>
      <c r="E384">
        <v>2025</v>
      </c>
      <c r="F384">
        <v>6</v>
      </c>
      <c r="G384">
        <v>13</v>
      </c>
      <c r="H384">
        <v>7136</v>
      </c>
      <c r="I384">
        <v>697</v>
      </c>
      <c r="J384">
        <v>0</v>
      </c>
      <c r="K384">
        <v>118.9</v>
      </c>
      <c r="L384">
        <v>11.6</v>
      </c>
      <c r="M384">
        <v>9.1</v>
      </c>
      <c r="N384">
        <v>104</v>
      </c>
      <c r="O384" s="1" t="s">
        <v>377</v>
      </c>
    </row>
    <row r="385" spans="1:15">
      <c r="A385">
        <v>1221050</v>
      </c>
      <c r="B385" t="s">
        <v>376</v>
      </c>
      <c r="C385" t="s">
        <v>44</v>
      </c>
      <c r="D385" t="s">
        <v>136</v>
      </c>
      <c r="E385">
        <v>2025</v>
      </c>
      <c r="F385">
        <v>7</v>
      </c>
      <c r="G385">
        <v>15</v>
      </c>
      <c r="H385">
        <v>10458</v>
      </c>
      <c r="I385">
        <v>1562</v>
      </c>
      <c r="J385">
        <v>2</v>
      </c>
      <c r="K385">
        <v>174.3</v>
      </c>
      <c r="L385">
        <v>26</v>
      </c>
      <c r="M385">
        <v>11.6</v>
      </c>
      <c r="N385">
        <v>104</v>
      </c>
      <c r="O385" s="1" t="s">
        <v>137</v>
      </c>
    </row>
    <row r="386" spans="1:15">
      <c r="A386">
        <v>1221050</v>
      </c>
      <c r="B386" t="s">
        <v>376</v>
      </c>
      <c r="C386" t="s">
        <v>44</v>
      </c>
      <c r="D386" t="s">
        <v>136</v>
      </c>
      <c r="E386">
        <v>2025</v>
      </c>
      <c r="F386">
        <v>8</v>
      </c>
      <c r="G386">
        <v>15</v>
      </c>
      <c r="H386">
        <v>9216</v>
      </c>
      <c r="I386">
        <v>1088</v>
      </c>
      <c r="J386">
        <v>0</v>
      </c>
      <c r="K386">
        <v>153.6</v>
      </c>
      <c r="L386">
        <v>18.100000000000001</v>
      </c>
      <c r="M386">
        <v>10.199999999999999</v>
      </c>
      <c r="N386">
        <v>120</v>
      </c>
      <c r="O386" s="1" t="s">
        <v>330</v>
      </c>
    </row>
    <row r="387" spans="1:15">
      <c r="A387">
        <v>1222008</v>
      </c>
      <c r="B387" t="s">
        <v>378</v>
      </c>
      <c r="C387" t="s">
        <v>328</v>
      </c>
      <c r="D387" t="s">
        <v>20</v>
      </c>
      <c r="E387">
        <v>2025</v>
      </c>
      <c r="F387">
        <v>6</v>
      </c>
      <c r="G387">
        <v>14</v>
      </c>
      <c r="H387">
        <v>8143</v>
      </c>
      <c r="I387">
        <v>0</v>
      </c>
      <c r="J387">
        <v>0</v>
      </c>
      <c r="K387">
        <v>135.69999999999999</v>
      </c>
      <c r="L387">
        <v>0</v>
      </c>
      <c r="M387">
        <v>9.6999999999999993</v>
      </c>
      <c r="N387">
        <v>112</v>
      </c>
      <c r="O387" s="1" t="s">
        <v>379</v>
      </c>
    </row>
    <row r="388" spans="1:15">
      <c r="A388">
        <v>1222008</v>
      </c>
      <c r="B388" t="s">
        <v>378</v>
      </c>
      <c r="C388" t="s">
        <v>328</v>
      </c>
      <c r="D388" t="s">
        <v>20</v>
      </c>
      <c r="E388">
        <v>2025</v>
      </c>
      <c r="F388">
        <v>7</v>
      </c>
      <c r="G388">
        <v>19</v>
      </c>
      <c r="H388">
        <v>10980</v>
      </c>
      <c r="I388">
        <v>0</v>
      </c>
      <c r="J388">
        <v>0</v>
      </c>
      <c r="K388">
        <v>183</v>
      </c>
      <c r="L388">
        <v>0</v>
      </c>
      <c r="M388">
        <v>9.6</v>
      </c>
      <c r="N388">
        <v>152</v>
      </c>
      <c r="O388">
        <v>31</v>
      </c>
    </row>
    <row r="389" spans="1:15">
      <c r="A389">
        <v>1222008</v>
      </c>
      <c r="B389" t="s">
        <v>378</v>
      </c>
      <c r="C389" t="s">
        <v>328</v>
      </c>
      <c r="D389" t="s">
        <v>20</v>
      </c>
      <c r="E389">
        <v>2025</v>
      </c>
      <c r="F389">
        <v>8</v>
      </c>
      <c r="G389">
        <v>14</v>
      </c>
      <c r="H389">
        <v>7797</v>
      </c>
      <c r="I389">
        <v>0</v>
      </c>
      <c r="J389">
        <v>0</v>
      </c>
      <c r="K389">
        <v>130</v>
      </c>
      <c r="L389">
        <v>0</v>
      </c>
      <c r="M389">
        <v>9.3000000000000007</v>
      </c>
      <c r="N389">
        <v>112</v>
      </c>
      <c r="O389">
        <v>18</v>
      </c>
    </row>
    <row r="390" spans="1:15">
      <c r="A390">
        <v>1222011</v>
      </c>
      <c r="B390" t="s">
        <v>380</v>
      </c>
      <c r="C390" t="s">
        <v>308</v>
      </c>
      <c r="D390" t="s">
        <v>136</v>
      </c>
      <c r="E390">
        <v>2025</v>
      </c>
      <c r="F390">
        <v>6</v>
      </c>
      <c r="G390">
        <v>21</v>
      </c>
      <c r="H390">
        <v>17936</v>
      </c>
      <c r="I390">
        <v>0</v>
      </c>
      <c r="J390">
        <v>2</v>
      </c>
      <c r="K390">
        <v>298.89999999999998</v>
      </c>
      <c r="L390">
        <v>0</v>
      </c>
      <c r="M390">
        <v>14.2</v>
      </c>
      <c r="N390">
        <v>152</v>
      </c>
      <c r="O390" s="1" t="s">
        <v>381</v>
      </c>
    </row>
    <row r="391" spans="1:15">
      <c r="A391">
        <v>1222011</v>
      </c>
      <c r="B391" t="s">
        <v>380</v>
      </c>
      <c r="C391" t="s">
        <v>308</v>
      </c>
      <c r="D391" t="s">
        <v>136</v>
      </c>
      <c r="E391">
        <v>2025</v>
      </c>
      <c r="F391">
        <v>7</v>
      </c>
      <c r="G391">
        <v>16</v>
      </c>
      <c r="H391">
        <v>8399</v>
      </c>
      <c r="I391">
        <v>0</v>
      </c>
      <c r="J391">
        <v>0</v>
      </c>
      <c r="K391">
        <v>140</v>
      </c>
      <c r="L391">
        <v>0</v>
      </c>
      <c r="M391">
        <v>8.8000000000000007</v>
      </c>
      <c r="N391">
        <v>128</v>
      </c>
      <c r="O391">
        <v>12</v>
      </c>
    </row>
    <row r="392" spans="1:15">
      <c r="A392">
        <v>1222011</v>
      </c>
      <c r="B392" t="s">
        <v>380</v>
      </c>
      <c r="C392" t="s">
        <v>308</v>
      </c>
      <c r="D392" t="s">
        <v>136</v>
      </c>
      <c r="E392">
        <v>2025</v>
      </c>
      <c r="F392">
        <v>8</v>
      </c>
      <c r="G392">
        <v>14</v>
      </c>
      <c r="H392">
        <v>7541</v>
      </c>
      <c r="I392">
        <v>0</v>
      </c>
      <c r="J392">
        <v>0</v>
      </c>
      <c r="K392">
        <v>125.7</v>
      </c>
      <c r="L392">
        <v>0</v>
      </c>
      <c r="M392">
        <v>9</v>
      </c>
      <c r="N392">
        <v>112</v>
      </c>
      <c r="O392" s="1" t="s">
        <v>382</v>
      </c>
    </row>
    <row r="393" spans="1:15">
      <c r="A393">
        <v>1222012</v>
      </c>
      <c r="B393" t="s">
        <v>383</v>
      </c>
      <c r="C393" t="s">
        <v>22</v>
      </c>
      <c r="D393" t="s">
        <v>194</v>
      </c>
      <c r="E393">
        <v>2025</v>
      </c>
      <c r="F393">
        <v>6</v>
      </c>
      <c r="G393">
        <v>19</v>
      </c>
      <c r="H393">
        <v>11099</v>
      </c>
      <c r="I393">
        <v>0</v>
      </c>
      <c r="J393">
        <v>0</v>
      </c>
      <c r="K393">
        <v>185</v>
      </c>
      <c r="L393">
        <v>0</v>
      </c>
      <c r="M393">
        <v>9.6999999999999993</v>
      </c>
      <c r="N393">
        <v>152</v>
      </c>
      <c r="O393">
        <v>33</v>
      </c>
    </row>
    <row r="394" spans="1:15">
      <c r="A394">
        <v>1222012</v>
      </c>
      <c r="B394" t="s">
        <v>383</v>
      </c>
      <c r="C394" t="s">
        <v>22</v>
      </c>
      <c r="D394" t="s">
        <v>194</v>
      </c>
      <c r="E394">
        <v>2025</v>
      </c>
      <c r="F394">
        <v>7</v>
      </c>
      <c r="G394">
        <v>20</v>
      </c>
      <c r="H394">
        <v>10646</v>
      </c>
      <c r="I394">
        <v>0</v>
      </c>
      <c r="J394">
        <v>0</v>
      </c>
      <c r="K394">
        <v>177.4</v>
      </c>
      <c r="L394">
        <v>0</v>
      </c>
      <c r="M394">
        <v>8.9</v>
      </c>
      <c r="N394">
        <v>160</v>
      </c>
      <c r="O394" s="1" t="s">
        <v>105</v>
      </c>
    </row>
    <row r="395" spans="1:15">
      <c r="A395">
        <v>1222012</v>
      </c>
      <c r="B395" t="s">
        <v>383</v>
      </c>
      <c r="C395" t="s">
        <v>22</v>
      </c>
      <c r="D395" t="s">
        <v>194</v>
      </c>
      <c r="E395">
        <v>2025</v>
      </c>
      <c r="F395">
        <v>8</v>
      </c>
      <c r="G395">
        <v>16</v>
      </c>
      <c r="H395">
        <v>8807</v>
      </c>
      <c r="I395">
        <v>0</v>
      </c>
      <c r="J395">
        <v>0</v>
      </c>
      <c r="K395">
        <v>146.80000000000001</v>
      </c>
      <c r="L395">
        <v>0</v>
      </c>
      <c r="M395">
        <v>9.1999999999999993</v>
      </c>
      <c r="N395">
        <v>128</v>
      </c>
      <c r="O395" s="1" t="s">
        <v>81</v>
      </c>
    </row>
    <row r="396" spans="1:15">
      <c r="A396">
        <v>1222019</v>
      </c>
      <c r="B396" t="s">
        <v>384</v>
      </c>
      <c r="C396" t="s">
        <v>308</v>
      </c>
      <c r="D396" t="s">
        <v>194</v>
      </c>
      <c r="E396">
        <v>2025</v>
      </c>
      <c r="F396">
        <v>6</v>
      </c>
      <c r="G396">
        <v>10</v>
      </c>
      <c r="H396">
        <v>5257</v>
      </c>
      <c r="I396">
        <v>0</v>
      </c>
      <c r="J396">
        <v>0</v>
      </c>
      <c r="K396">
        <v>87.6</v>
      </c>
      <c r="L396">
        <v>0</v>
      </c>
      <c r="M396">
        <v>8.8000000000000007</v>
      </c>
      <c r="N396">
        <v>80</v>
      </c>
      <c r="O396" s="1" t="s">
        <v>385</v>
      </c>
    </row>
    <row r="397" spans="1:15">
      <c r="A397">
        <v>1222019</v>
      </c>
      <c r="B397" t="s">
        <v>384</v>
      </c>
      <c r="C397" t="s">
        <v>308</v>
      </c>
      <c r="D397" t="s">
        <v>194</v>
      </c>
      <c r="E397">
        <v>2025</v>
      </c>
      <c r="F397">
        <v>7</v>
      </c>
      <c r="G397">
        <v>20</v>
      </c>
      <c r="H397">
        <v>9989</v>
      </c>
      <c r="I397">
        <v>0</v>
      </c>
      <c r="J397">
        <v>0</v>
      </c>
      <c r="K397">
        <v>166.5</v>
      </c>
      <c r="L397">
        <v>0</v>
      </c>
      <c r="M397">
        <v>8.3000000000000007</v>
      </c>
      <c r="N397">
        <v>160</v>
      </c>
      <c r="O397">
        <v>6.5</v>
      </c>
    </row>
    <row r="398" spans="1:15">
      <c r="A398">
        <v>1222019</v>
      </c>
      <c r="B398" t="s">
        <v>384</v>
      </c>
      <c r="C398" t="s">
        <v>308</v>
      </c>
      <c r="D398" t="s">
        <v>194</v>
      </c>
      <c r="E398">
        <v>2025</v>
      </c>
      <c r="F398">
        <v>8</v>
      </c>
      <c r="G398">
        <v>14</v>
      </c>
      <c r="H398">
        <v>7912</v>
      </c>
      <c r="I398">
        <v>0</v>
      </c>
      <c r="J398">
        <v>0</v>
      </c>
      <c r="K398">
        <v>131.9</v>
      </c>
      <c r="L398">
        <v>0</v>
      </c>
      <c r="M398">
        <v>9.4</v>
      </c>
      <c r="N398">
        <v>112</v>
      </c>
      <c r="O398" s="1" t="s">
        <v>119</v>
      </c>
    </row>
    <row r="399" spans="1:15">
      <c r="A399">
        <v>1222021</v>
      </c>
      <c r="B399" t="s">
        <v>386</v>
      </c>
      <c r="C399" t="s">
        <v>308</v>
      </c>
      <c r="D399" t="s">
        <v>136</v>
      </c>
      <c r="E399">
        <v>2025</v>
      </c>
      <c r="F399">
        <v>6</v>
      </c>
      <c r="G399">
        <v>21</v>
      </c>
      <c r="H399">
        <v>16363</v>
      </c>
      <c r="I399">
        <v>0</v>
      </c>
      <c r="J399">
        <v>1</v>
      </c>
      <c r="K399">
        <v>272.7</v>
      </c>
      <c r="L399">
        <v>0</v>
      </c>
      <c r="M399">
        <v>13</v>
      </c>
      <c r="N399">
        <v>160</v>
      </c>
      <c r="O399" s="1" t="s">
        <v>387</v>
      </c>
    </row>
    <row r="400" spans="1:15">
      <c r="A400">
        <v>1222021</v>
      </c>
      <c r="B400" t="s">
        <v>386</v>
      </c>
      <c r="C400" t="s">
        <v>308</v>
      </c>
      <c r="D400" t="s">
        <v>136</v>
      </c>
      <c r="E400">
        <v>2025</v>
      </c>
      <c r="F400">
        <v>7</v>
      </c>
      <c r="G400">
        <v>20</v>
      </c>
      <c r="H400">
        <v>13663</v>
      </c>
      <c r="I400">
        <v>0</v>
      </c>
      <c r="J400">
        <v>2</v>
      </c>
      <c r="K400">
        <v>227.7</v>
      </c>
      <c r="L400">
        <v>0</v>
      </c>
      <c r="M400">
        <v>11.4</v>
      </c>
      <c r="N400">
        <v>144</v>
      </c>
      <c r="O400" s="1" t="s">
        <v>388</v>
      </c>
    </row>
    <row r="401" spans="1:15">
      <c r="A401">
        <v>1222021</v>
      </c>
      <c r="B401" t="s">
        <v>386</v>
      </c>
      <c r="C401" t="s">
        <v>308</v>
      </c>
      <c r="D401" t="s">
        <v>136</v>
      </c>
      <c r="E401">
        <v>2025</v>
      </c>
      <c r="F401">
        <v>8</v>
      </c>
      <c r="G401">
        <v>17</v>
      </c>
      <c r="H401">
        <v>9736</v>
      </c>
      <c r="I401">
        <v>0</v>
      </c>
      <c r="J401">
        <v>1</v>
      </c>
      <c r="K401">
        <v>162.30000000000001</v>
      </c>
      <c r="L401">
        <v>0</v>
      </c>
      <c r="M401">
        <v>9.5</v>
      </c>
      <c r="N401">
        <v>128</v>
      </c>
      <c r="O401" s="1" t="s">
        <v>389</v>
      </c>
    </row>
    <row r="402" spans="1:15">
      <c r="A402">
        <v>1222025</v>
      </c>
      <c r="B402" t="s">
        <v>390</v>
      </c>
      <c r="C402" t="s">
        <v>218</v>
      </c>
      <c r="D402" t="s">
        <v>136</v>
      </c>
      <c r="E402">
        <v>2025</v>
      </c>
      <c r="F402">
        <v>6</v>
      </c>
      <c r="G402">
        <v>19</v>
      </c>
      <c r="H402">
        <v>10715</v>
      </c>
      <c r="I402">
        <v>442</v>
      </c>
      <c r="J402">
        <v>0</v>
      </c>
      <c r="K402">
        <v>178.6</v>
      </c>
      <c r="L402">
        <v>7.4</v>
      </c>
      <c r="M402">
        <v>9.4</v>
      </c>
      <c r="N402">
        <v>152</v>
      </c>
      <c r="O402" s="1" t="s">
        <v>391</v>
      </c>
    </row>
    <row r="403" spans="1:15">
      <c r="A403">
        <v>1222025</v>
      </c>
      <c r="B403" t="s">
        <v>390</v>
      </c>
      <c r="C403" t="s">
        <v>218</v>
      </c>
      <c r="D403" t="s">
        <v>136</v>
      </c>
      <c r="E403">
        <v>2025</v>
      </c>
      <c r="F403">
        <v>7</v>
      </c>
      <c r="G403">
        <v>18</v>
      </c>
      <c r="H403">
        <v>10399</v>
      </c>
      <c r="I403">
        <v>413</v>
      </c>
      <c r="J403">
        <v>0</v>
      </c>
      <c r="K403">
        <v>173.3</v>
      </c>
      <c r="L403">
        <v>6.9</v>
      </c>
      <c r="M403">
        <v>9.6</v>
      </c>
      <c r="N403">
        <v>144</v>
      </c>
      <c r="O403" s="1" t="s">
        <v>392</v>
      </c>
    </row>
    <row r="404" spans="1:15">
      <c r="A404">
        <v>1222025</v>
      </c>
      <c r="B404" t="s">
        <v>390</v>
      </c>
      <c r="C404" t="s">
        <v>218</v>
      </c>
      <c r="D404" t="s">
        <v>136</v>
      </c>
      <c r="E404">
        <v>2025</v>
      </c>
      <c r="F404">
        <v>8</v>
      </c>
      <c r="G404">
        <v>16</v>
      </c>
      <c r="H404">
        <v>8678</v>
      </c>
      <c r="I404">
        <v>420</v>
      </c>
      <c r="J404">
        <v>0</v>
      </c>
      <c r="K404">
        <v>144.6</v>
      </c>
      <c r="L404">
        <v>7</v>
      </c>
      <c r="M404">
        <v>9</v>
      </c>
      <c r="N404">
        <v>128</v>
      </c>
      <c r="O404" s="1" t="s">
        <v>331</v>
      </c>
    </row>
    <row r="405" spans="1:15">
      <c r="A405">
        <v>1222031</v>
      </c>
      <c r="B405" t="s">
        <v>393</v>
      </c>
      <c r="C405" t="s">
        <v>93</v>
      </c>
      <c r="D405" t="s">
        <v>136</v>
      </c>
      <c r="E405">
        <v>2025</v>
      </c>
      <c r="F405">
        <v>6</v>
      </c>
      <c r="G405">
        <v>19</v>
      </c>
      <c r="H405">
        <v>10997</v>
      </c>
      <c r="I405">
        <v>226</v>
      </c>
      <c r="J405">
        <v>1</v>
      </c>
      <c r="K405">
        <v>183.3</v>
      </c>
      <c r="L405">
        <v>3.8</v>
      </c>
      <c r="M405">
        <v>9.6</v>
      </c>
      <c r="N405">
        <v>144</v>
      </c>
      <c r="O405" s="1" t="s">
        <v>394</v>
      </c>
    </row>
    <row r="406" spans="1:15">
      <c r="A406">
        <v>1222031</v>
      </c>
      <c r="B406" t="s">
        <v>393</v>
      </c>
      <c r="C406" t="s">
        <v>93</v>
      </c>
      <c r="D406" t="s">
        <v>136</v>
      </c>
      <c r="E406">
        <v>2025</v>
      </c>
      <c r="F406">
        <v>7</v>
      </c>
      <c r="G406">
        <v>19</v>
      </c>
      <c r="H406">
        <v>10080</v>
      </c>
      <c r="I406">
        <v>0</v>
      </c>
      <c r="J406">
        <v>1</v>
      </c>
      <c r="K406">
        <v>168</v>
      </c>
      <c r="L406">
        <v>0</v>
      </c>
      <c r="M406">
        <v>8.8000000000000007</v>
      </c>
      <c r="N406">
        <v>144</v>
      </c>
      <c r="O406">
        <v>24</v>
      </c>
    </row>
    <row r="407" spans="1:15">
      <c r="A407">
        <v>1222031</v>
      </c>
      <c r="B407" t="s">
        <v>393</v>
      </c>
      <c r="C407" t="s">
        <v>93</v>
      </c>
      <c r="D407" t="s">
        <v>136</v>
      </c>
      <c r="E407">
        <v>2025</v>
      </c>
      <c r="F407">
        <v>8</v>
      </c>
      <c r="G407">
        <v>17</v>
      </c>
      <c r="H407">
        <v>9762</v>
      </c>
      <c r="I407">
        <v>143</v>
      </c>
      <c r="J407">
        <v>1</v>
      </c>
      <c r="K407">
        <v>162.69999999999999</v>
      </c>
      <c r="L407">
        <v>2.4</v>
      </c>
      <c r="M407">
        <v>9.6</v>
      </c>
      <c r="N407">
        <v>128</v>
      </c>
      <c r="O407" s="1" t="s">
        <v>395</v>
      </c>
    </row>
    <row r="408" spans="1:15">
      <c r="A408">
        <v>1222033</v>
      </c>
      <c r="B408" t="s">
        <v>396</v>
      </c>
      <c r="C408" t="s">
        <v>19</v>
      </c>
      <c r="D408" t="s">
        <v>136</v>
      </c>
      <c r="E408">
        <v>2025</v>
      </c>
      <c r="F408">
        <v>6</v>
      </c>
      <c r="G408">
        <v>21</v>
      </c>
      <c r="H408">
        <v>11579</v>
      </c>
      <c r="I408">
        <v>303</v>
      </c>
      <c r="J408">
        <v>2</v>
      </c>
      <c r="K408">
        <v>193</v>
      </c>
      <c r="L408">
        <v>5</v>
      </c>
      <c r="M408">
        <v>9.1999999999999993</v>
      </c>
      <c r="N408">
        <v>152</v>
      </c>
      <c r="O408">
        <v>41</v>
      </c>
    </row>
    <row r="409" spans="1:15">
      <c r="A409">
        <v>1222033</v>
      </c>
      <c r="B409" t="s">
        <v>396</v>
      </c>
      <c r="C409" t="s">
        <v>19</v>
      </c>
      <c r="D409" t="s">
        <v>136</v>
      </c>
      <c r="E409">
        <v>2025</v>
      </c>
      <c r="F409">
        <v>7</v>
      </c>
      <c r="G409">
        <v>17</v>
      </c>
      <c r="H409">
        <v>10011</v>
      </c>
      <c r="I409">
        <v>109</v>
      </c>
      <c r="J409">
        <v>0</v>
      </c>
      <c r="K409">
        <v>166.8</v>
      </c>
      <c r="L409">
        <v>1.8</v>
      </c>
      <c r="M409">
        <v>9.8000000000000007</v>
      </c>
      <c r="N409">
        <v>136</v>
      </c>
      <c r="O409" s="1" t="s">
        <v>397</v>
      </c>
    </row>
    <row r="410" spans="1:15">
      <c r="A410">
        <v>1222033</v>
      </c>
      <c r="B410" t="s">
        <v>396</v>
      </c>
      <c r="C410" t="s">
        <v>19</v>
      </c>
      <c r="D410" t="s">
        <v>136</v>
      </c>
      <c r="E410">
        <v>2025</v>
      </c>
      <c r="F410">
        <v>8</v>
      </c>
      <c r="G410">
        <v>14</v>
      </c>
      <c r="H410">
        <v>6758</v>
      </c>
      <c r="I410">
        <v>0</v>
      </c>
      <c r="J410">
        <v>0</v>
      </c>
      <c r="K410">
        <v>112.6</v>
      </c>
      <c r="L410">
        <v>0</v>
      </c>
      <c r="M410">
        <v>8</v>
      </c>
      <c r="N410">
        <v>112</v>
      </c>
      <c r="O410" s="1" t="s">
        <v>398</v>
      </c>
    </row>
    <row r="411" spans="1:15">
      <c r="A411">
        <v>1222034</v>
      </c>
      <c r="B411" t="s">
        <v>399</v>
      </c>
      <c r="C411" t="s">
        <v>96</v>
      </c>
      <c r="D411" t="s">
        <v>136</v>
      </c>
      <c r="E411">
        <v>2025</v>
      </c>
      <c r="F411">
        <v>6</v>
      </c>
      <c r="G411">
        <v>17</v>
      </c>
      <c r="H411">
        <v>10560</v>
      </c>
      <c r="I411">
        <v>1691</v>
      </c>
      <c r="J411">
        <v>0</v>
      </c>
      <c r="K411">
        <v>176</v>
      </c>
      <c r="L411">
        <v>28.2</v>
      </c>
      <c r="M411">
        <v>10.4</v>
      </c>
      <c r="N411">
        <v>136</v>
      </c>
      <c r="O411">
        <v>40</v>
      </c>
    </row>
    <row r="412" spans="1:15">
      <c r="A412">
        <v>1222034</v>
      </c>
      <c r="B412" t="s">
        <v>399</v>
      </c>
      <c r="C412" t="s">
        <v>96</v>
      </c>
      <c r="D412" t="s">
        <v>136</v>
      </c>
      <c r="E412">
        <v>2025</v>
      </c>
      <c r="F412">
        <v>7</v>
      </c>
      <c r="G412">
        <v>18</v>
      </c>
      <c r="H412">
        <v>11539</v>
      </c>
      <c r="I412">
        <v>2097</v>
      </c>
      <c r="J412">
        <v>0</v>
      </c>
      <c r="K412">
        <v>192.3</v>
      </c>
      <c r="L412">
        <v>35</v>
      </c>
      <c r="M412">
        <v>10.7</v>
      </c>
      <c r="N412">
        <v>144</v>
      </c>
      <c r="O412" s="1" t="s">
        <v>400</v>
      </c>
    </row>
    <row r="413" spans="1:15">
      <c r="A413">
        <v>1222034</v>
      </c>
      <c r="B413" t="s">
        <v>399</v>
      </c>
      <c r="C413" t="s">
        <v>96</v>
      </c>
      <c r="D413" t="s">
        <v>136</v>
      </c>
      <c r="E413">
        <v>2025</v>
      </c>
      <c r="F413">
        <v>8</v>
      </c>
      <c r="G413">
        <v>16</v>
      </c>
      <c r="H413">
        <v>11888</v>
      </c>
      <c r="I413">
        <v>2315</v>
      </c>
      <c r="J413">
        <v>0</v>
      </c>
      <c r="K413">
        <v>198.1</v>
      </c>
      <c r="L413">
        <v>38.6</v>
      </c>
      <c r="M413">
        <v>12.4</v>
      </c>
      <c r="N413">
        <v>128</v>
      </c>
      <c r="O413">
        <v>70.099999999999994</v>
      </c>
    </row>
    <row r="414" spans="1:15">
      <c r="A414">
        <v>1222035</v>
      </c>
      <c r="B414" t="s">
        <v>401</v>
      </c>
      <c r="C414" t="s">
        <v>213</v>
      </c>
      <c r="D414" t="s">
        <v>194</v>
      </c>
      <c r="E414">
        <v>2025</v>
      </c>
      <c r="F414">
        <v>6</v>
      </c>
      <c r="G414">
        <v>19</v>
      </c>
      <c r="H414">
        <v>11017</v>
      </c>
      <c r="I414">
        <v>0</v>
      </c>
      <c r="J414">
        <v>0</v>
      </c>
      <c r="K414">
        <v>183.6</v>
      </c>
      <c r="L414">
        <v>0</v>
      </c>
      <c r="M414">
        <v>9.6999999999999993</v>
      </c>
      <c r="N414">
        <v>152</v>
      </c>
      <c r="O414" s="1" t="s">
        <v>402</v>
      </c>
    </row>
    <row r="415" spans="1:15">
      <c r="A415">
        <v>1222035</v>
      </c>
      <c r="B415" t="s">
        <v>401</v>
      </c>
      <c r="C415" t="s">
        <v>213</v>
      </c>
      <c r="D415" t="s">
        <v>194</v>
      </c>
      <c r="E415">
        <v>2025</v>
      </c>
      <c r="F415">
        <v>7</v>
      </c>
      <c r="G415">
        <v>22</v>
      </c>
      <c r="H415">
        <v>13112</v>
      </c>
      <c r="I415">
        <v>0</v>
      </c>
      <c r="J415">
        <v>0</v>
      </c>
      <c r="K415">
        <v>218.5</v>
      </c>
      <c r="L415">
        <v>0</v>
      </c>
      <c r="M415">
        <v>9.9</v>
      </c>
      <c r="N415">
        <v>176</v>
      </c>
      <c r="O415">
        <v>42.5</v>
      </c>
    </row>
    <row r="416" spans="1:15">
      <c r="A416">
        <v>1222035</v>
      </c>
      <c r="B416" t="s">
        <v>401</v>
      </c>
      <c r="C416" t="s">
        <v>213</v>
      </c>
      <c r="D416" t="s">
        <v>194</v>
      </c>
      <c r="E416">
        <v>2025</v>
      </c>
      <c r="F416">
        <v>8</v>
      </c>
      <c r="G416">
        <v>15</v>
      </c>
      <c r="H416">
        <v>7889</v>
      </c>
      <c r="I416">
        <v>0</v>
      </c>
      <c r="J416">
        <v>0</v>
      </c>
      <c r="K416">
        <v>131.5</v>
      </c>
      <c r="L416">
        <v>0</v>
      </c>
      <c r="M416">
        <v>8.8000000000000007</v>
      </c>
      <c r="N416">
        <v>120</v>
      </c>
      <c r="O416">
        <v>11.5</v>
      </c>
    </row>
    <row r="417" spans="1:15">
      <c r="A417">
        <v>1222036</v>
      </c>
      <c r="B417" t="s">
        <v>403</v>
      </c>
      <c r="C417" t="s">
        <v>182</v>
      </c>
      <c r="D417" t="s">
        <v>194</v>
      </c>
      <c r="E417">
        <v>2025</v>
      </c>
      <c r="F417">
        <v>6</v>
      </c>
      <c r="G417">
        <v>19</v>
      </c>
      <c r="H417">
        <v>11261</v>
      </c>
      <c r="I417">
        <v>605</v>
      </c>
      <c r="J417">
        <v>0</v>
      </c>
      <c r="K417">
        <v>187.7</v>
      </c>
      <c r="L417">
        <v>10.1</v>
      </c>
      <c r="M417">
        <v>9.9</v>
      </c>
      <c r="N417">
        <v>152</v>
      </c>
      <c r="O417" s="1" t="s">
        <v>69</v>
      </c>
    </row>
    <row r="418" spans="1:15">
      <c r="A418">
        <v>1222036</v>
      </c>
      <c r="B418" t="s">
        <v>403</v>
      </c>
      <c r="C418" t="s">
        <v>182</v>
      </c>
      <c r="D418" t="s">
        <v>194</v>
      </c>
      <c r="E418">
        <v>2025</v>
      </c>
      <c r="F418">
        <v>7</v>
      </c>
      <c r="G418">
        <v>17</v>
      </c>
      <c r="H418">
        <v>10082</v>
      </c>
      <c r="I418">
        <v>1011</v>
      </c>
      <c r="J418">
        <v>0</v>
      </c>
      <c r="K418">
        <v>168</v>
      </c>
      <c r="L418">
        <v>16.8</v>
      </c>
      <c r="M418">
        <v>9.9</v>
      </c>
      <c r="N418">
        <v>136</v>
      </c>
      <c r="O418">
        <v>32</v>
      </c>
    </row>
    <row r="419" spans="1:15">
      <c r="A419">
        <v>1222036</v>
      </c>
      <c r="B419" t="s">
        <v>403</v>
      </c>
      <c r="C419" t="s">
        <v>182</v>
      </c>
      <c r="D419" t="s">
        <v>194</v>
      </c>
      <c r="E419">
        <v>2025</v>
      </c>
      <c r="F419">
        <v>8</v>
      </c>
      <c r="G419">
        <v>16</v>
      </c>
      <c r="H419">
        <v>8872</v>
      </c>
      <c r="I419">
        <v>635</v>
      </c>
      <c r="J419">
        <v>0</v>
      </c>
      <c r="K419">
        <v>147.9</v>
      </c>
      <c r="L419">
        <v>10.6</v>
      </c>
      <c r="M419">
        <v>9.1999999999999993</v>
      </c>
      <c r="N419">
        <v>128</v>
      </c>
      <c r="O419" s="1" t="s">
        <v>119</v>
      </c>
    </row>
    <row r="420" spans="1:15">
      <c r="A420">
        <v>1222037</v>
      </c>
      <c r="B420" t="s">
        <v>404</v>
      </c>
      <c r="C420" t="s">
        <v>31</v>
      </c>
      <c r="D420" t="s">
        <v>194</v>
      </c>
      <c r="E420">
        <v>2025</v>
      </c>
      <c r="F420">
        <v>6</v>
      </c>
      <c r="G420">
        <v>18</v>
      </c>
      <c r="H420">
        <v>10062</v>
      </c>
      <c r="I420">
        <v>190</v>
      </c>
      <c r="J420">
        <v>0</v>
      </c>
      <c r="K420">
        <v>167.7</v>
      </c>
      <c r="L420">
        <v>3.2</v>
      </c>
      <c r="M420">
        <v>9.3000000000000007</v>
      </c>
      <c r="N420">
        <v>144</v>
      </c>
      <c r="O420" s="1" t="s">
        <v>379</v>
      </c>
    </row>
    <row r="421" spans="1:15">
      <c r="A421">
        <v>1222037</v>
      </c>
      <c r="B421" t="s">
        <v>404</v>
      </c>
      <c r="C421" t="s">
        <v>31</v>
      </c>
      <c r="D421" t="s">
        <v>194</v>
      </c>
      <c r="E421">
        <v>2025</v>
      </c>
      <c r="F421">
        <v>7</v>
      </c>
      <c r="G421">
        <v>18</v>
      </c>
      <c r="H421">
        <v>9984</v>
      </c>
      <c r="I421">
        <v>130</v>
      </c>
      <c r="J421">
        <v>0</v>
      </c>
      <c r="K421">
        <v>166.4</v>
      </c>
      <c r="L421">
        <v>2.2000000000000002</v>
      </c>
      <c r="M421">
        <v>9.1999999999999993</v>
      </c>
      <c r="N421">
        <v>144</v>
      </c>
      <c r="O421" s="1" t="s">
        <v>373</v>
      </c>
    </row>
    <row r="422" spans="1:15">
      <c r="A422">
        <v>1222037</v>
      </c>
      <c r="B422" t="s">
        <v>404</v>
      </c>
      <c r="C422" t="s">
        <v>31</v>
      </c>
      <c r="D422" t="s">
        <v>194</v>
      </c>
      <c r="E422">
        <v>2025</v>
      </c>
      <c r="F422">
        <v>8</v>
      </c>
      <c r="G422">
        <v>15</v>
      </c>
      <c r="H422">
        <v>7867</v>
      </c>
      <c r="I422">
        <v>85</v>
      </c>
      <c r="J422">
        <v>0</v>
      </c>
      <c r="K422">
        <v>131.1</v>
      </c>
      <c r="L422">
        <v>1.4</v>
      </c>
      <c r="M422">
        <v>8.6999999999999993</v>
      </c>
      <c r="N422">
        <v>120</v>
      </c>
      <c r="O422" s="1" t="s">
        <v>405</v>
      </c>
    </row>
    <row r="423" spans="1:15">
      <c r="A423">
        <v>1222038</v>
      </c>
      <c r="B423" t="s">
        <v>406</v>
      </c>
      <c r="C423" t="s">
        <v>117</v>
      </c>
      <c r="D423" t="s">
        <v>194</v>
      </c>
      <c r="E423">
        <v>2025</v>
      </c>
      <c r="F423">
        <v>6</v>
      </c>
      <c r="G423">
        <v>30</v>
      </c>
      <c r="H423">
        <v>42751</v>
      </c>
      <c r="I423">
        <v>0</v>
      </c>
      <c r="J423">
        <v>9</v>
      </c>
      <c r="K423">
        <v>712.5</v>
      </c>
      <c r="L423">
        <v>0</v>
      </c>
      <c r="M423">
        <v>23.8</v>
      </c>
      <c r="N423">
        <v>168</v>
      </c>
      <c r="O423">
        <v>544.5</v>
      </c>
    </row>
    <row r="424" spans="1:15">
      <c r="A424">
        <v>1222038</v>
      </c>
      <c r="B424" t="s">
        <v>406</v>
      </c>
      <c r="C424" t="s">
        <v>117</v>
      </c>
      <c r="D424" t="s">
        <v>194</v>
      </c>
      <c r="E424">
        <v>2025</v>
      </c>
      <c r="F424">
        <v>7</v>
      </c>
      <c r="G424">
        <v>31</v>
      </c>
      <c r="H424">
        <v>44194</v>
      </c>
      <c r="I424">
        <v>0</v>
      </c>
      <c r="J424">
        <v>8</v>
      </c>
      <c r="K424">
        <v>736.6</v>
      </c>
      <c r="L424">
        <v>0</v>
      </c>
      <c r="M424">
        <v>23.8</v>
      </c>
      <c r="N424">
        <v>184</v>
      </c>
      <c r="O424">
        <v>552.6</v>
      </c>
    </row>
    <row r="425" spans="1:15">
      <c r="A425">
        <v>1222038</v>
      </c>
      <c r="B425" t="s">
        <v>406</v>
      </c>
      <c r="C425" t="s">
        <v>117</v>
      </c>
      <c r="D425" t="s">
        <v>194</v>
      </c>
      <c r="E425">
        <v>2025</v>
      </c>
      <c r="F425">
        <v>8</v>
      </c>
      <c r="G425">
        <v>26</v>
      </c>
      <c r="H425">
        <v>36279</v>
      </c>
      <c r="I425">
        <v>0</v>
      </c>
      <c r="J425">
        <v>8</v>
      </c>
      <c r="K425">
        <v>604.6</v>
      </c>
      <c r="L425">
        <v>0</v>
      </c>
      <c r="M425">
        <v>23.3</v>
      </c>
      <c r="N425">
        <v>144</v>
      </c>
      <c r="O425">
        <v>460.6</v>
      </c>
    </row>
    <row r="426" spans="1:15">
      <c r="A426">
        <v>1222041</v>
      </c>
      <c r="B426" t="s">
        <v>202</v>
      </c>
      <c r="C426" t="s">
        <v>44</v>
      </c>
      <c r="D426" t="s">
        <v>194</v>
      </c>
      <c r="E426">
        <v>2025</v>
      </c>
      <c r="F426">
        <v>6</v>
      </c>
      <c r="G426">
        <v>18</v>
      </c>
      <c r="H426">
        <v>10306</v>
      </c>
      <c r="I426">
        <v>168</v>
      </c>
      <c r="J426">
        <v>0</v>
      </c>
      <c r="K426">
        <v>171.8</v>
      </c>
      <c r="L426">
        <v>2.8</v>
      </c>
      <c r="M426">
        <v>9.5</v>
      </c>
      <c r="N426">
        <v>144</v>
      </c>
      <c r="O426" s="1" t="s">
        <v>186</v>
      </c>
    </row>
    <row r="427" spans="1:15">
      <c r="A427">
        <v>1222041</v>
      </c>
      <c r="B427" t="s">
        <v>202</v>
      </c>
      <c r="C427" t="s">
        <v>44</v>
      </c>
      <c r="D427" t="s">
        <v>194</v>
      </c>
      <c r="E427">
        <v>2025</v>
      </c>
      <c r="F427">
        <v>7</v>
      </c>
      <c r="G427">
        <v>19</v>
      </c>
      <c r="H427">
        <v>10484</v>
      </c>
      <c r="I427">
        <v>373</v>
      </c>
      <c r="J427">
        <v>1</v>
      </c>
      <c r="K427">
        <v>174.7</v>
      </c>
      <c r="L427">
        <v>6.2</v>
      </c>
      <c r="M427">
        <v>9.1999999999999993</v>
      </c>
      <c r="N427">
        <v>144</v>
      </c>
      <c r="O427" s="1" t="s">
        <v>219</v>
      </c>
    </row>
    <row r="428" spans="1:15">
      <c r="A428">
        <v>1222041</v>
      </c>
      <c r="B428" t="s">
        <v>202</v>
      </c>
      <c r="C428" t="s">
        <v>44</v>
      </c>
      <c r="D428" t="s">
        <v>194</v>
      </c>
      <c r="E428">
        <v>2025</v>
      </c>
      <c r="F428">
        <v>8</v>
      </c>
      <c r="G428">
        <v>17</v>
      </c>
      <c r="H428">
        <v>8636</v>
      </c>
      <c r="I428">
        <v>202</v>
      </c>
      <c r="J428">
        <v>0</v>
      </c>
      <c r="K428">
        <v>143.9</v>
      </c>
      <c r="L428">
        <v>3.4</v>
      </c>
      <c r="M428">
        <v>8.5</v>
      </c>
      <c r="N428">
        <v>136</v>
      </c>
      <c r="O428" s="1" t="s">
        <v>407</v>
      </c>
    </row>
    <row r="429" spans="1:15">
      <c r="A429">
        <v>1222042</v>
      </c>
      <c r="B429" t="s">
        <v>408</v>
      </c>
      <c r="C429" t="s">
        <v>328</v>
      </c>
      <c r="D429" t="s">
        <v>136</v>
      </c>
      <c r="E429">
        <v>2025</v>
      </c>
      <c r="F429">
        <v>6</v>
      </c>
      <c r="G429">
        <v>10</v>
      </c>
      <c r="H429">
        <v>5866</v>
      </c>
      <c r="I429">
        <v>212</v>
      </c>
      <c r="J429">
        <v>0</v>
      </c>
      <c r="K429">
        <v>97.8</v>
      </c>
      <c r="L429">
        <v>3.5</v>
      </c>
      <c r="M429">
        <v>9.8000000000000007</v>
      </c>
      <c r="N429">
        <v>80</v>
      </c>
      <c r="O429" s="1" t="s">
        <v>409</v>
      </c>
    </row>
    <row r="430" spans="1:15">
      <c r="A430">
        <v>1222042</v>
      </c>
      <c r="B430" t="s">
        <v>408</v>
      </c>
      <c r="C430" t="s">
        <v>328</v>
      </c>
      <c r="D430" t="s">
        <v>136</v>
      </c>
      <c r="E430">
        <v>2025</v>
      </c>
      <c r="F430">
        <v>7</v>
      </c>
      <c r="G430">
        <v>17</v>
      </c>
      <c r="H430">
        <v>10344</v>
      </c>
      <c r="I430">
        <v>357</v>
      </c>
      <c r="J430">
        <v>0</v>
      </c>
      <c r="K430">
        <v>172.4</v>
      </c>
      <c r="L430">
        <v>6</v>
      </c>
      <c r="M430">
        <v>10.1</v>
      </c>
      <c r="N430">
        <v>136</v>
      </c>
      <c r="O430" s="1" t="s">
        <v>410</v>
      </c>
    </row>
    <row r="431" spans="1:15">
      <c r="A431">
        <v>1222042</v>
      </c>
      <c r="B431" t="s">
        <v>408</v>
      </c>
      <c r="C431" t="s">
        <v>328</v>
      </c>
      <c r="D431" t="s">
        <v>136</v>
      </c>
      <c r="E431">
        <v>2025</v>
      </c>
      <c r="F431">
        <v>8</v>
      </c>
      <c r="G431">
        <v>15</v>
      </c>
      <c r="H431">
        <v>8145</v>
      </c>
      <c r="I431">
        <v>279</v>
      </c>
      <c r="J431">
        <v>0</v>
      </c>
      <c r="K431">
        <v>135.80000000000001</v>
      </c>
      <c r="L431">
        <v>4.5999999999999996</v>
      </c>
      <c r="M431">
        <v>9.1</v>
      </c>
      <c r="N431">
        <v>120</v>
      </c>
      <c r="O431" s="1" t="s">
        <v>411</v>
      </c>
    </row>
    <row r="432" spans="1:15">
      <c r="A432">
        <v>1222047</v>
      </c>
      <c r="B432" t="s">
        <v>412</v>
      </c>
      <c r="C432" t="s">
        <v>218</v>
      </c>
      <c r="D432" t="s">
        <v>194</v>
      </c>
      <c r="E432">
        <v>2025</v>
      </c>
      <c r="F432">
        <v>6</v>
      </c>
      <c r="G432">
        <v>18</v>
      </c>
      <c r="H432">
        <v>9920</v>
      </c>
      <c r="I432">
        <v>185</v>
      </c>
      <c r="J432">
        <v>0</v>
      </c>
      <c r="K432">
        <v>165.3</v>
      </c>
      <c r="L432">
        <v>3.1</v>
      </c>
      <c r="M432">
        <v>9.1999999999999993</v>
      </c>
      <c r="N432">
        <v>144</v>
      </c>
      <c r="O432" s="1" t="s">
        <v>248</v>
      </c>
    </row>
    <row r="433" spans="1:15">
      <c r="A433">
        <v>1222047</v>
      </c>
      <c r="B433" t="s">
        <v>412</v>
      </c>
      <c r="C433" t="s">
        <v>218</v>
      </c>
      <c r="D433" t="s">
        <v>194</v>
      </c>
      <c r="E433">
        <v>2025</v>
      </c>
      <c r="F433">
        <v>7</v>
      </c>
      <c r="G433">
        <v>20</v>
      </c>
      <c r="H433">
        <v>11715</v>
      </c>
      <c r="I433">
        <v>0</v>
      </c>
      <c r="J433">
        <v>1</v>
      </c>
      <c r="K433">
        <v>195.2</v>
      </c>
      <c r="L433">
        <v>0</v>
      </c>
      <c r="M433">
        <v>9.8000000000000007</v>
      </c>
      <c r="N433">
        <v>152</v>
      </c>
      <c r="O433" s="1" t="s">
        <v>413</v>
      </c>
    </row>
    <row r="434" spans="1:15">
      <c r="A434">
        <v>1222047</v>
      </c>
      <c r="B434" t="s">
        <v>412</v>
      </c>
      <c r="C434" t="s">
        <v>218</v>
      </c>
      <c r="D434" t="s">
        <v>194</v>
      </c>
      <c r="E434">
        <v>2025</v>
      </c>
      <c r="F434">
        <v>8</v>
      </c>
      <c r="G434">
        <v>16</v>
      </c>
      <c r="H434">
        <v>8230</v>
      </c>
      <c r="I434">
        <v>0</v>
      </c>
      <c r="J434">
        <v>0</v>
      </c>
      <c r="K434">
        <v>137.19999999999999</v>
      </c>
      <c r="L434">
        <v>0</v>
      </c>
      <c r="M434">
        <v>8.6</v>
      </c>
      <c r="N434">
        <v>128</v>
      </c>
      <c r="O434" s="1" t="s">
        <v>414</v>
      </c>
    </row>
    <row r="435" spans="1:15">
      <c r="A435">
        <v>1222050</v>
      </c>
      <c r="B435" t="s">
        <v>415</v>
      </c>
      <c r="C435" t="s">
        <v>239</v>
      </c>
      <c r="D435" t="s">
        <v>136</v>
      </c>
      <c r="E435">
        <v>2025</v>
      </c>
      <c r="F435">
        <v>6</v>
      </c>
      <c r="G435">
        <v>19</v>
      </c>
      <c r="H435">
        <v>11068</v>
      </c>
      <c r="I435">
        <v>881</v>
      </c>
      <c r="J435">
        <v>0</v>
      </c>
      <c r="K435">
        <v>184.5</v>
      </c>
      <c r="L435">
        <v>14.7</v>
      </c>
      <c r="M435">
        <v>9.6999999999999993</v>
      </c>
      <c r="N435">
        <v>152</v>
      </c>
      <c r="O435">
        <v>32.5</v>
      </c>
    </row>
    <row r="436" spans="1:15">
      <c r="A436">
        <v>1222050</v>
      </c>
      <c r="B436" t="s">
        <v>415</v>
      </c>
      <c r="C436" t="s">
        <v>239</v>
      </c>
      <c r="D436" t="s">
        <v>136</v>
      </c>
      <c r="E436">
        <v>2025</v>
      </c>
      <c r="F436">
        <v>7</v>
      </c>
      <c r="G436">
        <v>24</v>
      </c>
      <c r="H436">
        <v>11812</v>
      </c>
      <c r="I436">
        <v>254</v>
      </c>
      <c r="J436">
        <v>1</v>
      </c>
      <c r="K436">
        <v>196.9</v>
      </c>
      <c r="L436">
        <v>4.2</v>
      </c>
      <c r="M436">
        <v>8.1999999999999993</v>
      </c>
      <c r="N436">
        <v>184</v>
      </c>
      <c r="O436" s="1" t="s">
        <v>416</v>
      </c>
    </row>
    <row r="437" spans="1:15">
      <c r="A437">
        <v>1222050</v>
      </c>
      <c r="B437" t="s">
        <v>415</v>
      </c>
      <c r="C437" t="s">
        <v>239</v>
      </c>
      <c r="D437" t="s">
        <v>136</v>
      </c>
      <c r="E437">
        <v>2025</v>
      </c>
      <c r="F437">
        <v>8</v>
      </c>
      <c r="G437">
        <v>16</v>
      </c>
      <c r="H437">
        <v>7711</v>
      </c>
      <c r="I437">
        <v>245</v>
      </c>
      <c r="J437">
        <v>0</v>
      </c>
      <c r="K437">
        <v>128.5</v>
      </c>
      <c r="L437">
        <v>4.0999999999999996</v>
      </c>
      <c r="M437">
        <v>8</v>
      </c>
      <c r="N437">
        <v>128</v>
      </c>
      <c r="O437">
        <v>0.5</v>
      </c>
    </row>
    <row r="438" spans="1:15">
      <c r="A438">
        <v>1222051</v>
      </c>
      <c r="B438" t="s">
        <v>417</v>
      </c>
      <c r="C438" t="s">
        <v>328</v>
      </c>
      <c r="D438" t="s">
        <v>136</v>
      </c>
      <c r="E438">
        <v>2025</v>
      </c>
      <c r="F438">
        <v>6</v>
      </c>
      <c r="G438">
        <v>12</v>
      </c>
      <c r="H438">
        <v>4946</v>
      </c>
      <c r="I438">
        <v>0</v>
      </c>
      <c r="J438">
        <v>0</v>
      </c>
      <c r="K438">
        <v>82.4</v>
      </c>
      <c r="L438">
        <v>0</v>
      </c>
      <c r="M438">
        <v>6.9</v>
      </c>
      <c r="N438">
        <v>96</v>
      </c>
      <c r="O438">
        <v>-13.6</v>
      </c>
    </row>
    <row r="439" spans="1:15">
      <c r="A439">
        <v>1222051</v>
      </c>
      <c r="B439" t="s">
        <v>417</v>
      </c>
      <c r="C439" t="s">
        <v>328</v>
      </c>
      <c r="D439" t="s">
        <v>136</v>
      </c>
      <c r="E439">
        <v>2025</v>
      </c>
      <c r="F439">
        <v>7</v>
      </c>
      <c r="G439">
        <v>18</v>
      </c>
      <c r="H439">
        <v>9765</v>
      </c>
      <c r="I439">
        <v>0</v>
      </c>
      <c r="J439">
        <v>0</v>
      </c>
      <c r="K439">
        <v>162.80000000000001</v>
      </c>
      <c r="L439">
        <v>0</v>
      </c>
      <c r="M439">
        <v>9</v>
      </c>
      <c r="N439">
        <v>144</v>
      </c>
      <c r="O439" s="1" t="s">
        <v>81</v>
      </c>
    </row>
    <row r="440" spans="1:15">
      <c r="A440">
        <v>1222051</v>
      </c>
      <c r="B440" t="s">
        <v>417</v>
      </c>
      <c r="C440" t="s">
        <v>328</v>
      </c>
      <c r="D440" t="s">
        <v>136</v>
      </c>
      <c r="E440">
        <v>2025</v>
      </c>
      <c r="F440">
        <v>8</v>
      </c>
      <c r="G440">
        <v>16</v>
      </c>
      <c r="H440">
        <v>7418</v>
      </c>
      <c r="I440">
        <v>0</v>
      </c>
      <c r="J440">
        <v>0</v>
      </c>
      <c r="K440">
        <v>123.6</v>
      </c>
      <c r="L440">
        <v>0</v>
      </c>
      <c r="M440">
        <v>7.7</v>
      </c>
      <c r="N440">
        <v>128</v>
      </c>
      <c r="O440">
        <v>-4.4000000000000004</v>
      </c>
    </row>
    <row r="441" spans="1:15">
      <c r="A441">
        <v>1222053</v>
      </c>
      <c r="B441" t="s">
        <v>418</v>
      </c>
      <c r="C441" t="s">
        <v>239</v>
      </c>
      <c r="D441" t="s">
        <v>194</v>
      </c>
      <c r="E441">
        <v>2025</v>
      </c>
      <c r="F441">
        <v>6</v>
      </c>
      <c r="G441">
        <v>17</v>
      </c>
      <c r="H441">
        <v>8486</v>
      </c>
      <c r="I441">
        <v>251</v>
      </c>
      <c r="J441">
        <v>0</v>
      </c>
      <c r="K441">
        <v>141.4</v>
      </c>
      <c r="L441">
        <v>4.2</v>
      </c>
      <c r="M441">
        <v>8.3000000000000007</v>
      </c>
      <c r="N441">
        <v>136</v>
      </c>
      <c r="O441" s="1" t="s">
        <v>419</v>
      </c>
    </row>
    <row r="442" spans="1:15">
      <c r="A442">
        <v>1222053</v>
      </c>
      <c r="B442" t="s">
        <v>418</v>
      </c>
      <c r="C442" t="s">
        <v>239</v>
      </c>
      <c r="D442" t="s">
        <v>194</v>
      </c>
      <c r="E442">
        <v>2025</v>
      </c>
      <c r="F442">
        <v>7</v>
      </c>
      <c r="G442">
        <v>17</v>
      </c>
      <c r="H442">
        <v>9496</v>
      </c>
      <c r="I442">
        <v>231</v>
      </c>
      <c r="J442">
        <v>0</v>
      </c>
      <c r="K442">
        <v>158.30000000000001</v>
      </c>
      <c r="L442">
        <v>3.8</v>
      </c>
      <c r="M442">
        <v>9.3000000000000007</v>
      </c>
      <c r="N442">
        <v>136</v>
      </c>
      <c r="O442" s="1" t="s">
        <v>163</v>
      </c>
    </row>
    <row r="443" spans="1:15">
      <c r="A443">
        <v>1222053</v>
      </c>
      <c r="B443" t="s">
        <v>418</v>
      </c>
      <c r="C443" t="s">
        <v>239</v>
      </c>
      <c r="D443" t="s">
        <v>194</v>
      </c>
      <c r="E443">
        <v>2025</v>
      </c>
      <c r="F443">
        <v>8</v>
      </c>
      <c r="G443">
        <v>16</v>
      </c>
      <c r="H443">
        <v>9514</v>
      </c>
      <c r="I443">
        <v>98</v>
      </c>
      <c r="J443">
        <v>1</v>
      </c>
      <c r="K443">
        <v>158.6</v>
      </c>
      <c r="L443">
        <v>1.6</v>
      </c>
      <c r="M443">
        <v>9.9</v>
      </c>
      <c r="N443">
        <v>120</v>
      </c>
      <c r="O443" s="1" t="s">
        <v>420</v>
      </c>
    </row>
    <row r="444" spans="1:15">
      <c r="A444">
        <v>1222055</v>
      </c>
      <c r="B444" t="s">
        <v>421</v>
      </c>
      <c r="C444" t="s">
        <v>79</v>
      </c>
      <c r="D444" t="s">
        <v>136</v>
      </c>
      <c r="E444">
        <v>2025</v>
      </c>
      <c r="F444">
        <v>6</v>
      </c>
      <c r="G444">
        <v>18</v>
      </c>
      <c r="H444">
        <v>10372</v>
      </c>
      <c r="I444">
        <v>490</v>
      </c>
      <c r="J444">
        <v>0</v>
      </c>
      <c r="K444">
        <v>172.9</v>
      </c>
      <c r="L444">
        <v>8.1999999999999993</v>
      </c>
      <c r="M444">
        <v>9.6</v>
      </c>
      <c r="N444">
        <v>144</v>
      </c>
      <c r="O444" s="1" t="s">
        <v>55</v>
      </c>
    </row>
    <row r="445" spans="1:15">
      <c r="A445">
        <v>1222055</v>
      </c>
      <c r="B445" t="s">
        <v>421</v>
      </c>
      <c r="C445" t="s">
        <v>79</v>
      </c>
      <c r="D445" t="s">
        <v>136</v>
      </c>
      <c r="E445">
        <v>2025</v>
      </c>
      <c r="F445">
        <v>7</v>
      </c>
      <c r="G445">
        <v>17</v>
      </c>
      <c r="H445">
        <v>9496</v>
      </c>
      <c r="I445">
        <v>295</v>
      </c>
      <c r="J445">
        <v>0</v>
      </c>
      <c r="K445">
        <v>158.30000000000001</v>
      </c>
      <c r="L445">
        <v>4.9000000000000004</v>
      </c>
      <c r="M445">
        <v>9.3000000000000007</v>
      </c>
      <c r="N445">
        <v>136</v>
      </c>
      <c r="O445" s="1" t="s">
        <v>163</v>
      </c>
    </row>
    <row r="446" spans="1:15">
      <c r="A446">
        <v>1222055</v>
      </c>
      <c r="B446" t="s">
        <v>421</v>
      </c>
      <c r="C446" t="s">
        <v>79</v>
      </c>
      <c r="D446" t="s">
        <v>136</v>
      </c>
      <c r="E446">
        <v>2025</v>
      </c>
      <c r="F446">
        <v>8</v>
      </c>
      <c r="G446">
        <v>13</v>
      </c>
      <c r="H446">
        <v>7253</v>
      </c>
      <c r="I446">
        <v>563</v>
      </c>
      <c r="J446">
        <v>0</v>
      </c>
      <c r="K446">
        <v>120.9</v>
      </c>
      <c r="L446">
        <v>9.4</v>
      </c>
      <c r="M446">
        <v>9.3000000000000007</v>
      </c>
      <c r="N446">
        <v>104</v>
      </c>
      <c r="O446" s="1" t="s">
        <v>196</v>
      </c>
    </row>
    <row r="447" spans="1:15">
      <c r="A447">
        <v>1223008</v>
      </c>
      <c r="B447" t="s">
        <v>422</v>
      </c>
      <c r="C447" t="s">
        <v>61</v>
      </c>
      <c r="D447" t="s">
        <v>136</v>
      </c>
      <c r="E447">
        <v>2025</v>
      </c>
      <c r="F447">
        <v>6</v>
      </c>
      <c r="G447">
        <v>18</v>
      </c>
      <c r="H447">
        <v>10533</v>
      </c>
      <c r="I447">
        <v>245</v>
      </c>
      <c r="J447">
        <v>0</v>
      </c>
      <c r="K447">
        <v>175.6</v>
      </c>
      <c r="L447">
        <v>4.0999999999999996</v>
      </c>
      <c r="M447">
        <v>9.8000000000000007</v>
      </c>
      <c r="N447">
        <v>144</v>
      </c>
      <c r="O447" s="1" t="s">
        <v>402</v>
      </c>
    </row>
    <row r="448" spans="1:15">
      <c r="A448">
        <v>1223008</v>
      </c>
      <c r="B448" t="s">
        <v>422</v>
      </c>
      <c r="C448" t="s">
        <v>61</v>
      </c>
      <c r="D448" t="s">
        <v>136</v>
      </c>
      <c r="E448">
        <v>2025</v>
      </c>
      <c r="F448">
        <v>7</v>
      </c>
      <c r="G448">
        <v>18</v>
      </c>
      <c r="H448">
        <v>11181</v>
      </c>
      <c r="I448">
        <v>901</v>
      </c>
      <c r="J448">
        <v>0</v>
      </c>
      <c r="K448">
        <v>186.4</v>
      </c>
      <c r="L448">
        <v>15</v>
      </c>
      <c r="M448">
        <v>10.4</v>
      </c>
      <c r="N448">
        <v>144</v>
      </c>
      <c r="O448" s="1" t="s">
        <v>126</v>
      </c>
    </row>
    <row r="449" spans="1:15">
      <c r="A449">
        <v>1223008</v>
      </c>
      <c r="B449" t="s">
        <v>422</v>
      </c>
      <c r="C449" t="s">
        <v>61</v>
      </c>
      <c r="D449" t="s">
        <v>136</v>
      </c>
      <c r="E449">
        <v>2025</v>
      </c>
      <c r="F449">
        <v>8</v>
      </c>
      <c r="G449">
        <v>19</v>
      </c>
      <c r="H449">
        <v>10099</v>
      </c>
      <c r="I449">
        <v>1934</v>
      </c>
      <c r="J449">
        <v>3</v>
      </c>
      <c r="K449">
        <v>168.3</v>
      </c>
      <c r="L449">
        <v>32.200000000000003</v>
      </c>
      <c r="M449">
        <v>8.9</v>
      </c>
      <c r="N449">
        <v>128</v>
      </c>
      <c r="O449" s="1" t="s">
        <v>423</v>
      </c>
    </row>
    <row r="450" spans="1:15">
      <c r="A450">
        <v>1223009</v>
      </c>
      <c r="B450" t="s">
        <v>424</v>
      </c>
      <c r="C450" t="s">
        <v>177</v>
      </c>
      <c r="D450" t="s">
        <v>136</v>
      </c>
      <c r="E450">
        <v>2025</v>
      </c>
      <c r="F450">
        <v>6</v>
      </c>
      <c r="G450">
        <v>18</v>
      </c>
      <c r="H450">
        <v>8439</v>
      </c>
      <c r="I450">
        <v>0</v>
      </c>
      <c r="J450">
        <v>0</v>
      </c>
      <c r="K450">
        <v>140.6</v>
      </c>
      <c r="L450">
        <v>0</v>
      </c>
      <c r="M450">
        <v>7.8</v>
      </c>
      <c r="N450">
        <v>144</v>
      </c>
      <c r="O450">
        <v>-3.4</v>
      </c>
    </row>
    <row r="451" spans="1:15">
      <c r="A451">
        <v>1223009</v>
      </c>
      <c r="B451" t="s">
        <v>424</v>
      </c>
      <c r="C451" t="s">
        <v>177</v>
      </c>
      <c r="D451" t="s">
        <v>136</v>
      </c>
      <c r="E451">
        <v>2025</v>
      </c>
      <c r="F451">
        <v>7</v>
      </c>
      <c r="G451">
        <v>18</v>
      </c>
      <c r="H451">
        <v>8666</v>
      </c>
      <c r="I451">
        <v>0</v>
      </c>
      <c r="J451">
        <v>0</v>
      </c>
      <c r="K451">
        <v>144.4</v>
      </c>
      <c r="L451">
        <v>0</v>
      </c>
      <c r="M451">
        <v>8</v>
      </c>
      <c r="N451">
        <v>144</v>
      </c>
      <c r="O451" s="1" t="s">
        <v>425</v>
      </c>
    </row>
    <row r="452" spans="1:15">
      <c r="A452">
        <v>1223009</v>
      </c>
      <c r="B452" t="s">
        <v>424</v>
      </c>
      <c r="C452" t="s">
        <v>177</v>
      </c>
      <c r="D452" t="s">
        <v>136</v>
      </c>
      <c r="E452">
        <v>2025</v>
      </c>
      <c r="F452">
        <v>8</v>
      </c>
      <c r="G452">
        <v>15</v>
      </c>
      <c r="H452">
        <v>4678</v>
      </c>
      <c r="I452">
        <v>0</v>
      </c>
      <c r="J452">
        <v>0</v>
      </c>
      <c r="K452">
        <v>78</v>
      </c>
      <c r="L452">
        <v>0</v>
      </c>
      <c r="M452">
        <v>5.2</v>
      </c>
      <c r="N452">
        <v>120</v>
      </c>
      <c r="O452">
        <v>-42</v>
      </c>
    </row>
    <row r="453" spans="1:15">
      <c r="A453">
        <v>1223010</v>
      </c>
      <c r="B453" t="s">
        <v>426</v>
      </c>
      <c r="C453" t="s">
        <v>113</v>
      </c>
      <c r="D453" t="s">
        <v>194</v>
      </c>
      <c r="E453">
        <v>2025</v>
      </c>
      <c r="F453">
        <v>6</v>
      </c>
      <c r="G453">
        <v>17</v>
      </c>
      <c r="H453">
        <v>12669</v>
      </c>
      <c r="I453">
        <v>1898</v>
      </c>
      <c r="J453">
        <v>0</v>
      </c>
      <c r="K453">
        <v>211.2</v>
      </c>
      <c r="L453">
        <v>31.6</v>
      </c>
      <c r="M453">
        <v>12.4</v>
      </c>
      <c r="N453">
        <v>136</v>
      </c>
      <c r="O453" s="1" t="s">
        <v>427</v>
      </c>
    </row>
    <row r="454" spans="1:15">
      <c r="A454">
        <v>1223010</v>
      </c>
      <c r="B454" t="s">
        <v>426</v>
      </c>
      <c r="C454" t="s">
        <v>113</v>
      </c>
      <c r="D454" t="s">
        <v>194</v>
      </c>
      <c r="E454">
        <v>2025</v>
      </c>
      <c r="F454">
        <v>7</v>
      </c>
      <c r="G454">
        <v>19</v>
      </c>
      <c r="H454">
        <v>12725</v>
      </c>
      <c r="I454">
        <v>2182</v>
      </c>
      <c r="J454">
        <v>0</v>
      </c>
      <c r="K454">
        <v>212.1</v>
      </c>
      <c r="L454">
        <v>36.4</v>
      </c>
      <c r="M454">
        <v>11.2</v>
      </c>
      <c r="N454">
        <v>152</v>
      </c>
      <c r="O454" s="1" t="s">
        <v>428</v>
      </c>
    </row>
    <row r="455" spans="1:15">
      <c r="A455">
        <v>1223010</v>
      </c>
      <c r="B455" t="s">
        <v>426</v>
      </c>
      <c r="C455" t="s">
        <v>113</v>
      </c>
      <c r="D455" t="s">
        <v>194</v>
      </c>
      <c r="E455">
        <v>2025</v>
      </c>
      <c r="F455">
        <v>8</v>
      </c>
      <c r="G455">
        <v>16</v>
      </c>
      <c r="H455">
        <v>9892</v>
      </c>
      <c r="I455">
        <v>1647</v>
      </c>
      <c r="J455">
        <v>0</v>
      </c>
      <c r="K455">
        <v>164.9</v>
      </c>
      <c r="L455">
        <v>27.4</v>
      </c>
      <c r="M455">
        <v>10.3</v>
      </c>
      <c r="N455">
        <v>128</v>
      </c>
      <c r="O455" s="1" t="s">
        <v>429</v>
      </c>
    </row>
    <row r="456" spans="1:15">
      <c r="A456">
        <v>1223011</v>
      </c>
      <c r="B456" t="s">
        <v>430</v>
      </c>
      <c r="C456" t="s">
        <v>83</v>
      </c>
      <c r="D456" t="s">
        <v>136</v>
      </c>
      <c r="E456">
        <v>2025</v>
      </c>
      <c r="F456">
        <v>6</v>
      </c>
      <c r="G456">
        <v>18</v>
      </c>
      <c r="H456">
        <v>12606</v>
      </c>
      <c r="I456">
        <v>0</v>
      </c>
      <c r="J456">
        <v>0</v>
      </c>
      <c r="K456">
        <v>210.1</v>
      </c>
      <c r="L456">
        <v>0</v>
      </c>
      <c r="M456">
        <v>11.7</v>
      </c>
      <c r="N456">
        <v>144</v>
      </c>
      <c r="O456">
        <v>66.099999999999994</v>
      </c>
    </row>
    <row r="457" spans="1:15">
      <c r="A457">
        <v>1223011</v>
      </c>
      <c r="B457" t="s">
        <v>430</v>
      </c>
      <c r="C457" t="s">
        <v>83</v>
      </c>
      <c r="D457" t="s">
        <v>136</v>
      </c>
      <c r="E457">
        <v>2025</v>
      </c>
      <c r="F457">
        <v>7</v>
      </c>
      <c r="G457">
        <v>18</v>
      </c>
      <c r="H457">
        <v>12294</v>
      </c>
      <c r="I457">
        <v>2026</v>
      </c>
      <c r="J457">
        <v>0</v>
      </c>
      <c r="K457">
        <v>204.9</v>
      </c>
      <c r="L457">
        <v>33.799999999999997</v>
      </c>
      <c r="M457">
        <v>11.4</v>
      </c>
      <c r="N457">
        <v>144</v>
      </c>
      <c r="O457" s="1" t="s">
        <v>431</v>
      </c>
    </row>
    <row r="458" spans="1:15">
      <c r="A458">
        <v>1223011</v>
      </c>
      <c r="B458" t="s">
        <v>430</v>
      </c>
      <c r="C458" t="s">
        <v>83</v>
      </c>
      <c r="D458" t="s">
        <v>136</v>
      </c>
      <c r="E458">
        <v>2025</v>
      </c>
      <c r="F458">
        <v>8</v>
      </c>
      <c r="G458">
        <v>16</v>
      </c>
      <c r="H458">
        <v>9788</v>
      </c>
      <c r="I458">
        <v>1181</v>
      </c>
      <c r="J458">
        <v>0</v>
      </c>
      <c r="K458">
        <v>163.1</v>
      </c>
      <c r="L458">
        <v>19.7</v>
      </c>
      <c r="M458">
        <v>10.199999999999999</v>
      </c>
      <c r="N458">
        <v>128</v>
      </c>
      <c r="O458" s="1" t="s">
        <v>154</v>
      </c>
    </row>
    <row r="459" spans="1:15">
      <c r="A459">
        <v>1223012</v>
      </c>
      <c r="B459" t="s">
        <v>238</v>
      </c>
      <c r="C459" t="s">
        <v>160</v>
      </c>
      <c r="D459" t="s">
        <v>136</v>
      </c>
      <c r="E459">
        <v>2025</v>
      </c>
      <c r="F459">
        <v>6</v>
      </c>
      <c r="G459">
        <v>18</v>
      </c>
      <c r="H459">
        <v>9589</v>
      </c>
      <c r="I459">
        <v>0</v>
      </c>
      <c r="J459">
        <v>0</v>
      </c>
      <c r="K459">
        <v>159.80000000000001</v>
      </c>
      <c r="L459">
        <v>0</v>
      </c>
      <c r="M459">
        <v>8.9</v>
      </c>
      <c r="N459">
        <v>144</v>
      </c>
      <c r="O459" s="1" t="s">
        <v>411</v>
      </c>
    </row>
    <row r="460" spans="1:15">
      <c r="A460">
        <v>1223012</v>
      </c>
      <c r="B460" t="s">
        <v>238</v>
      </c>
      <c r="C460" t="s">
        <v>160</v>
      </c>
      <c r="D460" t="s">
        <v>136</v>
      </c>
      <c r="E460">
        <v>2025</v>
      </c>
      <c r="F460">
        <v>7</v>
      </c>
      <c r="G460">
        <v>17</v>
      </c>
      <c r="H460">
        <v>7952</v>
      </c>
      <c r="I460">
        <v>7</v>
      </c>
      <c r="J460">
        <v>0</v>
      </c>
      <c r="K460">
        <v>132.5</v>
      </c>
      <c r="L460">
        <v>0.1</v>
      </c>
      <c r="M460">
        <v>7.8</v>
      </c>
      <c r="N460">
        <v>136</v>
      </c>
      <c r="O460">
        <v>-3.5</v>
      </c>
    </row>
    <row r="461" spans="1:15">
      <c r="A461">
        <v>1223012</v>
      </c>
      <c r="B461" t="s">
        <v>238</v>
      </c>
      <c r="C461" t="s">
        <v>160</v>
      </c>
      <c r="D461" t="s">
        <v>136</v>
      </c>
      <c r="E461">
        <v>2025</v>
      </c>
      <c r="F461">
        <v>8</v>
      </c>
      <c r="G461">
        <v>16</v>
      </c>
      <c r="H461">
        <v>7670</v>
      </c>
      <c r="I461">
        <v>0</v>
      </c>
      <c r="J461">
        <v>0</v>
      </c>
      <c r="K461">
        <v>127.8</v>
      </c>
      <c r="L461">
        <v>0</v>
      </c>
      <c r="M461">
        <v>8</v>
      </c>
      <c r="N461">
        <v>128</v>
      </c>
      <c r="O461">
        <v>-0.2</v>
      </c>
    </row>
    <row r="462" spans="1:15">
      <c r="A462">
        <v>1223013</v>
      </c>
      <c r="B462" t="s">
        <v>432</v>
      </c>
      <c r="C462" t="s">
        <v>31</v>
      </c>
      <c r="D462" t="s">
        <v>136</v>
      </c>
      <c r="E462">
        <v>2025</v>
      </c>
      <c r="F462">
        <v>6</v>
      </c>
      <c r="G462">
        <v>18</v>
      </c>
      <c r="H462">
        <v>9957</v>
      </c>
      <c r="I462">
        <v>375</v>
      </c>
      <c r="J462">
        <v>0</v>
      </c>
      <c r="K462">
        <v>166</v>
      </c>
      <c r="L462">
        <v>6.2</v>
      </c>
      <c r="M462">
        <v>9.1999999999999993</v>
      </c>
      <c r="N462">
        <v>144</v>
      </c>
      <c r="O462">
        <v>22</v>
      </c>
    </row>
    <row r="463" spans="1:15">
      <c r="A463">
        <v>1223013</v>
      </c>
      <c r="B463" t="s">
        <v>432</v>
      </c>
      <c r="C463" t="s">
        <v>31</v>
      </c>
      <c r="D463" t="s">
        <v>136</v>
      </c>
      <c r="E463">
        <v>2025</v>
      </c>
      <c r="F463">
        <v>7</v>
      </c>
      <c r="G463">
        <v>19</v>
      </c>
      <c r="H463">
        <v>9865</v>
      </c>
      <c r="I463">
        <v>501</v>
      </c>
      <c r="J463">
        <v>0</v>
      </c>
      <c r="K463">
        <v>164.4</v>
      </c>
      <c r="L463">
        <v>8.4</v>
      </c>
      <c r="M463">
        <v>8.6999999999999993</v>
      </c>
      <c r="N463">
        <v>152</v>
      </c>
      <c r="O463" s="1" t="s">
        <v>274</v>
      </c>
    </row>
    <row r="464" spans="1:15">
      <c r="A464">
        <v>1223013</v>
      </c>
      <c r="B464" t="s">
        <v>432</v>
      </c>
      <c r="C464" t="s">
        <v>31</v>
      </c>
      <c r="D464" t="s">
        <v>136</v>
      </c>
      <c r="E464">
        <v>2025</v>
      </c>
      <c r="F464">
        <v>8</v>
      </c>
      <c r="G464">
        <v>17</v>
      </c>
      <c r="H464">
        <v>8871</v>
      </c>
      <c r="I464">
        <v>235</v>
      </c>
      <c r="J464">
        <v>0</v>
      </c>
      <c r="K464">
        <v>147.80000000000001</v>
      </c>
      <c r="L464">
        <v>3.9</v>
      </c>
      <c r="M464">
        <v>8.6999999999999993</v>
      </c>
      <c r="N464">
        <v>136</v>
      </c>
      <c r="O464" s="1" t="s">
        <v>433</v>
      </c>
    </row>
    <row r="465" spans="1:15">
      <c r="A465">
        <v>1223022</v>
      </c>
      <c r="B465" t="s">
        <v>434</v>
      </c>
      <c r="C465" t="s">
        <v>49</v>
      </c>
      <c r="D465" t="s">
        <v>194</v>
      </c>
      <c r="E465">
        <v>2025</v>
      </c>
      <c r="F465">
        <v>6</v>
      </c>
      <c r="G465">
        <v>13</v>
      </c>
      <c r="H465">
        <v>7817</v>
      </c>
      <c r="I465">
        <v>451</v>
      </c>
      <c r="J465">
        <v>0</v>
      </c>
      <c r="K465">
        <v>130.30000000000001</v>
      </c>
      <c r="L465">
        <v>7.5</v>
      </c>
      <c r="M465">
        <v>10</v>
      </c>
      <c r="N465">
        <v>104</v>
      </c>
      <c r="O465" s="1" t="s">
        <v>435</v>
      </c>
    </row>
    <row r="466" spans="1:15">
      <c r="A466">
        <v>1223022</v>
      </c>
      <c r="B466" t="s">
        <v>434</v>
      </c>
      <c r="C466" t="s">
        <v>49</v>
      </c>
      <c r="D466" t="s">
        <v>194</v>
      </c>
      <c r="E466">
        <v>2025</v>
      </c>
      <c r="F466">
        <v>7</v>
      </c>
      <c r="G466">
        <v>16</v>
      </c>
      <c r="H466">
        <v>9206</v>
      </c>
      <c r="I466">
        <v>190</v>
      </c>
      <c r="J466">
        <v>0</v>
      </c>
      <c r="K466">
        <v>153.4</v>
      </c>
      <c r="L466">
        <v>3.2</v>
      </c>
      <c r="M466">
        <v>9.6</v>
      </c>
      <c r="N466">
        <v>128</v>
      </c>
      <c r="O466" s="1" t="s">
        <v>436</v>
      </c>
    </row>
    <row r="467" spans="1:15">
      <c r="A467">
        <v>1223022</v>
      </c>
      <c r="B467" t="s">
        <v>434</v>
      </c>
      <c r="C467" t="s">
        <v>49</v>
      </c>
      <c r="D467" t="s">
        <v>194</v>
      </c>
      <c r="E467">
        <v>2025</v>
      </c>
      <c r="F467">
        <v>8</v>
      </c>
      <c r="G467">
        <v>14</v>
      </c>
      <c r="H467">
        <v>6838</v>
      </c>
      <c r="I467">
        <v>160</v>
      </c>
      <c r="J467">
        <v>0</v>
      </c>
      <c r="K467">
        <v>114</v>
      </c>
      <c r="L467">
        <v>2.7</v>
      </c>
      <c r="M467">
        <v>8.1</v>
      </c>
      <c r="N467">
        <v>112</v>
      </c>
      <c r="O467">
        <v>2</v>
      </c>
    </row>
    <row r="468" spans="1:15">
      <c r="A468">
        <v>1223024</v>
      </c>
      <c r="B468" t="s">
        <v>437</v>
      </c>
      <c r="C468" t="s">
        <v>16</v>
      </c>
      <c r="D468" t="s">
        <v>194</v>
      </c>
      <c r="E468">
        <v>2025</v>
      </c>
      <c r="F468">
        <v>6</v>
      </c>
      <c r="G468">
        <v>10</v>
      </c>
      <c r="H468">
        <v>3249</v>
      </c>
      <c r="I468">
        <v>0</v>
      </c>
      <c r="J468">
        <v>0</v>
      </c>
      <c r="K468">
        <v>54.2</v>
      </c>
      <c r="L468">
        <v>0</v>
      </c>
      <c r="M468">
        <v>5.4</v>
      </c>
      <c r="N468">
        <v>80</v>
      </c>
      <c r="O468">
        <v>-25.8</v>
      </c>
    </row>
    <row r="469" spans="1:15">
      <c r="A469">
        <v>1223024</v>
      </c>
      <c r="B469" t="s">
        <v>437</v>
      </c>
      <c r="C469" t="s">
        <v>16</v>
      </c>
      <c r="D469" t="s">
        <v>194</v>
      </c>
      <c r="E469">
        <v>2025</v>
      </c>
      <c r="F469">
        <v>7</v>
      </c>
      <c r="G469">
        <v>9</v>
      </c>
      <c r="H469">
        <v>3138</v>
      </c>
      <c r="I469">
        <v>0</v>
      </c>
      <c r="J469">
        <v>1</v>
      </c>
      <c r="K469">
        <v>52.3</v>
      </c>
      <c r="L469">
        <v>0</v>
      </c>
      <c r="M469">
        <v>5.8</v>
      </c>
      <c r="N469">
        <v>64</v>
      </c>
      <c r="O469">
        <v>-11.7</v>
      </c>
    </row>
    <row r="470" spans="1:15">
      <c r="A470">
        <v>1223025</v>
      </c>
      <c r="B470" t="s">
        <v>438</v>
      </c>
      <c r="C470" t="s">
        <v>210</v>
      </c>
      <c r="D470" t="s">
        <v>194</v>
      </c>
      <c r="E470">
        <v>2025</v>
      </c>
      <c r="F470">
        <v>6</v>
      </c>
      <c r="G470">
        <v>13</v>
      </c>
      <c r="H470">
        <v>6802</v>
      </c>
      <c r="I470">
        <v>0</v>
      </c>
      <c r="J470">
        <v>1</v>
      </c>
      <c r="K470">
        <v>113.4</v>
      </c>
      <c r="L470">
        <v>0</v>
      </c>
      <c r="M470">
        <v>8.6999999999999993</v>
      </c>
      <c r="N470">
        <v>96</v>
      </c>
      <c r="O470" s="1" t="s">
        <v>105</v>
      </c>
    </row>
    <row r="471" spans="1:15">
      <c r="A471">
        <v>1223025</v>
      </c>
      <c r="B471" t="s">
        <v>438</v>
      </c>
      <c r="C471" t="s">
        <v>210</v>
      </c>
      <c r="D471" t="s">
        <v>194</v>
      </c>
      <c r="E471">
        <v>2025</v>
      </c>
      <c r="F471">
        <v>7</v>
      </c>
      <c r="G471">
        <v>10</v>
      </c>
      <c r="H471">
        <v>5006</v>
      </c>
      <c r="I471">
        <v>0</v>
      </c>
      <c r="J471">
        <v>0</v>
      </c>
      <c r="K471">
        <v>83.4</v>
      </c>
      <c r="L471">
        <v>0</v>
      </c>
      <c r="M471">
        <v>8.3000000000000007</v>
      </c>
      <c r="N471">
        <v>80</v>
      </c>
      <c r="O471" s="1" t="s">
        <v>439</v>
      </c>
    </row>
    <row r="472" spans="1:15">
      <c r="A472">
        <v>1223025</v>
      </c>
      <c r="B472" t="s">
        <v>438</v>
      </c>
      <c r="C472" t="s">
        <v>210</v>
      </c>
      <c r="D472" t="s">
        <v>194</v>
      </c>
      <c r="E472">
        <v>2025</v>
      </c>
      <c r="F472">
        <v>8</v>
      </c>
      <c r="G472">
        <v>4</v>
      </c>
      <c r="H472">
        <v>1966</v>
      </c>
      <c r="I472">
        <v>0</v>
      </c>
      <c r="J472">
        <v>0</v>
      </c>
      <c r="K472">
        <v>32.799999999999997</v>
      </c>
      <c r="L472">
        <v>0</v>
      </c>
      <c r="M472">
        <v>8.1999999999999993</v>
      </c>
      <c r="N472">
        <v>32</v>
      </c>
      <c r="O472" s="1" t="s">
        <v>440</v>
      </c>
    </row>
    <row r="473" spans="1:15">
      <c r="A473">
        <v>1223029</v>
      </c>
      <c r="B473" t="s">
        <v>441</v>
      </c>
      <c r="C473" t="s">
        <v>41</v>
      </c>
      <c r="D473" t="s">
        <v>194</v>
      </c>
      <c r="E473">
        <v>2025</v>
      </c>
      <c r="F473">
        <v>6</v>
      </c>
      <c r="G473">
        <v>19</v>
      </c>
      <c r="H473">
        <v>10352</v>
      </c>
      <c r="I473">
        <v>0</v>
      </c>
      <c r="J473">
        <v>0</v>
      </c>
      <c r="K473">
        <v>172.5</v>
      </c>
      <c r="L473">
        <v>0</v>
      </c>
      <c r="M473">
        <v>9.1</v>
      </c>
      <c r="N473">
        <v>152</v>
      </c>
      <c r="O473">
        <v>20.5</v>
      </c>
    </row>
    <row r="474" spans="1:15">
      <c r="A474">
        <v>1223029</v>
      </c>
      <c r="B474" t="s">
        <v>441</v>
      </c>
      <c r="C474" t="s">
        <v>41</v>
      </c>
      <c r="D474" t="s">
        <v>194</v>
      </c>
      <c r="E474">
        <v>2025</v>
      </c>
      <c r="F474">
        <v>7</v>
      </c>
      <c r="G474">
        <v>18</v>
      </c>
      <c r="H474">
        <v>10272</v>
      </c>
      <c r="I474">
        <v>0</v>
      </c>
      <c r="J474">
        <v>0</v>
      </c>
      <c r="K474">
        <v>171.2</v>
      </c>
      <c r="L474">
        <v>0</v>
      </c>
      <c r="M474">
        <v>9.5</v>
      </c>
      <c r="N474">
        <v>144</v>
      </c>
      <c r="O474" s="1" t="s">
        <v>442</v>
      </c>
    </row>
    <row r="475" spans="1:15">
      <c r="A475">
        <v>1223029</v>
      </c>
      <c r="B475" t="s">
        <v>441</v>
      </c>
      <c r="C475" t="s">
        <v>41</v>
      </c>
      <c r="D475" t="s">
        <v>194</v>
      </c>
      <c r="E475">
        <v>2025</v>
      </c>
      <c r="F475">
        <v>8</v>
      </c>
      <c r="G475">
        <v>15</v>
      </c>
      <c r="H475">
        <v>7869</v>
      </c>
      <c r="I475">
        <v>0</v>
      </c>
      <c r="J475">
        <v>0</v>
      </c>
      <c r="K475">
        <v>131.19999999999999</v>
      </c>
      <c r="L475">
        <v>0</v>
      </c>
      <c r="M475">
        <v>8.6999999999999993</v>
      </c>
      <c r="N475">
        <v>120</v>
      </c>
      <c r="O475" s="1" t="s">
        <v>77</v>
      </c>
    </row>
    <row r="476" spans="1:15">
      <c r="A476">
        <v>1223031</v>
      </c>
      <c r="B476" t="s">
        <v>443</v>
      </c>
      <c r="C476" t="s">
        <v>225</v>
      </c>
      <c r="D476" t="s">
        <v>136</v>
      </c>
      <c r="E476">
        <v>2025</v>
      </c>
      <c r="F476">
        <v>6</v>
      </c>
      <c r="G476">
        <v>12</v>
      </c>
      <c r="H476">
        <v>6467</v>
      </c>
      <c r="I476">
        <v>0</v>
      </c>
      <c r="J476">
        <v>0</v>
      </c>
      <c r="K476">
        <v>107.8</v>
      </c>
      <c r="L476">
        <v>0</v>
      </c>
      <c r="M476">
        <v>9</v>
      </c>
      <c r="N476">
        <v>96</v>
      </c>
      <c r="O476" s="1" t="s">
        <v>444</v>
      </c>
    </row>
    <row r="477" spans="1:15">
      <c r="A477">
        <v>1223031</v>
      </c>
      <c r="B477" t="s">
        <v>443</v>
      </c>
      <c r="C477" t="s">
        <v>225</v>
      </c>
      <c r="D477" t="s">
        <v>136</v>
      </c>
      <c r="E477">
        <v>2025</v>
      </c>
      <c r="F477">
        <v>7</v>
      </c>
      <c r="G477">
        <v>19</v>
      </c>
      <c r="H477">
        <v>10651</v>
      </c>
      <c r="I477">
        <v>0</v>
      </c>
      <c r="J477">
        <v>0</v>
      </c>
      <c r="K477">
        <v>177.5</v>
      </c>
      <c r="L477">
        <v>0</v>
      </c>
      <c r="M477">
        <v>9.3000000000000007</v>
      </c>
      <c r="N477">
        <v>152</v>
      </c>
      <c r="O477">
        <v>25.5</v>
      </c>
    </row>
    <row r="478" spans="1:15">
      <c r="A478">
        <v>1223031</v>
      </c>
      <c r="B478" t="s">
        <v>443</v>
      </c>
      <c r="C478" t="s">
        <v>225</v>
      </c>
      <c r="D478" t="s">
        <v>136</v>
      </c>
      <c r="E478">
        <v>2025</v>
      </c>
      <c r="F478">
        <v>8</v>
      </c>
      <c r="G478">
        <v>15</v>
      </c>
      <c r="H478">
        <v>7855</v>
      </c>
      <c r="I478">
        <v>0</v>
      </c>
      <c r="J478">
        <v>0</v>
      </c>
      <c r="K478">
        <v>130.9</v>
      </c>
      <c r="L478">
        <v>0</v>
      </c>
      <c r="M478">
        <v>8.6999999999999993</v>
      </c>
      <c r="N478">
        <v>120</v>
      </c>
      <c r="O478" s="1" t="s">
        <v>297</v>
      </c>
    </row>
    <row r="479" spans="1:15">
      <c r="A479">
        <v>1223032</v>
      </c>
      <c r="B479" t="s">
        <v>445</v>
      </c>
      <c r="C479" t="s">
        <v>39</v>
      </c>
      <c r="D479" t="s">
        <v>136</v>
      </c>
      <c r="E479">
        <v>2025</v>
      </c>
      <c r="F479">
        <v>6</v>
      </c>
      <c r="G479">
        <v>14</v>
      </c>
      <c r="H479">
        <v>6292</v>
      </c>
      <c r="I479">
        <v>0</v>
      </c>
      <c r="J479">
        <v>0</v>
      </c>
      <c r="K479">
        <v>104.9</v>
      </c>
      <c r="L479">
        <v>0</v>
      </c>
      <c r="M479">
        <v>7.5</v>
      </c>
      <c r="N479">
        <v>112</v>
      </c>
      <c r="O479">
        <v>-7.1</v>
      </c>
    </row>
    <row r="480" spans="1:15">
      <c r="A480">
        <v>1223032</v>
      </c>
      <c r="B480" t="s">
        <v>445</v>
      </c>
      <c r="C480" t="s">
        <v>39</v>
      </c>
      <c r="D480" t="s">
        <v>136</v>
      </c>
      <c r="E480">
        <v>2025</v>
      </c>
      <c r="F480">
        <v>7</v>
      </c>
      <c r="G480">
        <v>15</v>
      </c>
      <c r="H480">
        <v>5312</v>
      </c>
      <c r="I480">
        <v>0</v>
      </c>
      <c r="J480">
        <v>2</v>
      </c>
      <c r="K480">
        <v>88.5</v>
      </c>
      <c r="L480">
        <v>0</v>
      </c>
      <c r="M480">
        <v>5.9</v>
      </c>
      <c r="N480">
        <v>104</v>
      </c>
      <c r="O480">
        <v>-15.5</v>
      </c>
    </row>
    <row r="481" spans="1:15">
      <c r="A481">
        <v>1223032</v>
      </c>
      <c r="B481" t="s">
        <v>445</v>
      </c>
      <c r="C481" t="s">
        <v>39</v>
      </c>
      <c r="D481" t="s">
        <v>136</v>
      </c>
      <c r="E481">
        <v>2025</v>
      </c>
      <c r="F481">
        <v>8</v>
      </c>
      <c r="G481">
        <v>14</v>
      </c>
      <c r="H481">
        <v>5849</v>
      </c>
      <c r="I481">
        <v>0</v>
      </c>
      <c r="J481">
        <v>0</v>
      </c>
      <c r="K481">
        <v>97.5</v>
      </c>
      <c r="L481">
        <v>0</v>
      </c>
      <c r="M481">
        <v>7</v>
      </c>
      <c r="N481">
        <v>112</v>
      </c>
      <c r="O481">
        <v>-14.5</v>
      </c>
    </row>
    <row r="482" spans="1:15">
      <c r="A482">
        <v>1223033</v>
      </c>
      <c r="B482" t="s">
        <v>446</v>
      </c>
      <c r="C482" t="s">
        <v>49</v>
      </c>
      <c r="D482" t="s">
        <v>136</v>
      </c>
      <c r="E482">
        <v>2025</v>
      </c>
      <c r="F482">
        <v>6</v>
      </c>
      <c r="G482">
        <v>19</v>
      </c>
      <c r="H482">
        <v>10259</v>
      </c>
      <c r="I482">
        <v>893</v>
      </c>
      <c r="J482">
        <v>1</v>
      </c>
      <c r="K482">
        <v>171</v>
      </c>
      <c r="L482">
        <v>14.9</v>
      </c>
      <c r="M482">
        <v>9</v>
      </c>
      <c r="N482">
        <v>144</v>
      </c>
      <c r="O482">
        <v>27</v>
      </c>
    </row>
    <row r="483" spans="1:15">
      <c r="A483">
        <v>1223033</v>
      </c>
      <c r="B483" t="s">
        <v>446</v>
      </c>
      <c r="C483" t="s">
        <v>49</v>
      </c>
      <c r="D483" t="s">
        <v>136</v>
      </c>
      <c r="E483">
        <v>2025</v>
      </c>
      <c r="F483">
        <v>7</v>
      </c>
      <c r="G483">
        <v>14</v>
      </c>
      <c r="H483">
        <v>7942</v>
      </c>
      <c r="I483">
        <v>672</v>
      </c>
      <c r="J483">
        <v>0</v>
      </c>
      <c r="K483">
        <v>132.4</v>
      </c>
      <c r="L483">
        <v>11.2</v>
      </c>
      <c r="M483">
        <v>9.5</v>
      </c>
      <c r="N483">
        <v>112</v>
      </c>
      <c r="O483" s="1" t="s">
        <v>447</v>
      </c>
    </row>
    <row r="484" spans="1:15">
      <c r="A484">
        <v>1223033</v>
      </c>
      <c r="B484" t="s">
        <v>446</v>
      </c>
      <c r="C484" t="s">
        <v>49</v>
      </c>
      <c r="D484" t="s">
        <v>136</v>
      </c>
      <c r="E484">
        <v>2025</v>
      </c>
      <c r="F484">
        <v>8</v>
      </c>
      <c r="G484">
        <v>16</v>
      </c>
      <c r="H484">
        <v>10018</v>
      </c>
      <c r="I484">
        <v>1209</v>
      </c>
      <c r="J484">
        <v>0</v>
      </c>
      <c r="K484">
        <v>167</v>
      </c>
      <c r="L484">
        <v>20.2</v>
      </c>
      <c r="M484">
        <v>10.4</v>
      </c>
      <c r="N484">
        <v>128</v>
      </c>
      <c r="O484">
        <v>39</v>
      </c>
    </row>
    <row r="485" spans="1:15">
      <c r="A485">
        <v>1223034</v>
      </c>
      <c r="B485" t="s">
        <v>448</v>
      </c>
      <c r="C485" t="s">
        <v>31</v>
      </c>
      <c r="D485" t="s">
        <v>136</v>
      </c>
      <c r="E485">
        <v>2025</v>
      </c>
      <c r="F485">
        <v>6</v>
      </c>
      <c r="G485">
        <v>18</v>
      </c>
      <c r="H485">
        <v>11153</v>
      </c>
      <c r="I485">
        <v>1391</v>
      </c>
      <c r="J485">
        <v>0</v>
      </c>
      <c r="K485">
        <v>185.9</v>
      </c>
      <c r="L485">
        <v>23.2</v>
      </c>
      <c r="M485">
        <v>10.3</v>
      </c>
      <c r="N485">
        <v>144</v>
      </c>
      <c r="O485" s="1" t="s">
        <v>305</v>
      </c>
    </row>
    <row r="486" spans="1:15">
      <c r="A486">
        <v>1223034</v>
      </c>
      <c r="B486" t="s">
        <v>448</v>
      </c>
      <c r="C486" t="s">
        <v>31</v>
      </c>
      <c r="D486" t="s">
        <v>136</v>
      </c>
      <c r="E486">
        <v>2025</v>
      </c>
      <c r="F486">
        <v>7</v>
      </c>
      <c r="G486">
        <v>21</v>
      </c>
      <c r="H486">
        <v>12219</v>
      </c>
      <c r="I486">
        <v>1958</v>
      </c>
      <c r="J486">
        <v>0</v>
      </c>
      <c r="K486">
        <v>203.6</v>
      </c>
      <c r="L486">
        <v>32.6</v>
      </c>
      <c r="M486">
        <v>9.6999999999999993</v>
      </c>
      <c r="N486">
        <v>168</v>
      </c>
      <c r="O486" s="1" t="s">
        <v>449</v>
      </c>
    </row>
    <row r="487" spans="1:15">
      <c r="A487">
        <v>1223034</v>
      </c>
      <c r="B487" t="s">
        <v>448</v>
      </c>
      <c r="C487" t="s">
        <v>31</v>
      </c>
      <c r="D487" t="s">
        <v>136</v>
      </c>
      <c r="E487">
        <v>2025</v>
      </c>
      <c r="F487">
        <v>8</v>
      </c>
      <c r="G487">
        <v>15</v>
      </c>
      <c r="H487">
        <v>9525</v>
      </c>
      <c r="I487">
        <v>1529</v>
      </c>
      <c r="J487">
        <v>0</v>
      </c>
      <c r="K487">
        <v>158.80000000000001</v>
      </c>
      <c r="L487">
        <v>25.5</v>
      </c>
      <c r="M487">
        <v>10.6</v>
      </c>
      <c r="N487">
        <v>120</v>
      </c>
      <c r="O487" s="1" t="s">
        <v>450</v>
      </c>
    </row>
    <row r="488" spans="1:15">
      <c r="A488">
        <v>1223035</v>
      </c>
      <c r="B488" t="s">
        <v>451</v>
      </c>
      <c r="C488" t="s">
        <v>44</v>
      </c>
      <c r="D488" t="s">
        <v>136</v>
      </c>
      <c r="E488">
        <v>2025</v>
      </c>
      <c r="F488">
        <v>6</v>
      </c>
      <c r="G488">
        <v>18</v>
      </c>
      <c r="H488">
        <v>9990</v>
      </c>
      <c r="I488">
        <v>239</v>
      </c>
      <c r="J488">
        <v>1</v>
      </c>
      <c r="K488">
        <v>166.5</v>
      </c>
      <c r="L488">
        <v>4</v>
      </c>
      <c r="M488">
        <v>9.1999999999999993</v>
      </c>
      <c r="N488">
        <v>136</v>
      </c>
      <c r="O488">
        <v>30.5</v>
      </c>
    </row>
    <row r="489" spans="1:15">
      <c r="A489">
        <v>1223035</v>
      </c>
      <c r="B489" t="s">
        <v>451</v>
      </c>
      <c r="C489" t="s">
        <v>44</v>
      </c>
      <c r="D489" t="s">
        <v>136</v>
      </c>
      <c r="E489">
        <v>2025</v>
      </c>
      <c r="F489">
        <v>7</v>
      </c>
      <c r="G489">
        <v>19</v>
      </c>
      <c r="H489">
        <v>12766</v>
      </c>
      <c r="I489">
        <v>413</v>
      </c>
      <c r="J489">
        <v>0</v>
      </c>
      <c r="K489">
        <v>212.8</v>
      </c>
      <c r="L489">
        <v>6.9</v>
      </c>
      <c r="M489">
        <v>11.2</v>
      </c>
      <c r="N489">
        <v>152</v>
      </c>
      <c r="O489" s="1" t="s">
        <v>452</v>
      </c>
    </row>
    <row r="490" spans="1:15">
      <c r="A490">
        <v>1223035</v>
      </c>
      <c r="B490" t="s">
        <v>451</v>
      </c>
      <c r="C490" t="s">
        <v>44</v>
      </c>
      <c r="D490" t="s">
        <v>136</v>
      </c>
      <c r="E490">
        <v>2025</v>
      </c>
      <c r="F490">
        <v>8</v>
      </c>
      <c r="G490">
        <v>15</v>
      </c>
      <c r="H490">
        <v>8250</v>
      </c>
      <c r="I490">
        <v>103</v>
      </c>
      <c r="J490">
        <v>0</v>
      </c>
      <c r="K490">
        <v>137.5</v>
      </c>
      <c r="L490">
        <v>1.7</v>
      </c>
      <c r="M490">
        <v>9.1999999999999993</v>
      </c>
      <c r="N490">
        <v>120</v>
      </c>
      <c r="O490">
        <v>17.5</v>
      </c>
    </row>
    <row r="491" spans="1:15">
      <c r="A491">
        <v>1223037</v>
      </c>
      <c r="B491" t="s">
        <v>453</v>
      </c>
      <c r="C491" t="s">
        <v>218</v>
      </c>
      <c r="D491" t="s">
        <v>20</v>
      </c>
      <c r="E491">
        <v>2025</v>
      </c>
      <c r="F491">
        <v>6</v>
      </c>
      <c r="G491">
        <v>20</v>
      </c>
      <c r="H491">
        <v>10698</v>
      </c>
      <c r="I491">
        <v>0</v>
      </c>
      <c r="J491">
        <v>1</v>
      </c>
      <c r="K491">
        <v>178.3</v>
      </c>
      <c r="L491">
        <v>0</v>
      </c>
      <c r="M491">
        <v>8.9</v>
      </c>
      <c r="N491">
        <v>152</v>
      </c>
      <c r="O491" s="1" t="s">
        <v>435</v>
      </c>
    </row>
    <row r="492" spans="1:15">
      <c r="A492">
        <v>1223037</v>
      </c>
      <c r="B492" t="s">
        <v>453</v>
      </c>
      <c r="C492" t="s">
        <v>218</v>
      </c>
      <c r="D492" t="s">
        <v>20</v>
      </c>
      <c r="E492">
        <v>2025</v>
      </c>
      <c r="F492">
        <v>7</v>
      </c>
      <c r="G492">
        <v>24</v>
      </c>
      <c r="H492">
        <v>10429</v>
      </c>
      <c r="I492">
        <v>0</v>
      </c>
      <c r="J492">
        <v>3</v>
      </c>
      <c r="K492">
        <v>173.8</v>
      </c>
      <c r="L492">
        <v>0</v>
      </c>
      <c r="M492">
        <v>7.2</v>
      </c>
      <c r="N492">
        <v>168</v>
      </c>
      <c r="O492" s="1" t="s">
        <v>454</v>
      </c>
    </row>
    <row r="493" spans="1:15">
      <c r="A493">
        <v>1223037</v>
      </c>
      <c r="B493" t="s">
        <v>453</v>
      </c>
      <c r="C493" t="s">
        <v>218</v>
      </c>
      <c r="D493" t="s">
        <v>20</v>
      </c>
      <c r="E493">
        <v>2025</v>
      </c>
      <c r="F493">
        <v>8</v>
      </c>
      <c r="G493">
        <v>18</v>
      </c>
      <c r="H493">
        <v>9113</v>
      </c>
      <c r="I493">
        <v>0</v>
      </c>
      <c r="J493">
        <v>2</v>
      </c>
      <c r="K493">
        <v>151.9</v>
      </c>
      <c r="L493">
        <v>0</v>
      </c>
      <c r="M493">
        <v>8.4</v>
      </c>
      <c r="N493">
        <v>128</v>
      </c>
      <c r="O493" s="1" t="s">
        <v>230</v>
      </c>
    </row>
    <row r="494" spans="1:15">
      <c r="A494">
        <v>1223044</v>
      </c>
      <c r="B494" t="s">
        <v>455</v>
      </c>
      <c r="C494" t="s">
        <v>218</v>
      </c>
      <c r="D494" t="s">
        <v>136</v>
      </c>
      <c r="E494">
        <v>2025</v>
      </c>
      <c r="F494">
        <v>6</v>
      </c>
      <c r="G494">
        <v>15</v>
      </c>
      <c r="H494">
        <v>9352</v>
      </c>
      <c r="I494">
        <v>0</v>
      </c>
      <c r="J494">
        <v>1</v>
      </c>
      <c r="K494">
        <v>155.9</v>
      </c>
      <c r="L494">
        <v>0</v>
      </c>
      <c r="M494">
        <v>10.4</v>
      </c>
      <c r="N494">
        <v>112</v>
      </c>
      <c r="O494" s="1" t="s">
        <v>456</v>
      </c>
    </row>
    <row r="495" spans="1:15">
      <c r="A495">
        <v>1223044</v>
      </c>
      <c r="B495" t="s">
        <v>455</v>
      </c>
      <c r="C495" t="s">
        <v>218</v>
      </c>
      <c r="D495" t="s">
        <v>136</v>
      </c>
      <c r="E495">
        <v>2025</v>
      </c>
      <c r="F495">
        <v>7</v>
      </c>
      <c r="G495">
        <v>20</v>
      </c>
      <c r="H495">
        <v>11970</v>
      </c>
      <c r="I495">
        <v>0</v>
      </c>
      <c r="J495">
        <v>1</v>
      </c>
      <c r="K495">
        <v>199.5</v>
      </c>
      <c r="L495">
        <v>0</v>
      </c>
      <c r="M495">
        <v>10</v>
      </c>
      <c r="N495">
        <v>152</v>
      </c>
      <c r="O495">
        <v>47.5</v>
      </c>
    </row>
    <row r="496" spans="1:15">
      <c r="A496">
        <v>1223044</v>
      </c>
      <c r="B496" t="s">
        <v>455</v>
      </c>
      <c r="C496" t="s">
        <v>218</v>
      </c>
      <c r="D496" t="s">
        <v>136</v>
      </c>
      <c r="E496">
        <v>2025</v>
      </c>
      <c r="F496">
        <v>8</v>
      </c>
      <c r="G496">
        <v>19</v>
      </c>
      <c r="H496">
        <v>8719</v>
      </c>
      <c r="I496">
        <v>0</v>
      </c>
      <c r="J496">
        <v>2</v>
      </c>
      <c r="K496">
        <v>145.30000000000001</v>
      </c>
      <c r="L496">
        <v>0</v>
      </c>
      <c r="M496">
        <v>7.6</v>
      </c>
      <c r="N496">
        <v>136</v>
      </c>
      <c r="O496" s="1" t="s">
        <v>299</v>
      </c>
    </row>
    <row r="497" spans="1:15">
      <c r="A497">
        <v>1223045</v>
      </c>
      <c r="B497" t="s">
        <v>457</v>
      </c>
      <c r="C497" t="s">
        <v>160</v>
      </c>
      <c r="D497" t="s">
        <v>136</v>
      </c>
      <c r="E497">
        <v>2025</v>
      </c>
      <c r="F497">
        <v>6</v>
      </c>
      <c r="G497">
        <v>18</v>
      </c>
      <c r="H497">
        <v>8405</v>
      </c>
      <c r="I497">
        <v>0</v>
      </c>
      <c r="J497">
        <v>2</v>
      </c>
      <c r="K497">
        <v>140.1</v>
      </c>
      <c r="L497">
        <v>0</v>
      </c>
      <c r="M497">
        <v>7.8</v>
      </c>
      <c r="N497">
        <v>128</v>
      </c>
      <c r="O497" s="1" t="s">
        <v>375</v>
      </c>
    </row>
    <row r="498" spans="1:15">
      <c r="A498">
        <v>1223045</v>
      </c>
      <c r="B498" t="s">
        <v>457</v>
      </c>
      <c r="C498" t="s">
        <v>160</v>
      </c>
      <c r="D498" t="s">
        <v>136</v>
      </c>
      <c r="E498">
        <v>2025</v>
      </c>
      <c r="F498">
        <v>7</v>
      </c>
      <c r="G498">
        <v>18</v>
      </c>
      <c r="H498">
        <v>9252</v>
      </c>
      <c r="I498">
        <v>0</v>
      </c>
      <c r="J498">
        <v>0</v>
      </c>
      <c r="K498">
        <v>154.19999999999999</v>
      </c>
      <c r="L498">
        <v>0</v>
      </c>
      <c r="M498">
        <v>8.6</v>
      </c>
      <c r="N498">
        <v>144</v>
      </c>
      <c r="O498" s="1" t="s">
        <v>458</v>
      </c>
    </row>
    <row r="499" spans="1:15">
      <c r="A499">
        <v>1223045</v>
      </c>
      <c r="B499" t="s">
        <v>457</v>
      </c>
      <c r="C499" t="s">
        <v>160</v>
      </c>
      <c r="D499" t="s">
        <v>136</v>
      </c>
      <c r="E499">
        <v>2025</v>
      </c>
      <c r="F499">
        <v>8</v>
      </c>
      <c r="G499">
        <v>17</v>
      </c>
      <c r="H499">
        <v>8312</v>
      </c>
      <c r="I499">
        <v>0</v>
      </c>
      <c r="J499">
        <v>0</v>
      </c>
      <c r="K499">
        <v>138.5</v>
      </c>
      <c r="L499">
        <v>0</v>
      </c>
      <c r="M499">
        <v>8.1</v>
      </c>
      <c r="N499">
        <v>136</v>
      </c>
      <c r="O499">
        <v>2.5</v>
      </c>
    </row>
    <row r="500" spans="1:15">
      <c r="A500">
        <v>1223050</v>
      </c>
      <c r="B500" t="s">
        <v>459</v>
      </c>
      <c r="C500" t="s">
        <v>31</v>
      </c>
      <c r="D500" t="s">
        <v>20</v>
      </c>
      <c r="E500">
        <v>2025</v>
      </c>
      <c r="F500">
        <v>6</v>
      </c>
      <c r="G500">
        <v>18</v>
      </c>
      <c r="H500">
        <v>11217</v>
      </c>
      <c r="I500">
        <v>617</v>
      </c>
      <c r="J500">
        <v>0</v>
      </c>
      <c r="K500">
        <v>187</v>
      </c>
      <c r="L500">
        <v>10.3</v>
      </c>
      <c r="M500">
        <v>10.4</v>
      </c>
      <c r="N500">
        <v>144</v>
      </c>
      <c r="O500">
        <v>43</v>
      </c>
    </row>
    <row r="501" spans="1:15">
      <c r="A501">
        <v>1223050</v>
      </c>
      <c r="B501" t="s">
        <v>459</v>
      </c>
      <c r="C501" t="s">
        <v>31</v>
      </c>
      <c r="D501" t="s">
        <v>20</v>
      </c>
      <c r="E501">
        <v>2025</v>
      </c>
      <c r="F501">
        <v>7</v>
      </c>
      <c r="G501">
        <v>19</v>
      </c>
      <c r="H501">
        <v>12211</v>
      </c>
      <c r="I501">
        <v>1161</v>
      </c>
      <c r="J501">
        <v>0</v>
      </c>
      <c r="K501">
        <v>203.5</v>
      </c>
      <c r="L501">
        <v>19.399999999999999</v>
      </c>
      <c r="M501">
        <v>10.7</v>
      </c>
      <c r="N501">
        <v>152</v>
      </c>
      <c r="O501">
        <v>51.5</v>
      </c>
    </row>
    <row r="502" spans="1:15">
      <c r="A502">
        <v>1223050</v>
      </c>
      <c r="B502" t="s">
        <v>459</v>
      </c>
      <c r="C502" t="s">
        <v>31</v>
      </c>
      <c r="D502" t="s">
        <v>20</v>
      </c>
      <c r="E502">
        <v>2025</v>
      </c>
      <c r="F502">
        <v>8</v>
      </c>
      <c r="G502">
        <v>16</v>
      </c>
      <c r="H502">
        <v>9687</v>
      </c>
      <c r="I502">
        <v>760</v>
      </c>
      <c r="J502">
        <v>0</v>
      </c>
      <c r="K502">
        <v>161.4</v>
      </c>
      <c r="L502">
        <v>12.7</v>
      </c>
      <c r="M502">
        <v>10.1</v>
      </c>
      <c r="N502">
        <v>128</v>
      </c>
      <c r="O502" s="1" t="s">
        <v>460</v>
      </c>
    </row>
    <row r="503" spans="1:15">
      <c r="A503">
        <v>1223053</v>
      </c>
      <c r="B503" t="s">
        <v>461</v>
      </c>
      <c r="C503" t="s">
        <v>264</v>
      </c>
      <c r="D503" t="s">
        <v>194</v>
      </c>
      <c r="E503">
        <v>2025</v>
      </c>
      <c r="F503">
        <v>6</v>
      </c>
      <c r="G503">
        <v>20</v>
      </c>
      <c r="H503">
        <v>11832</v>
      </c>
      <c r="I503">
        <v>958</v>
      </c>
      <c r="J503">
        <v>1</v>
      </c>
      <c r="K503">
        <v>197.2</v>
      </c>
      <c r="L503">
        <v>16</v>
      </c>
      <c r="M503">
        <v>9.9</v>
      </c>
      <c r="N503">
        <v>152</v>
      </c>
      <c r="O503" s="1" t="s">
        <v>462</v>
      </c>
    </row>
    <row r="504" spans="1:15">
      <c r="A504">
        <v>1223053</v>
      </c>
      <c r="B504" t="s">
        <v>461</v>
      </c>
      <c r="C504" t="s">
        <v>264</v>
      </c>
      <c r="D504" t="s">
        <v>194</v>
      </c>
      <c r="E504">
        <v>2025</v>
      </c>
      <c r="F504">
        <v>7</v>
      </c>
      <c r="G504">
        <v>17</v>
      </c>
      <c r="H504">
        <v>9071</v>
      </c>
      <c r="I504">
        <v>400</v>
      </c>
      <c r="J504">
        <v>0</v>
      </c>
      <c r="K504">
        <v>151.19999999999999</v>
      </c>
      <c r="L504">
        <v>6.7</v>
      </c>
      <c r="M504">
        <v>8.9</v>
      </c>
      <c r="N504">
        <v>136</v>
      </c>
      <c r="O504" s="1" t="s">
        <v>463</v>
      </c>
    </row>
    <row r="505" spans="1:15">
      <c r="A505">
        <v>1223053</v>
      </c>
      <c r="B505" t="s">
        <v>461</v>
      </c>
      <c r="C505" t="s">
        <v>264</v>
      </c>
      <c r="D505" t="s">
        <v>194</v>
      </c>
      <c r="E505">
        <v>2025</v>
      </c>
      <c r="F505">
        <v>8</v>
      </c>
      <c r="G505">
        <v>16</v>
      </c>
      <c r="H505">
        <v>8694</v>
      </c>
      <c r="I505">
        <v>60</v>
      </c>
      <c r="J505">
        <v>0</v>
      </c>
      <c r="K505">
        <v>144.9</v>
      </c>
      <c r="L505">
        <v>1</v>
      </c>
      <c r="M505">
        <v>9.1</v>
      </c>
      <c r="N505">
        <v>128</v>
      </c>
      <c r="O505" s="1" t="s">
        <v>196</v>
      </c>
    </row>
    <row r="506" spans="1:15">
      <c r="A506">
        <v>1223061</v>
      </c>
      <c r="B506" t="s">
        <v>464</v>
      </c>
      <c r="C506" t="s">
        <v>218</v>
      </c>
      <c r="D506" t="s">
        <v>194</v>
      </c>
      <c r="E506">
        <v>2025</v>
      </c>
      <c r="F506">
        <v>6</v>
      </c>
      <c r="G506">
        <v>22</v>
      </c>
      <c r="H506">
        <v>17514</v>
      </c>
      <c r="I506">
        <v>0</v>
      </c>
      <c r="J506">
        <v>4</v>
      </c>
      <c r="K506">
        <v>291.89999999999998</v>
      </c>
      <c r="L506">
        <v>0</v>
      </c>
      <c r="M506">
        <v>13.3</v>
      </c>
      <c r="N506">
        <v>144</v>
      </c>
      <c r="O506" s="1" t="s">
        <v>465</v>
      </c>
    </row>
    <row r="507" spans="1:15">
      <c r="A507">
        <v>1223061</v>
      </c>
      <c r="B507" t="s">
        <v>464</v>
      </c>
      <c r="C507" t="s">
        <v>218</v>
      </c>
      <c r="D507" t="s">
        <v>194</v>
      </c>
      <c r="E507">
        <v>2025</v>
      </c>
      <c r="F507">
        <v>7</v>
      </c>
      <c r="G507">
        <v>23</v>
      </c>
      <c r="H507">
        <v>14412</v>
      </c>
      <c r="I507">
        <v>0</v>
      </c>
      <c r="J507">
        <v>2</v>
      </c>
      <c r="K507">
        <v>240.2</v>
      </c>
      <c r="L507">
        <v>0</v>
      </c>
      <c r="M507">
        <v>10.4</v>
      </c>
      <c r="N507">
        <v>168</v>
      </c>
      <c r="O507" s="1" t="s">
        <v>466</v>
      </c>
    </row>
    <row r="508" spans="1:15">
      <c r="A508">
        <v>1223061</v>
      </c>
      <c r="B508" t="s">
        <v>464</v>
      </c>
      <c r="C508" t="s">
        <v>218</v>
      </c>
      <c r="D508" t="s">
        <v>194</v>
      </c>
      <c r="E508">
        <v>2025</v>
      </c>
      <c r="F508">
        <v>8</v>
      </c>
      <c r="G508">
        <v>13</v>
      </c>
      <c r="H508">
        <v>9146</v>
      </c>
      <c r="I508">
        <v>0</v>
      </c>
      <c r="J508">
        <v>1</v>
      </c>
      <c r="K508">
        <v>152.4</v>
      </c>
      <c r="L508">
        <v>0</v>
      </c>
      <c r="M508">
        <v>11.7</v>
      </c>
      <c r="N508">
        <v>96</v>
      </c>
      <c r="O508" s="1" t="s">
        <v>139</v>
      </c>
    </row>
    <row r="509" spans="1:15">
      <c r="A509">
        <v>1223065</v>
      </c>
      <c r="B509" t="s">
        <v>467</v>
      </c>
      <c r="C509" t="s">
        <v>49</v>
      </c>
      <c r="D509" t="s">
        <v>136</v>
      </c>
      <c r="E509">
        <v>2025</v>
      </c>
      <c r="F509">
        <v>6</v>
      </c>
      <c r="G509">
        <v>15</v>
      </c>
      <c r="H509">
        <v>8899</v>
      </c>
      <c r="I509">
        <v>540</v>
      </c>
      <c r="J509">
        <v>0</v>
      </c>
      <c r="K509">
        <v>148.30000000000001</v>
      </c>
      <c r="L509">
        <v>9</v>
      </c>
      <c r="M509">
        <v>9.9</v>
      </c>
      <c r="N509">
        <v>120</v>
      </c>
      <c r="O509" s="1" t="s">
        <v>184</v>
      </c>
    </row>
    <row r="510" spans="1:15">
      <c r="A510">
        <v>1223065</v>
      </c>
      <c r="B510" t="s">
        <v>467</v>
      </c>
      <c r="C510" t="s">
        <v>49</v>
      </c>
      <c r="D510" t="s">
        <v>136</v>
      </c>
      <c r="E510">
        <v>2025</v>
      </c>
      <c r="F510">
        <v>7</v>
      </c>
      <c r="G510">
        <v>16</v>
      </c>
      <c r="H510">
        <v>8680</v>
      </c>
      <c r="I510">
        <v>0</v>
      </c>
      <c r="J510">
        <v>0</v>
      </c>
      <c r="K510">
        <v>144.69999999999999</v>
      </c>
      <c r="L510">
        <v>0</v>
      </c>
      <c r="M510">
        <v>9</v>
      </c>
      <c r="N510">
        <v>128</v>
      </c>
      <c r="O510" s="1" t="s">
        <v>468</v>
      </c>
    </row>
    <row r="511" spans="1:15">
      <c r="A511">
        <v>1223065</v>
      </c>
      <c r="B511" t="s">
        <v>467</v>
      </c>
      <c r="C511" t="s">
        <v>49</v>
      </c>
      <c r="D511" t="s">
        <v>136</v>
      </c>
      <c r="E511">
        <v>2025</v>
      </c>
      <c r="F511">
        <v>8</v>
      </c>
      <c r="G511">
        <v>15</v>
      </c>
      <c r="H511">
        <v>8562</v>
      </c>
      <c r="I511">
        <v>819</v>
      </c>
      <c r="J511">
        <v>0</v>
      </c>
      <c r="K511">
        <v>142.69999999999999</v>
      </c>
      <c r="L511">
        <v>13.6</v>
      </c>
      <c r="M511">
        <v>9.5</v>
      </c>
      <c r="N511">
        <v>120</v>
      </c>
      <c r="O511" s="1" t="s">
        <v>469</v>
      </c>
    </row>
    <row r="512" spans="1:15">
      <c r="A512">
        <v>1223066</v>
      </c>
      <c r="B512" t="s">
        <v>470</v>
      </c>
      <c r="C512" t="s">
        <v>76</v>
      </c>
      <c r="D512" t="s">
        <v>136</v>
      </c>
      <c r="E512">
        <v>2025</v>
      </c>
      <c r="F512">
        <v>6</v>
      </c>
      <c r="G512">
        <v>19</v>
      </c>
      <c r="H512">
        <v>10285</v>
      </c>
      <c r="I512">
        <v>49</v>
      </c>
      <c r="J512">
        <v>0</v>
      </c>
      <c r="K512">
        <v>171.4</v>
      </c>
      <c r="L512">
        <v>0.8</v>
      </c>
      <c r="M512">
        <v>9</v>
      </c>
      <c r="N512">
        <v>152</v>
      </c>
      <c r="O512" s="1" t="s">
        <v>64</v>
      </c>
    </row>
    <row r="513" spans="1:15">
      <c r="A513">
        <v>1223066</v>
      </c>
      <c r="B513" t="s">
        <v>470</v>
      </c>
      <c r="C513" t="s">
        <v>76</v>
      </c>
      <c r="D513" t="s">
        <v>136</v>
      </c>
      <c r="E513">
        <v>2025</v>
      </c>
      <c r="F513">
        <v>7</v>
      </c>
      <c r="G513">
        <v>18</v>
      </c>
      <c r="H513">
        <v>9500</v>
      </c>
      <c r="I513">
        <v>14</v>
      </c>
      <c r="J513">
        <v>0</v>
      </c>
      <c r="K513">
        <v>158.30000000000001</v>
      </c>
      <c r="L513">
        <v>0.2</v>
      </c>
      <c r="M513">
        <v>8.8000000000000007</v>
      </c>
      <c r="N513">
        <v>144</v>
      </c>
      <c r="O513" s="1" t="s">
        <v>471</v>
      </c>
    </row>
    <row r="514" spans="1:15">
      <c r="A514">
        <v>1223066</v>
      </c>
      <c r="B514" t="s">
        <v>470</v>
      </c>
      <c r="C514" t="s">
        <v>76</v>
      </c>
      <c r="D514" t="s">
        <v>136</v>
      </c>
      <c r="E514">
        <v>2025</v>
      </c>
      <c r="F514">
        <v>8</v>
      </c>
      <c r="G514">
        <v>16</v>
      </c>
      <c r="H514">
        <v>7590</v>
      </c>
      <c r="I514">
        <v>98</v>
      </c>
      <c r="J514">
        <v>0</v>
      </c>
      <c r="K514">
        <v>126.5</v>
      </c>
      <c r="L514">
        <v>1.6</v>
      </c>
      <c r="M514">
        <v>7.9</v>
      </c>
      <c r="N514">
        <v>128</v>
      </c>
      <c r="O514">
        <v>-1.5</v>
      </c>
    </row>
    <row r="515" spans="1:15">
      <c r="A515">
        <v>1223067</v>
      </c>
      <c r="B515" t="s">
        <v>472</v>
      </c>
      <c r="C515" t="s">
        <v>239</v>
      </c>
      <c r="D515" t="s">
        <v>136</v>
      </c>
      <c r="E515">
        <v>2025</v>
      </c>
      <c r="F515">
        <v>6</v>
      </c>
      <c r="G515">
        <v>25</v>
      </c>
      <c r="H515">
        <v>12481</v>
      </c>
      <c r="I515">
        <v>439</v>
      </c>
      <c r="J515">
        <v>5</v>
      </c>
      <c r="K515">
        <v>208</v>
      </c>
      <c r="L515">
        <v>7.3</v>
      </c>
      <c r="M515">
        <v>8.3000000000000007</v>
      </c>
      <c r="N515">
        <v>160</v>
      </c>
      <c r="O515">
        <v>48</v>
      </c>
    </row>
    <row r="516" spans="1:15">
      <c r="A516">
        <v>1223067</v>
      </c>
      <c r="B516" t="s">
        <v>472</v>
      </c>
      <c r="C516" t="s">
        <v>239</v>
      </c>
      <c r="D516" t="s">
        <v>136</v>
      </c>
      <c r="E516">
        <v>2025</v>
      </c>
      <c r="F516">
        <v>7</v>
      </c>
      <c r="G516">
        <v>23</v>
      </c>
      <c r="H516">
        <v>14844</v>
      </c>
      <c r="I516">
        <v>2295</v>
      </c>
      <c r="J516">
        <v>4</v>
      </c>
      <c r="K516">
        <v>247.4</v>
      </c>
      <c r="L516">
        <v>38.200000000000003</v>
      </c>
      <c r="M516">
        <v>10.8</v>
      </c>
      <c r="N516">
        <v>152</v>
      </c>
      <c r="O516">
        <v>95.4</v>
      </c>
    </row>
    <row r="517" spans="1:15">
      <c r="A517">
        <v>1223067</v>
      </c>
      <c r="B517" t="s">
        <v>472</v>
      </c>
      <c r="C517" t="s">
        <v>239</v>
      </c>
      <c r="D517" t="s">
        <v>136</v>
      </c>
      <c r="E517">
        <v>2025</v>
      </c>
      <c r="F517">
        <v>8</v>
      </c>
      <c r="G517">
        <v>17</v>
      </c>
      <c r="H517">
        <v>10424</v>
      </c>
      <c r="I517">
        <v>880</v>
      </c>
      <c r="J517">
        <v>1</v>
      </c>
      <c r="K517">
        <v>173.7</v>
      </c>
      <c r="L517">
        <v>14.7</v>
      </c>
      <c r="M517">
        <v>10.199999999999999</v>
      </c>
      <c r="N517">
        <v>128</v>
      </c>
      <c r="O517" s="1" t="s">
        <v>473</v>
      </c>
    </row>
    <row r="518" spans="1:15">
      <c r="A518">
        <v>1223069</v>
      </c>
      <c r="B518" t="s">
        <v>474</v>
      </c>
      <c r="C518" t="s">
        <v>177</v>
      </c>
      <c r="D518" t="s">
        <v>136</v>
      </c>
      <c r="E518">
        <v>2025</v>
      </c>
      <c r="F518">
        <v>6</v>
      </c>
      <c r="G518">
        <v>18</v>
      </c>
      <c r="H518">
        <v>9797</v>
      </c>
      <c r="I518">
        <v>276</v>
      </c>
      <c r="J518">
        <v>0</v>
      </c>
      <c r="K518">
        <v>163.30000000000001</v>
      </c>
      <c r="L518">
        <v>4.5999999999999996</v>
      </c>
      <c r="M518">
        <v>9.1</v>
      </c>
      <c r="N518">
        <v>144</v>
      </c>
      <c r="O518" s="1" t="s">
        <v>222</v>
      </c>
    </row>
    <row r="519" spans="1:15">
      <c r="A519">
        <v>1223069</v>
      </c>
      <c r="B519" t="s">
        <v>474</v>
      </c>
      <c r="C519" t="s">
        <v>177</v>
      </c>
      <c r="D519" t="s">
        <v>136</v>
      </c>
      <c r="E519">
        <v>2025</v>
      </c>
      <c r="F519">
        <v>7</v>
      </c>
      <c r="G519">
        <v>19</v>
      </c>
      <c r="H519">
        <v>10069</v>
      </c>
      <c r="I519">
        <v>120</v>
      </c>
      <c r="J519">
        <v>0</v>
      </c>
      <c r="K519">
        <v>167.8</v>
      </c>
      <c r="L519">
        <v>2</v>
      </c>
      <c r="M519">
        <v>8.8000000000000007</v>
      </c>
      <c r="N519">
        <v>152</v>
      </c>
      <c r="O519" s="1" t="s">
        <v>411</v>
      </c>
    </row>
    <row r="520" spans="1:15">
      <c r="A520">
        <v>1223069</v>
      </c>
      <c r="B520" t="s">
        <v>474</v>
      </c>
      <c r="C520" t="s">
        <v>177</v>
      </c>
      <c r="D520" t="s">
        <v>136</v>
      </c>
      <c r="E520">
        <v>2025</v>
      </c>
      <c r="F520">
        <v>8</v>
      </c>
      <c r="G520">
        <v>16</v>
      </c>
      <c r="H520">
        <v>8633</v>
      </c>
      <c r="I520">
        <v>120</v>
      </c>
      <c r="J520">
        <v>0</v>
      </c>
      <c r="K520">
        <v>143.9</v>
      </c>
      <c r="L520">
        <v>2</v>
      </c>
      <c r="M520">
        <v>9</v>
      </c>
      <c r="N520">
        <v>128</v>
      </c>
      <c r="O520" s="1" t="s">
        <v>333</v>
      </c>
    </row>
    <row r="521" spans="1:15">
      <c r="A521">
        <v>1223076</v>
      </c>
      <c r="B521" t="s">
        <v>475</v>
      </c>
      <c r="C521" t="s">
        <v>19</v>
      </c>
      <c r="D521" t="s">
        <v>136</v>
      </c>
      <c r="E521">
        <v>2025</v>
      </c>
      <c r="F521">
        <v>6</v>
      </c>
      <c r="G521">
        <v>19</v>
      </c>
      <c r="H521">
        <v>11196</v>
      </c>
      <c r="I521">
        <v>849</v>
      </c>
      <c r="J521">
        <v>1</v>
      </c>
      <c r="K521">
        <v>186.6</v>
      </c>
      <c r="L521">
        <v>14.2</v>
      </c>
      <c r="M521">
        <v>9.8000000000000007</v>
      </c>
      <c r="N521">
        <v>144</v>
      </c>
      <c r="O521" s="1" t="s">
        <v>234</v>
      </c>
    </row>
    <row r="522" spans="1:15">
      <c r="A522">
        <v>1223076</v>
      </c>
      <c r="B522" t="s">
        <v>475</v>
      </c>
      <c r="C522" t="s">
        <v>19</v>
      </c>
      <c r="D522" t="s">
        <v>136</v>
      </c>
      <c r="E522">
        <v>2025</v>
      </c>
      <c r="F522">
        <v>7</v>
      </c>
      <c r="G522">
        <v>16</v>
      </c>
      <c r="H522">
        <v>9283</v>
      </c>
      <c r="I522">
        <v>548</v>
      </c>
      <c r="J522">
        <v>0</v>
      </c>
      <c r="K522">
        <v>154.69999999999999</v>
      </c>
      <c r="L522">
        <v>9.1</v>
      </c>
      <c r="M522">
        <v>9.6999999999999993</v>
      </c>
      <c r="N522">
        <v>128</v>
      </c>
      <c r="O522" s="1" t="s">
        <v>244</v>
      </c>
    </row>
    <row r="523" spans="1:15">
      <c r="A523">
        <v>1223076</v>
      </c>
      <c r="B523" t="s">
        <v>475</v>
      </c>
      <c r="C523" t="s">
        <v>19</v>
      </c>
      <c r="D523" t="s">
        <v>136</v>
      </c>
      <c r="E523">
        <v>2025</v>
      </c>
      <c r="F523">
        <v>8</v>
      </c>
      <c r="G523">
        <v>16</v>
      </c>
      <c r="H523">
        <v>8997</v>
      </c>
      <c r="I523">
        <v>508</v>
      </c>
      <c r="J523">
        <v>0</v>
      </c>
      <c r="K523">
        <v>150</v>
      </c>
      <c r="L523">
        <v>8.5</v>
      </c>
      <c r="M523">
        <v>9.4</v>
      </c>
      <c r="N523">
        <v>128</v>
      </c>
      <c r="O523">
        <v>22</v>
      </c>
    </row>
    <row r="524" spans="1:15">
      <c r="A524">
        <v>1223077</v>
      </c>
      <c r="B524" t="s">
        <v>476</v>
      </c>
      <c r="C524" t="s">
        <v>225</v>
      </c>
      <c r="D524" t="s">
        <v>136</v>
      </c>
      <c r="E524">
        <v>2025</v>
      </c>
      <c r="F524">
        <v>6</v>
      </c>
      <c r="G524">
        <v>12</v>
      </c>
      <c r="H524">
        <v>7336</v>
      </c>
      <c r="I524">
        <v>0</v>
      </c>
      <c r="J524">
        <v>0</v>
      </c>
      <c r="K524">
        <v>122.3</v>
      </c>
      <c r="L524">
        <v>0</v>
      </c>
      <c r="M524">
        <v>10.199999999999999</v>
      </c>
      <c r="N524">
        <v>96</v>
      </c>
      <c r="O524" s="1" t="s">
        <v>477</v>
      </c>
    </row>
    <row r="525" spans="1:15">
      <c r="A525">
        <v>1223077</v>
      </c>
      <c r="B525" t="s">
        <v>476</v>
      </c>
      <c r="C525" t="s">
        <v>225</v>
      </c>
      <c r="D525" t="s">
        <v>136</v>
      </c>
      <c r="E525">
        <v>2025</v>
      </c>
      <c r="F525">
        <v>7</v>
      </c>
      <c r="G525">
        <v>13</v>
      </c>
      <c r="H525">
        <v>7419</v>
      </c>
      <c r="I525">
        <v>0</v>
      </c>
      <c r="J525">
        <v>0</v>
      </c>
      <c r="K525">
        <v>123.6</v>
      </c>
      <c r="L525">
        <v>0</v>
      </c>
      <c r="M525">
        <v>9.5</v>
      </c>
      <c r="N525">
        <v>104</v>
      </c>
      <c r="O525" s="1" t="s">
        <v>25</v>
      </c>
    </row>
    <row r="526" spans="1:15">
      <c r="A526">
        <v>1223077</v>
      </c>
      <c r="B526" t="s">
        <v>476</v>
      </c>
      <c r="C526" t="s">
        <v>225</v>
      </c>
      <c r="D526" t="s">
        <v>136</v>
      </c>
      <c r="E526">
        <v>2025</v>
      </c>
      <c r="F526">
        <v>8</v>
      </c>
      <c r="G526">
        <v>13</v>
      </c>
      <c r="H526">
        <v>7343</v>
      </c>
      <c r="I526">
        <v>0</v>
      </c>
      <c r="J526">
        <v>0</v>
      </c>
      <c r="K526">
        <v>122.4</v>
      </c>
      <c r="L526">
        <v>0</v>
      </c>
      <c r="M526">
        <v>9.4</v>
      </c>
      <c r="N526">
        <v>104</v>
      </c>
      <c r="O526" s="1" t="s">
        <v>478</v>
      </c>
    </row>
    <row r="527" spans="1:15">
      <c r="A527">
        <v>1223079</v>
      </c>
      <c r="B527" t="s">
        <v>479</v>
      </c>
      <c r="C527" t="s">
        <v>19</v>
      </c>
      <c r="D527" t="s">
        <v>194</v>
      </c>
      <c r="E527">
        <v>2025</v>
      </c>
      <c r="F527">
        <v>6</v>
      </c>
      <c r="G527">
        <v>18</v>
      </c>
      <c r="H527">
        <v>10337</v>
      </c>
      <c r="I527">
        <v>139</v>
      </c>
      <c r="J527">
        <v>0</v>
      </c>
      <c r="K527">
        <v>172.3</v>
      </c>
      <c r="L527">
        <v>2.2999999999999998</v>
      </c>
      <c r="M527">
        <v>9.6</v>
      </c>
      <c r="N527">
        <v>144</v>
      </c>
      <c r="O527" s="1" t="s">
        <v>184</v>
      </c>
    </row>
    <row r="528" spans="1:15">
      <c r="A528">
        <v>1223079</v>
      </c>
      <c r="B528" t="s">
        <v>479</v>
      </c>
      <c r="C528" t="s">
        <v>19</v>
      </c>
      <c r="D528" t="s">
        <v>194</v>
      </c>
      <c r="E528">
        <v>2025</v>
      </c>
      <c r="F528">
        <v>7</v>
      </c>
      <c r="G528">
        <v>19</v>
      </c>
      <c r="H528">
        <v>10728</v>
      </c>
      <c r="I528">
        <v>214</v>
      </c>
      <c r="J528">
        <v>0</v>
      </c>
      <c r="K528">
        <v>178.8</v>
      </c>
      <c r="L528">
        <v>3.6</v>
      </c>
      <c r="M528">
        <v>9.4</v>
      </c>
      <c r="N528">
        <v>152</v>
      </c>
      <c r="O528" s="1" t="s">
        <v>480</v>
      </c>
    </row>
    <row r="529" spans="1:15">
      <c r="A529">
        <v>1223079</v>
      </c>
      <c r="B529" t="s">
        <v>479</v>
      </c>
      <c r="C529" t="s">
        <v>19</v>
      </c>
      <c r="D529" t="s">
        <v>194</v>
      </c>
      <c r="E529">
        <v>2025</v>
      </c>
      <c r="F529">
        <v>8</v>
      </c>
      <c r="G529">
        <v>15</v>
      </c>
      <c r="H529">
        <v>8484</v>
      </c>
      <c r="I529">
        <v>0</v>
      </c>
      <c r="J529">
        <v>0</v>
      </c>
      <c r="K529">
        <v>141.4</v>
      </c>
      <c r="L529">
        <v>0</v>
      </c>
      <c r="M529">
        <v>9.4</v>
      </c>
      <c r="N529">
        <v>120</v>
      </c>
      <c r="O529" s="1" t="s">
        <v>33</v>
      </c>
    </row>
    <row r="530" spans="1:15">
      <c r="A530">
        <v>1223081</v>
      </c>
      <c r="B530" t="s">
        <v>481</v>
      </c>
      <c r="C530" t="s">
        <v>39</v>
      </c>
      <c r="D530" t="s">
        <v>194</v>
      </c>
      <c r="E530">
        <v>2025</v>
      </c>
      <c r="F530">
        <v>6</v>
      </c>
      <c r="G530">
        <v>10</v>
      </c>
      <c r="H530">
        <v>4418</v>
      </c>
      <c r="I530">
        <v>0</v>
      </c>
      <c r="J530">
        <v>0</v>
      </c>
      <c r="K530">
        <v>73.599999999999994</v>
      </c>
      <c r="L530">
        <v>0</v>
      </c>
      <c r="M530">
        <v>7.4</v>
      </c>
      <c r="N530">
        <v>80</v>
      </c>
      <c r="O530">
        <v>-6.4</v>
      </c>
    </row>
    <row r="531" spans="1:15">
      <c r="A531">
        <v>1223081</v>
      </c>
      <c r="B531" t="s">
        <v>481</v>
      </c>
      <c r="C531" t="s">
        <v>39</v>
      </c>
      <c r="D531" t="s">
        <v>194</v>
      </c>
      <c r="E531">
        <v>2025</v>
      </c>
      <c r="F531">
        <v>7</v>
      </c>
      <c r="G531">
        <v>10</v>
      </c>
      <c r="H531">
        <v>4544</v>
      </c>
      <c r="I531">
        <v>0</v>
      </c>
      <c r="J531">
        <v>0</v>
      </c>
      <c r="K531">
        <v>75.7</v>
      </c>
      <c r="L531">
        <v>0</v>
      </c>
      <c r="M531">
        <v>7.6</v>
      </c>
      <c r="N531">
        <v>80</v>
      </c>
      <c r="O531">
        <v>-4.3</v>
      </c>
    </row>
    <row r="532" spans="1:15">
      <c r="A532">
        <v>1223081</v>
      </c>
      <c r="B532" t="s">
        <v>481</v>
      </c>
      <c r="C532" t="s">
        <v>39</v>
      </c>
      <c r="D532" t="s">
        <v>194</v>
      </c>
      <c r="E532">
        <v>2025</v>
      </c>
      <c r="F532">
        <v>8</v>
      </c>
      <c r="G532">
        <v>11</v>
      </c>
      <c r="H532">
        <v>4525</v>
      </c>
      <c r="I532">
        <v>0</v>
      </c>
      <c r="J532">
        <v>1</v>
      </c>
      <c r="K532">
        <v>75.400000000000006</v>
      </c>
      <c r="L532">
        <v>0</v>
      </c>
      <c r="M532">
        <v>6.9</v>
      </c>
      <c r="N532">
        <v>80</v>
      </c>
      <c r="O532">
        <v>-4.5999999999999996</v>
      </c>
    </row>
    <row r="533" spans="1:15">
      <c r="A533">
        <v>1223082</v>
      </c>
      <c r="B533" t="s">
        <v>482</v>
      </c>
      <c r="C533" t="s">
        <v>160</v>
      </c>
      <c r="D533" t="s">
        <v>194</v>
      </c>
      <c r="E533">
        <v>2025</v>
      </c>
      <c r="F533">
        <v>6</v>
      </c>
      <c r="G533">
        <v>22</v>
      </c>
      <c r="H533">
        <v>11537</v>
      </c>
      <c r="I533">
        <v>0</v>
      </c>
      <c r="J533">
        <v>3</v>
      </c>
      <c r="K533">
        <v>192.3</v>
      </c>
      <c r="L533">
        <v>0</v>
      </c>
      <c r="M533">
        <v>8.6999999999999993</v>
      </c>
      <c r="N533">
        <v>152</v>
      </c>
      <c r="O533" s="1" t="s">
        <v>423</v>
      </c>
    </row>
    <row r="534" spans="1:15">
      <c r="A534">
        <v>1223082</v>
      </c>
      <c r="B534" t="s">
        <v>482</v>
      </c>
      <c r="C534" t="s">
        <v>160</v>
      </c>
      <c r="D534" t="s">
        <v>194</v>
      </c>
      <c r="E534">
        <v>2025</v>
      </c>
      <c r="F534">
        <v>7</v>
      </c>
      <c r="G534">
        <v>19</v>
      </c>
      <c r="H534">
        <v>10068</v>
      </c>
      <c r="I534">
        <v>0</v>
      </c>
      <c r="J534">
        <v>1</v>
      </c>
      <c r="K534">
        <v>167.8</v>
      </c>
      <c r="L534">
        <v>0</v>
      </c>
      <c r="M534">
        <v>8.8000000000000007</v>
      </c>
      <c r="N534">
        <v>144</v>
      </c>
      <c r="O534" s="1" t="s">
        <v>52</v>
      </c>
    </row>
    <row r="535" spans="1:15">
      <c r="A535">
        <v>1223082</v>
      </c>
      <c r="B535" t="s">
        <v>482</v>
      </c>
      <c r="C535" t="s">
        <v>160</v>
      </c>
      <c r="D535" t="s">
        <v>194</v>
      </c>
      <c r="E535">
        <v>2025</v>
      </c>
      <c r="F535">
        <v>8</v>
      </c>
      <c r="G535">
        <v>15</v>
      </c>
      <c r="H535">
        <v>8155</v>
      </c>
      <c r="I535">
        <v>60</v>
      </c>
      <c r="J535">
        <v>0</v>
      </c>
      <c r="K535">
        <v>135.9</v>
      </c>
      <c r="L535">
        <v>1</v>
      </c>
      <c r="M535">
        <v>9.1</v>
      </c>
      <c r="N535">
        <v>120</v>
      </c>
      <c r="O535" s="1" t="s">
        <v>333</v>
      </c>
    </row>
    <row r="536" spans="1:15">
      <c r="A536">
        <v>1223083</v>
      </c>
      <c r="B536" t="s">
        <v>483</v>
      </c>
      <c r="C536" t="s">
        <v>160</v>
      </c>
      <c r="D536" t="s">
        <v>194</v>
      </c>
      <c r="E536">
        <v>2025</v>
      </c>
      <c r="F536">
        <v>6</v>
      </c>
      <c r="G536">
        <v>20</v>
      </c>
      <c r="H536">
        <v>11065</v>
      </c>
      <c r="I536">
        <v>0</v>
      </c>
      <c r="J536">
        <v>2</v>
      </c>
      <c r="K536">
        <v>184.4</v>
      </c>
      <c r="L536">
        <v>0</v>
      </c>
      <c r="M536">
        <v>9.1999999999999993</v>
      </c>
      <c r="N536">
        <v>144</v>
      </c>
      <c r="O536" s="1" t="s">
        <v>484</v>
      </c>
    </row>
    <row r="537" spans="1:15">
      <c r="A537">
        <v>1223083</v>
      </c>
      <c r="B537" t="s">
        <v>483</v>
      </c>
      <c r="C537" t="s">
        <v>160</v>
      </c>
      <c r="D537" t="s">
        <v>194</v>
      </c>
      <c r="E537">
        <v>2025</v>
      </c>
      <c r="F537">
        <v>7</v>
      </c>
      <c r="G537">
        <v>20</v>
      </c>
      <c r="H537">
        <v>12493</v>
      </c>
      <c r="I537">
        <v>0</v>
      </c>
      <c r="J537">
        <v>1</v>
      </c>
      <c r="K537">
        <v>208.2</v>
      </c>
      <c r="L537">
        <v>0</v>
      </c>
      <c r="M537">
        <v>10.4</v>
      </c>
      <c r="N537">
        <v>152</v>
      </c>
      <c r="O537" s="1" t="s">
        <v>485</v>
      </c>
    </row>
    <row r="538" spans="1:15">
      <c r="A538">
        <v>1223083</v>
      </c>
      <c r="B538" t="s">
        <v>483</v>
      </c>
      <c r="C538" t="s">
        <v>160</v>
      </c>
      <c r="D538" t="s">
        <v>194</v>
      </c>
      <c r="E538">
        <v>2025</v>
      </c>
      <c r="F538">
        <v>8</v>
      </c>
      <c r="G538">
        <v>17</v>
      </c>
      <c r="H538">
        <v>9259</v>
      </c>
      <c r="I538">
        <v>0</v>
      </c>
      <c r="J538">
        <v>1</v>
      </c>
      <c r="K538">
        <v>154.30000000000001</v>
      </c>
      <c r="L538">
        <v>0</v>
      </c>
      <c r="M538">
        <v>9.1</v>
      </c>
      <c r="N538">
        <v>128</v>
      </c>
      <c r="O538" s="1" t="s">
        <v>435</v>
      </c>
    </row>
    <row r="539" spans="1:15">
      <c r="A539">
        <v>1223084</v>
      </c>
      <c r="B539" t="s">
        <v>486</v>
      </c>
      <c r="C539" t="s">
        <v>96</v>
      </c>
      <c r="D539" t="s">
        <v>194</v>
      </c>
      <c r="E539">
        <v>2025</v>
      </c>
      <c r="F539">
        <v>6</v>
      </c>
      <c r="G539">
        <v>18</v>
      </c>
      <c r="H539">
        <v>10512</v>
      </c>
      <c r="I539">
        <v>1252</v>
      </c>
      <c r="J539">
        <v>0</v>
      </c>
      <c r="K539">
        <v>175.2</v>
      </c>
      <c r="L539">
        <v>20.9</v>
      </c>
      <c r="M539">
        <v>9.6999999999999993</v>
      </c>
      <c r="N539">
        <v>144</v>
      </c>
      <c r="O539" s="1" t="s">
        <v>62</v>
      </c>
    </row>
    <row r="540" spans="1:15">
      <c r="A540">
        <v>1223084</v>
      </c>
      <c r="B540" t="s">
        <v>486</v>
      </c>
      <c r="C540" t="s">
        <v>96</v>
      </c>
      <c r="D540" t="s">
        <v>194</v>
      </c>
      <c r="E540">
        <v>2025</v>
      </c>
      <c r="F540">
        <v>7</v>
      </c>
      <c r="G540">
        <v>11</v>
      </c>
      <c r="H540">
        <v>6404</v>
      </c>
      <c r="I540">
        <v>370</v>
      </c>
      <c r="J540">
        <v>0</v>
      </c>
      <c r="K540">
        <v>106.7</v>
      </c>
      <c r="L540">
        <v>6.2</v>
      </c>
      <c r="M540">
        <v>9.6999999999999993</v>
      </c>
      <c r="N540">
        <v>88</v>
      </c>
      <c r="O540" s="1" t="s">
        <v>487</v>
      </c>
    </row>
    <row r="541" spans="1:15">
      <c r="A541">
        <v>1223085</v>
      </c>
      <c r="B541" t="s">
        <v>488</v>
      </c>
      <c r="C541" t="s">
        <v>49</v>
      </c>
      <c r="D541" t="s">
        <v>136</v>
      </c>
      <c r="E541">
        <v>2025</v>
      </c>
      <c r="F541">
        <v>6</v>
      </c>
      <c r="G541">
        <v>16</v>
      </c>
      <c r="H541">
        <v>8801</v>
      </c>
      <c r="I541">
        <v>923</v>
      </c>
      <c r="J541">
        <v>0</v>
      </c>
      <c r="K541">
        <v>146.69999999999999</v>
      </c>
      <c r="L541">
        <v>15.4</v>
      </c>
      <c r="M541">
        <v>9.1999999999999993</v>
      </c>
      <c r="N541">
        <v>128</v>
      </c>
      <c r="O541" s="1" t="s">
        <v>489</v>
      </c>
    </row>
    <row r="542" spans="1:15">
      <c r="A542">
        <v>1223085</v>
      </c>
      <c r="B542" t="s">
        <v>488</v>
      </c>
      <c r="C542" t="s">
        <v>49</v>
      </c>
      <c r="D542" t="s">
        <v>136</v>
      </c>
      <c r="E542">
        <v>2025</v>
      </c>
      <c r="F542">
        <v>7</v>
      </c>
      <c r="G542">
        <v>19</v>
      </c>
      <c r="H542">
        <v>11207</v>
      </c>
      <c r="I542">
        <v>2494</v>
      </c>
      <c r="J542">
        <v>1</v>
      </c>
      <c r="K542">
        <v>186.8</v>
      </c>
      <c r="L542">
        <v>41.6</v>
      </c>
      <c r="M542">
        <v>9.8000000000000007</v>
      </c>
      <c r="N542">
        <v>144</v>
      </c>
      <c r="O542" s="1" t="s">
        <v>490</v>
      </c>
    </row>
    <row r="543" spans="1:15">
      <c r="A543">
        <v>1223085</v>
      </c>
      <c r="B543" t="s">
        <v>488</v>
      </c>
      <c r="C543" t="s">
        <v>49</v>
      </c>
      <c r="D543" t="s">
        <v>136</v>
      </c>
      <c r="E543">
        <v>2025</v>
      </c>
      <c r="F543">
        <v>8</v>
      </c>
      <c r="G543">
        <v>7</v>
      </c>
      <c r="H543">
        <v>3781</v>
      </c>
      <c r="I543">
        <v>675</v>
      </c>
      <c r="J543">
        <v>0</v>
      </c>
      <c r="K543">
        <v>63</v>
      </c>
      <c r="L543">
        <v>11.2</v>
      </c>
      <c r="M543">
        <v>9</v>
      </c>
      <c r="N543">
        <v>56</v>
      </c>
      <c r="O543">
        <v>7</v>
      </c>
    </row>
    <row r="544" spans="1:15">
      <c r="A544">
        <v>1223086</v>
      </c>
      <c r="B544" t="s">
        <v>491</v>
      </c>
      <c r="C544" t="s">
        <v>79</v>
      </c>
      <c r="D544" t="s">
        <v>136</v>
      </c>
      <c r="E544">
        <v>2025</v>
      </c>
      <c r="F544">
        <v>6</v>
      </c>
      <c r="G544">
        <v>19</v>
      </c>
      <c r="H544">
        <v>11525</v>
      </c>
      <c r="I544">
        <v>587</v>
      </c>
      <c r="J544">
        <v>0</v>
      </c>
      <c r="K544">
        <v>192.1</v>
      </c>
      <c r="L544">
        <v>9.8000000000000007</v>
      </c>
      <c r="M544">
        <v>10.1</v>
      </c>
      <c r="N544">
        <v>152</v>
      </c>
      <c r="O544" s="1" t="s">
        <v>492</v>
      </c>
    </row>
    <row r="545" spans="1:15">
      <c r="A545">
        <v>1223086</v>
      </c>
      <c r="B545" t="s">
        <v>491</v>
      </c>
      <c r="C545" t="s">
        <v>79</v>
      </c>
      <c r="D545" t="s">
        <v>136</v>
      </c>
      <c r="E545">
        <v>2025</v>
      </c>
      <c r="F545">
        <v>7</v>
      </c>
      <c r="G545">
        <v>17</v>
      </c>
      <c r="H545">
        <v>10360</v>
      </c>
      <c r="I545">
        <v>685</v>
      </c>
      <c r="J545">
        <v>0</v>
      </c>
      <c r="K545">
        <v>172.7</v>
      </c>
      <c r="L545">
        <v>11.4</v>
      </c>
      <c r="M545">
        <v>10.199999999999999</v>
      </c>
      <c r="N545">
        <v>136</v>
      </c>
      <c r="O545" s="1" t="s">
        <v>215</v>
      </c>
    </row>
    <row r="546" spans="1:15">
      <c r="A546">
        <v>1223086</v>
      </c>
      <c r="B546" t="s">
        <v>491</v>
      </c>
      <c r="C546" t="s">
        <v>79</v>
      </c>
      <c r="D546" t="s">
        <v>136</v>
      </c>
      <c r="E546">
        <v>2025</v>
      </c>
      <c r="F546">
        <v>8</v>
      </c>
      <c r="G546">
        <v>16</v>
      </c>
      <c r="H546">
        <v>9867</v>
      </c>
      <c r="I546">
        <v>919</v>
      </c>
      <c r="J546">
        <v>0</v>
      </c>
      <c r="K546">
        <v>164.4</v>
      </c>
      <c r="L546">
        <v>15.3</v>
      </c>
      <c r="M546">
        <v>10.3</v>
      </c>
      <c r="N546">
        <v>128</v>
      </c>
      <c r="O546" s="1" t="s">
        <v>410</v>
      </c>
    </row>
    <row r="547" spans="1:15">
      <c r="A547">
        <v>1223087</v>
      </c>
      <c r="B547" t="s">
        <v>493</v>
      </c>
      <c r="C547" t="s">
        <v>160</v>
      </c>
      <c r="D547" t="s">
        <v>136</v>
      </c>
      <c r="E547">
        <v>2025</v>
      </c>
      <c r="F547">
        <v>6</v>
      </c>
      <c r="G547">
        <v>16</v>
      </c>
      <c r="H547">
        <v>8909</v>
      </c>
      <c r="I547">
        <v>0</v>
      </c>
      <c r="J547">
        <v>0</v>
      </c>
      <c r="K547">
        <v>148.5</v>
      </c>
      <c r="L547">
        <v>0</v>
      </c>
      <c r="M547">
        <v>9.3000000000000007</v>
      </c>
      <c r="N547">
        <v>128</v>
      </c>
      <c r="O547">
        <v>20.5</v>
      </c>
    </row>
    <row r="548" spans="1:15">
      <c r="A548">
        <v>1223087</v>
      </c>
      <c r="B548" t="s">
        <v>493</v>
      </c>
      <c r="C548" t="s">
        <v>160</v>
      </c>
      <c r="D548" t="s">
        <v>136</v>
      </c>
      <c r="E548">
        <v>2025</v>
      </c>
      <c r="F548">
        <v>7</v>
      </c>
      <c r="G548">
        <v>17</v>
      </c>
      <c r="H548">
        <v>9627</v>
      </c>
      <c r="I548">
        <v>0</v>
      </c>
      <c r="J548">
        <v>0</v>
      </c>
      <c r="K548">
        <v>160.4</v>
      </c>
      <c r="L548">
        <v>0</v>
      </c>
      <c r="M548">
        <v>9.4</v>
      </c>
      <c r="N548">
        <v>136</v>
      </c>
      <c r="O548" s="1" t="s">
        <v>494</v>
      </c>
    </row>
    <row r="549" spans="1:15">
      <c r="A549">
        <v>1223087</v>
      </c>
      <c r="B549" t="s">
        <v>493</v>
      </c>
      <c r="C549" t="s">
        <v>160</v>
      </c>
      <c r="D549" t="s">
        <v>136</v>
      </c>
      <c r="E549">
        <v>2025</v>
      </c>
      <c r="F549">
        <v>8</v>
      </c>
      <c r="G549">
        <v>13</v>
      </c>
      <c r="H549">
        <v>6172</v>
      </c>
      <c r="I549">
        <v>0</v>
      </c>
      <c r="J549">
        <v>0</v>
      </c>
      <c r="K549">
        <v>102.9</v>
      </c>
      <c r="L549">
        <v>0</v>
      </c>
      <c r="M549">
        <v>7.9</v>
      </c>
      <c r="N549">
        <v>104</v>
      </c>
      <c r="O549">
        <v>-1.1000000000000001</v>
      </c>
    </row>
    <row r="550" spans="1:15">
      <c r="A550">
        <v>1223094</v>
      </c>
      <c r="B550" t="s">
        <v>495</v>
      </c>
      <c r="C550" t="s">
        <v>27</v>
      </c>
      <c r="D550" t="s">
        <v>194</v>
      </c>
      <c r="E550">
        <v>2025</v>
      </c>
      <c r="F550">
        <v>6</v>
      </c>
      <c r="G550">
        <v>18</v>
      </c>
      <c r="H550">
        <v>10318</v>
      </c>
      <c r="I550">
        <v>752</v>
      </c>
      <c r="J550">
        <v>1</v>
      </c>
      <c r="K550">
        <v>172</v>
      </c>
      <c r="L550">
        <v>12.5</v>
      </c>
      <c r="M550">
        <v>9.6</v>
      </c>
      <c r="N550">
        <v>136</v>
      </c>
      <c r="O550">
        <v>36</v>
      </c>
    </row>
    <row r="551" spans="1:15">
      <c r="A551">
        <v>1223094</v>
      </c>
      <c r="B551" t="s">
        <v>495</v>
      </c>
      <c r="C551" t="s">
        <v>27</v>
      </c>
      <c r="D551" t="s">
        <v>194</v>
      </c>
      <c r="E551">
        <v>2025</v>
      </c>
      <c r="F551">
        <v>7</v>
      </c>
      <c r="G551">
        <v>18</v>
      </c>
      <c r="H551">
        <v>10743</v>
      </c>
      <c r="I551">
        <v>610</v>
      </c>
      <c r="J551">
        <v>0</v>
      </c>
      <c r="K551">
        <v>179</v>
      </c>
      <c r="L551">
        <v>10.199999999999999</v>
      </c>
      <c r="M551">
        <v>9.9</v>
      </c>
      <c r="N551">
        <v>144</v>
      </c>
      <c r="O551">
        <v>35</v>
      </c>
    </row>
    <row r="552" spans="1:15">
      <c r="A552">
        <v>1223094</v>
      </c>
      <c r="B552" t="s">
        <v>495</v>
      </c>
      <c r="C552" t="s">
        <v>27</v>
      </c>
      <c r="D552" t="s">
        <v>194</v>
      </c>
      <c r="E552">
        <v>2025</v>
      </c>
      <c r="F552">
        <v>8</v>
      </c>
      <c r="G552">
        <v>15</v>
      </c>
      <c r="H552">
        <v>8447</v>
      </c>
      <c r="I552">
        <v>856</v>
      </c>
      <c r="J552">
        <v>0</v>
      </c>
      <c r="K552">
        <v>140.80000000000001</v>
      </c>
      <c r="L552">
        <v>14.3</v>
      </c>
      <c r="M552">
        <v>9.4</v>
      </c>
      <c r="N552">
        <v>120</v>
      </c>
      <c r="O552" s="1" t="s">
        <v>293</v>
      </c>
    </row>
    <row r="553" spans="1:15">
      <c r="A553">
        <v>1223095</v>
      </c>
      <c r="B553" t="s">
        <v>496</v>
      </c>
      <c r="C553" t="s">
        <v>39</v>
      </c>
      <c r="D553" t="s">
        <v>136</v>
      </c>
      <c r="E553">
        <v>2025</v>
      </c>
      <c r="F553">
        <v>6</v>
      </c>
      <c r="G553">
        <v>11</v>
      </c>
      <c r="H553">
        <v>4626</v>
      </c>
      <c r="I553">
        <v>185</v>
      </c>
      <c r="J553">
        <v>0</v>
      </c>
      <c r="K553">
        <v>77.099999999999994</v>
      </c>
      <c r="L553">
        <v>3.1</v>
      </c>
      <c r="M553">
        <v>7</v>
      </c>
      <c r="N553">
        <v>88</v>
      </c>
      <c r="O553">
        <v>-10.9</v>
      </c>
    </row>
    <row r="554" spans="1:15">
      <c r="A554">
        <v>1223095</v>
      </c>
      <c r="B554" t="s">
        <v>496</v>
      </c>
      <c r="C554" t="s">
        <v>39</v>
      </c>
      <c r="D554" t="s">
        <v>136</v>
      </c>
      <c r="E554">
        <v>2025</v>
      </c>
      <c r="F554">
        <v>7</v>
      </c>
      <c r="G554">
        <v>14</v>
      </c>
      <c r="H554">
        <v>7200</v>
      </c>
      <c r="I554">
        <v>483</v>
      </c>
      <c r="J554">
        <v>0</v>
      </c>
      <c r="K554">
        <v>120</v>
      </c>
      <c r="L554">
        <v>8</v>
      </c>
      <c r="M554">
        <v>8.6</v>
      </c>
      <c r="N554">
        <v>112</v>
      </c>
      <c r="O554">
        <v>8</v>
      </c>
    </row>
    <row r="555" spans="1:15">
      <c r="A555">
        <v>1223095</v>
      </c>
      <c r="B555" t="s">
        <v>496</v>
      </c>
      <c r="C555" t="s">
        <v>39</v>
      </c>
      <c r="D555" t="s">
        <v>136</v>
      </c>
      <c r="E555">
        <v>2025</v>
      </c>
      <c r="F555">
        <v>8</v>
      </c>
      <c r="G555">
        <v>11</v>
      </c>
      <c r="H555">
        <v>4461</v>
      </c>
      <c r="I555">
        <v>216</v>
      </c>
      <c r="J555">
        <v>0</v>
      </c>
      <c r="K555">
        <v>74.400000000000006</v>
      </c>
      <c r="L555">
        <v>3.6</v>
      </c>
      <c r="M555">
        <v>6.8</v>
      </c>
      <c r="N555">
        <v>88</v>
      </c>
      <c r="O555">
        <v>-13.6</v>
      </c>
    </row>
    <row r="556" spans="1:15">
      <c r="A556">
        <v>1223096</v>
      </c>
      <c r="B556" t="s">
        <v>497</v>
      </c>
      <c r="C556" t="s">
        <v>39</v>
      </c>
      <c r="D556" t="s">
        <v>136</v>
      </c>
      <c r="E556">
        <v>2025</v>
      </c>
      <c r="F556">
        <v>6</v>
      </c>
      <c r="G556">
        <v>4</v>
      </c>
      <c r="H556">
        <v>1068</v>
      </c>
      <c r="I556">
        <v>0</v>
      </c>
      <c r="J556">
        <v>0</v>
      </c>
      <c r="K556">
        <v>17.8</v>
      </c>
      <c r="L556">
        <v>0</v>
      </c>
      <c r="M556">
        <v>4.4000000000000004</v>
      </c>
      <c r="N556">
        <v>32</v>
      </c>
      <c r="O556">
        <v>-14.2</v>
      </c>
    </row>
    <row r="557" spans="1:15">
      <c r="A557">
        <v>1223096</v>
      </c>
      <c r="B557" t="s">
        <v>497</v>
      </c>
      <c r="C557" t="s">
        <v>39</v>
      </c>
      <c r="D557" t="s">
        <v>136</v>
      </c>
      <c r="E557">
        <v>2025</v>
      </c>
      <c r="F557">
        <v>7</v>
      </c>
      <c r="G557">
        <v>2</v>
      </c>
      <c r="H557">
        <v>1056</v>
      </c>
      <c r="I557">
        <v>0</v>
      </c>
      <c r="J557">
        <v>0</v>
      </c>
      <c r="K557">
        <v>17.600000000000001</v>
      </c>
      <c r="L557">
        <v>0</v>
      </c>
      <c r="M557">
        <v>8.8000000000000007</v>
      </c>
      <c r="N557">
        <v>16</v>
      </c>
      <c r="O557" s="1" t="s">
        <v>498</v>
      </c>
    </row>
    <row r="558" spans="1:15">
      <c r="A558">
        <v>1223096</v>
      </c>
      <c r="B558" t="s">
        <v>497</v>
      </c>
      <c r="C558" t="s">
        <v>39</v>
      </c>
      <c r="D558" t="s">
        <v>136</v>
      </c>
      <c r="E558">
        <v>2025</v>
      </c>
      <c r="F558">
        <v>8</v>
      </c>
      <c r="G558">
        <v>3</v>
      </c>
      <c r="H558">
        <v>800</v>
      </c>
      <c r="I558">
        <v>0</v>
      </c>
      <c r="J558">
        <v>0</v>
      </c>
      <c r="K558">
        <v>13.3</v>
      </c>
      <c r="L558">
        <v>0</v>
      </c>
      <c r="M558">
        <v>4.4000000000000004</v>
      </c>
      <c r="N558">
        <v>24</v>
      </c>
      <c r="O558">
        <v>-10.7</v>
      </c>
    </row>
    <row r="559" spans="1:15">
      <c r="A559">
        <v>1223097</v>
      </c>
      <c r="B559" t="s">
        <v>499</v>
      </c>
      <c r="C559" t="s">
        <v>87</v>
      </c>
      <c r="D559" t="s">
        <v>136</v>
      </c>
      <c r="E559">
        <v>2025</v>
      </c>
      <c r="F559">
        <v>6</v>
      </c>
      <c r="G559">
        <v>18</v>
      </c>
      <c r="H559">
        <v>10485</v>
      </c>
      <c r="I559">
        <v>639</v>
      </c>
      <c r="J559">
        <v>0</v>
      </c>
      <c r="K559">
        <v>174.8</v>
      </c>
      <c r="L559">
        <v>10.6</v>
      </c>
      <c r="M559">
        <v>9.6999999999999993</v>
      </c>
      <c r="N559">
        <v>144</v>
      </c>
      <c r="O559" s="1" t="s">
        <v>397</v>
      </c>
    </row>
    <row r="560" spans="1:15">
      <c r="A560">
        <v>1223097</v>
      </c>
      <c r="B560" t="s">
        <v>499</v>
      </c>
      <c r="C560" t="s">
        <v>87</v>
      </c>
      <c r="D560" t="s">
        <v>136</v>
      </c>
      <c r="E560">
        <v>2025</v>
      </c>
      <c r="F560">
        <v>7</v>
      </c>
      <c r="G560">
        <v>20</v>
      </c>
      <c r="H560">
        <v>11835</v>
      </c>
      <c r="I560">
        <v>983</v>
      </c>
      <c r="J560">
        <v>0</v>
      </c>
      <c r="K560">
        <v>197.2</v>
      </c>
      <c r="L560">
        <v>16.399999999999999</v>
      </c>
      <c r="M560">
        <v>9.9</v>
      </c>
      <c r="N560">
        <v>160</v>
      </c>
      <c r="O560" s="1" t="s">
        <v>500</v>
      </c>
    </row>
    <row r="561" spans="1:15">
      <c r="A561">
        <v>1223097</v>
      </c>
      <c r="B561" t="s">
        <v>499</v>
      </c>
      <c r="C561" t="s">
        <v>87</v>
      </c>
      <c r="D561" t="s">
        <v>136</v>
      </c>
      <c r="E561">
        <v>2025</v>
      </c>
      <c r="F561">
        <v>8</v>
      </c>
      <c r="G561">
        <v>17</v>
      </c>
      <c r="H561">
        <v>10826</v>
      </c>
      <c r="I561">
        <v>932</v>
      </c>
      <c r="J561">
        <v>1</v>
      </c>
      <c r="K561">
        <v>180.4</v>
      </c>
      <c r="L561">
        <v>15.5</v>
      </c>
      <c r="M561">
        <v>10.6</v>
      </c>
      <c r="N561">
        <v>128</v>
      </c>
      <c r="O561" s="1" t="s">
        <v>501</v>
      </c>
    </row>
    <row r="562" spans="1:15">
      <c r="A562">
        <v>1223098</v>
      </c>
      <c r="B562" t="s">
        <v>502</v>
      </c>
      <c r="C562" t="s">
        <v>83</v>
      </c>
      <c r="D562" t="s">
        <v>136</v>
      </c>
      <c r="E562">
        <v>2025</v>
      </c>
      <c r="F562">
        <v>6</v>
      </c>
      <c r="G562">
        <v>18</v>
      </c>
      <c r="H562">
        <v>10518</v>
      </c>
      <c r="I562">
        <v>681</v>
      </c>
      <c r="J562">
        <v>0</v>
      </c>
      <c r="K562">
        <v>175.3</v>
      </c>
      <c r="L562">
        <v>11.4</v>
      </c>
      <c r="M562">
        <v>9.6999999999999993</v>
      </c>
      <c r="N562">
        <v>144</v>
      </c>
      <c r="O562" s="1" t="s">
        <v>503</v>
      </c>
    </row>
    <row r="563" spans="1:15">
      <c r="A563">
        <v>1223098</v>
      </c>
      <c r="B563" t="s">
        <v>502</v>
      </c>
      <c r="C563" t="s">
        <v>83</v>
      </c>
      <c r="D563" t="s">
        <v>136</v>
      </c>
      <c r="E563">
        <v>2025</v>
      </c>
      <c r="F563">
        <v>7</v>
      </c>
      <c r="G563">
        <v>18</v>
      </c>
      <c r="H563">
        <v>10277</v>
      </c>
      <c r="I563">
        <v>652</v>
      </c>
      <c r="J563">
        <v>0</v>
      </c>
      <c r="K563">
        <v>171.3</v>
      </c>
      <c r="L563">
        <v>10.9</v>
      </c>
      <c r="M563">
        <v>9.5</v>
      </c>
      <c r="N563">
        <v>144</v>
      </c>
      <c r="O563" s="1" t="s">
        <v>504</v>
      </c>
    </row>
    <row r="564" spans="1:15">
      <c r="A564">
        <v>1223098</v>
      </c>
      <c r="B564" t="s">
        <v>502</v>
      </c>
      <c r="C564" t="s">
        <v>83</v>
      </c>
      <c r="D564" t="s">
        <v>136</v>
      </c>
      <c r="E564">
        <v>2025</v>
      </c>
      <c r="F564">
        <v>8</v>
      </c>
      <c r="G564">
        <v>16</v>
      </c>
      <c r="H564">
        <v>9237</v>
      </c>
      <c r="I564">
        <v>734</v>
      </c>
      <c r="J564">
        <v>0</v>
      </c>
      <c r="K564">
        <v>154</v>
      </c>
      <c r="L564">
        <v>12.2</v>
      </c>
      <c r="M564">
        <v>9.6</v>
      </c>
      <c r="N564">
        <v>128</v>
      </c>
      <c r="O564">
        <v>26</v>
      </c>
    </row>
    <row r="565" spans="1:15">
      <c r="A565">
        <v>1223099</v>
      </c>
      <c r="B565" t="s">
        <v>505</v>
      </c>
      <c r="C565" t="s">
        <v>160</v>
      </c>
      <c r="D565" t="s">
        <v>136</v>
      </c>
      <c r="E565">
        <v>2025</v>
      </c>
      <c r="F565">
        <v>6</v>
      </c>
      <c r="G565">
        <v>21</v>
      </c>
      <c r="H565">
        <v>13302</v>
      </c>
      <c r="I565">
        <v>0</v>
      </c>
      <c r="J565">
        <v>2</v>
      </c>
      <c r="K565">
        <v>221.7</v>
      </c>
      <c r="L565">
        <v>0</v>
      </c>
      <c r="M565">
        <v>10.6</v>
      </c>
      <c r="N565">
        <v>152</v>
      </c>
      <c r="O565" s="1" t="s">
        <v>506</v>
      </c>
    </row>
    <row r="566" spans="1:15">
      <c r="A566">
        <v>1223099</v>
      </c>
      <c r="B566" t="s">
        <v>505</v>
      </c>
      <c r="C566" t="s">
        <v>160</v>
      </c>
      <c r="D566" t="s">
        <v>136</v>
      </c>
      <c r="E566">
        <v>2025</v>
      </c>
      <c r="F566">
        <v>7</v>
      </c>
      <c r="G566">
        <v>21</v>
      </c>
      <c r="H566">
        <v>11673</v>
      </c>
      <c r="I566">
        <v>0</v>
      </c>
      <c r="J566">
        <v>0</v>
      </c>
      <c r="K566">
        <v>194.6</v>
      </c>
      <c r="L566">
        <v>0</v>
      </c>
      <c r="M566">
        <v>9.3000000000000007</v>
      </c>
      <c r="N566">
        <v>168</v>
      </c>
      <c r="O566" s="1" t="s">
        <v>391</v>
      </c>
    </row>
    <row r="567" spans="1:15">
      <c r="A567">
        <v>1223099</v>
      </c>
      <c r="B567" t="s">
        <v>505</v>
      </c>
      <c r="C567" t="s">
        <v>160</v>
      </c>
      <c r="D567" t="s">
        <v>136</v>
      </c>
      <c r="E567">
        <v>2025</v>
      </c>
      <c r="F567">
        <v>8</v>
      </c>
      <c r="G567">
        <v>16</v>
      </c>
      <c r="H567">
        <v>9951</v>
      </c>
      <c r="I567">
        <v>0</v>
      </c>
      <c r="J567">
        <v>0</v>
      </c>
      <c r="K567">
        <v>165.8</v>
      </c>
      <c r="L567">
        <v>0</v>
      </c>
      <c r="M567">
        <v>10.4</v>
      </c>
      <c r="N567">
        <v>128</v>
      </c>
      <c r="O567" s="1" t="s">
        <v>507</v>
      </c>
    </row>
    <row r="568" spans="1:15">
      <c r="A568">
        <v>1223104</v>
      </c>
      <c r="B568" t="s">
        <v>508</v>
      </c>
      <c r="C568" t="s">
        <v>117</v>
      </c>
      <c r="D568" t="s">
        <v>194</v>
      </c>
      <c r="E568">
        <v>2025</v>
      </c>
      <c r="F568">
        <v>6</v>
      </c>
      <c r="G568">
        <v>16</v>
      </c>
      <c r="H568">
        <v>8249</v>
      </c>
      <c r="I568">
        <v>0</v>
      </c>
      <c r="J568">
        <v>0</v>
      </c>
      <c r="K568">
        <v>137.5</v>
      </c>
      <c r="L568">
        <v>0</v>
      </c>
      <c r="M568">
        <v>8.6</v>
      </c>
      <c r="N568">
        <v>128</v>
      </c>
      <c r="O568">
        <v>9.5</v>
      </c>
    </row>
    <row r="569" spans="1:15">
      <c r="A569">
        <v>1223104</v>
      </c>
      <c r="B569" t="s">
        <v>508</v>
      </c>
      <c r="C569" t="s">
        <v>117</v>
      </c>
      <c r="D569" t="s">
        <v>194</v>
      </c>
      <c r="E569">
        <v>2025</v>
      </c>
      <c r="F569">
        <v>7</v>
      </c>
      <c r="G569">
        <v>14</v>
      </c>
      <c r="H569">
        <v>7651</v>
      </c>
      <c r="I569">
        <v>0</v>
      </c>
      <c r="J569">
        <v>0</v>
      </c>
      <c r="K569">
        <v>127.5</v>
      </c>
      <c r="L569">
        <v>0</v>
      </c>
      <c r="M569">
        <v>9.1</v>
      </c>
      <c r="N569">
        <v>112</v>
      </c>
      <c r="O569">
        <v>15.5</v>
      </c>
    </row>
    <row r="570" spans="1:15">
      <c r="A570">
        <v>1223104</v>
      </c>
      <c r="B570" t="s">
        <v>508</v>
      </c>
      <c r="C570" t="s">
        <v>117</v>
      </c>
      <c r="D570" t="s">
        <v>194</v>
      </c>
      <c r="E570">
        <v>2025</v>
      </c>
      <c r="F570">
        <v>8</v>
      </c>
      <c r="G570">
        <v>15</v>
      </c>
      <c r="H570">
        <v>7661</v>
      </c>
      <c r="I570">
        <v>0</v>
      </c>
      <c r="J570">
        <v>0</v>
      </c>
      <c r="K570">
        <v>127.7</v>
      </c>
      <c r="L570">
        <v>0</v>
      </c>
      <c r="M570">
        <v>8.5</v>
      </c>
      <c r="N570">
        <v>120</v>
      </c>
      <c r="O570" s="1" t="s">
        <v>509</v>
      </c>
    </row>
    <row r="571" spans="1:15">
      <c r="A571">
        <v>1223105</v>
      </c>
      <c r="B571" t="s">
        <v>510</v>
      </c>
      <c r="C571" t="s">
        <v>44</v>
      </c>
      <c r="D571" t="s">
        <v>194</v>
      </c>
      <c r="E571">
        <v>2025</v>
      </c>
      <c r="F571">
        <v>6</v>
      </c>
      <c r="G571">
        <v>19</v>
      </c>
      <c r="H571">
        <v>11517</v>
      </c>
      <c r="I571">
        <v>1304</v>
      </c>
      <c r="J571">
        <v>1</v>
      </c>
      <c r="K571">
        <v>192</v>
      </c>
      <c r="L571">
        <v>21.7</v>
      </c>
      <c r="M571">
        <v>10.1</v>
      </c>
      <c r="N571">
        <v>144</v>
      </c>
      <c r="O571">
        <v>48</v>
      </c>
    </row>
    <row r="572" spans="1:15">
      <c r="A572">
        <v>1223105</v>
      </c>
      <c r="B572" t="s">
        <v>510</v>
      </c>
      <c r="C572" t="s">
        <v>44</v>
      </c>
      <c r="D572" t="s">
        <v>194</v>
      </c>
      <c r="E572">
        <v>2025</v>
      </c>
      <c r="F572">
        <v>7</v>
      </c>
      <c r="G572">
        <v>18</v>
      </c>
      <c r="H572">
        <v>13030</v>
      </c>
      <c r="I572">
        <v>2662</v>
      </c>
      <c r="J572">
        <v>0</v>
      </c>
      <c r="K572">
        <v>217.2</v>
      </c>
      <c r="L572">
        <v>44.4</v>
      </c>
      <c r="M572">
        <v>12.1</v>
      </c>
      <c r="N572">
        <v>144</v>
      </c>
      <c r="O572" s="1" t="s">
        <v>511</v>
      </c>
    </row>
    <row r="573" spans="1:15">
      <c r="A573">
        <v>1223105</v>
      </c>
      <c r="B573" t="s">
        <v>510</v>
      </c>
      <c r="C573" t="s">
        <v>44</v>
      </c>
      <c r="D573" t="s">
        <v>194</v>
      </c>
      <c r="E573">
        <v>2025</v>
      </c>
      <c r="F573">
        <v>8</v>
      </c>
      <c r="G573">
        <v>16</v>
      </c>
      <c r="H573">
        <v>10304</v>
      </c>
      <c r="I573">
        <v>1477</v>
      </c>
      <c r="J573">
        <v>0</v>
      </c>
      <c r="K573">
        <v>171.7</v>
      </c>
      <c r="L573">
        <v>24.6</v>
      </c>
      <c r="M573">
        <v>10.7</v>
      </c>
      <c r="N573">
        <v>128</v>
      </c>
      <c r="O573" s="1" t="s">
        <v>125</v>
      </c>
    </row>
    <row r="574" spans="1:15">
      <c r="A574">
        <v>1223106</v>
      </c>
      <c r="B574" t="s">
        <v>512</v>
      </c>
      <c r="C574" t="s">
        <v>44</v>
      </c>
      <c r="D574" t="s">
        <v>194</v>
      </c>
      <c r="E574">
        <v>2025</v>
      </c>
      <c r="F574">
        <v>6</v>
      </c>
      <c r="G574">
        <v>16</v>
      </c>
      <c r="H574">
        <v>9027</v>
      </c>
      <c r="I574">
        <v>0</v>
      </c>
      <c r="J574">
        <v>0</v>
      </c>
      <c r="K574">
        <v>150.4</v>
      </c>
      <c r="L574">
        <v>0</v>
      </c>
      <c r="M574">
        <v>9.4</v>
      </c>
      <c r="N574">
        <v>128</v>
      </c>
      <c r="O574" s="1" t="s">
        <v>373</v>
      </c>
    </row>
    <row r="575" spans="1:15">
      <c r="A575">
        <v>1223106</v>
      </c>
      <c r="B575" t="s">
        <v>512</v>
      </c>
      <c r="C575" t="s">
        <v>44</v>
      </c>
      <c r="D575" t="s">
        <v>194</v>
      </c>
      <c r="E575">
        <v>2025</v>
      </c>
      <c r="F575">
        <v>7</v>
      </c>
      <c r="G575">
        <v>18</v>
      </c>
      <c r="H575">
        <v>10416</v>
      </c>
      <c r="I575">
        <v>0</v>
      </c>
      <c r="J575">
        <v>0</v>
      </c>
      <c r="K575">
        <v>173.6</v>
      </c>
      <c r="L575">
        <v>0</v>
      </c>
      <c r="M575">
        <v>9.6</v>
      </c>
      <c r="N575">
        <v>144</v>
      </c>
      <c r="O575" s="1" t="s">
        <v>146</v>
      </c>
    </row>
    <row r="576" spans="1:15">
      <c r="A576">
        <v>1223106</v>
      </c>
      <c r="B576" t="s">
        <v>512</v>
      </c>
      <c r="C576" t="s">
        <v>44</v>
      </c>
      <c r="D576" t="s">
        <v>194</v>
      </c>
      <c r="E576">
        <v>2025</v>
      </c>
      <c r="F576">
        <v>8</v>
      </c>
      <c r="G576">
        <v>14</v>
      </c>
      <c r="H576">
        <v>6310</v>
      </c>
      <c r="I576">
        <v>0</v>
      </c>
      <c r="J576">
        <v>0</v>
      </c>
      <c r="K576">
        <v>105.2</v>
      </c>
      <c r="L576">
        <v>0</v>
      </c>
      <c r="M576">
        <v>7.5</v>
      </c>
      <c r="N576">
        <v>112</v>
      </c>
      <c r="O576">
        <v>-6.8</v>
      </c>
    </row>
    <row r="577" spans="1:15">
      <c r="A577">
        <v>1223108</v>
      </c>
      <c r="B577" t="s">
        <v>513</v>
      </c>
      <c r="C577" t="s">
        <v>41</v>
      </c>
      <c r="D577" t="s">
        <v>194</v>
      </c>
      <c r="E577">
        <v>2025</v>
      </c>
      <c r="F577">
        <v>6</v>
      </c>
      <c r="G577">
        <v>17</v>
      </c>
      <c r="H577">
        <v>8716</v>
      </c>
      <c r="I577">
        <v>97</v>
      </c>
      <c r="J577">
        <v>0</v>
      </c>
      <c r="K577">
        <v>145.30000000000001</v>
      </c>
      <c r="L577">
        <v>1.6</v>
      </c>
      <c r="M577">
        <v>8.5</v>
      </c>
      <c r="N577">
        <v>136</v>
      </c>
      <c r="O577" s="1" t="s">
        <v>299</v>
      </c>
    </row>
    <row r="578" spans="1:15">
      <c r="A578">
        <v>1223108</v>
      </c>
      <c r="B578" t="s">
        <v>513</v>
      </c>
      <c r="C578" t="s">
        <v>41</v>
      </c>
      <c r="D578" t="s">
        <v>194</v>
      </c>
      <c r="E578">
        <v>2025</v>
      </c>
      <c r="F578">
        <v>7</v>
      </c>
      <c r="G578">
        <v>17</v>
      </c>
      <c r="H578">
        <v>8756</v>
      </c>
      <c r="I578">
        <v>0</v>
      </c>
      <c r="J578">
        <v>0</v>
      </c>
      <c r="K578">
        <v>145.9</v>
      </c>
      <c r="L578">
        <v>0</v>
      </c>
      <c r="M578">
        <v>8.6</v>
      </c>
      <c r="N578">
        <v>136</v>
      </c>
      <c r="O578" s="1" t="s">
        <v>514</v>
      </c>
    </row>
    <row r="579" spans="1:15">
      <c r="A579">
        <v>1223108</v>
      </c>
      <c r="B579" t="s">
        <v>513</v>
      </c>
      <c r="C579" t="s">
        <v>41</v>
      </c>
      <c r="D579" t="s">
        <v>194</v>
      </c>
      <c r="E579">
        <v>2025</v>
      </c>
      <c r="F579">
        <v>8</v>
      </c>
      <c r="G579">
        <v>16</v>
      </c>
      <c r="H579">
        <v>8269</v>
      </c>
      <c r="I579">
        <v>0</v>
      </c>
      <c r="J579">
        <v>0</v>
      </c>
      <c r="K579">
        <v>137.80000000000001</v>
      </c>
      <c r="L579">
        <v>0</v>
      </c>
      <c r="M579">
        <v>8.6</v>
      </c>
      <c r="N579">
        <v>128</v>
      </c>
      <c r="O579" s="1" t="s">
        <v>515</v>
      </c>
    </row>
    <row r="580" spans="1:15">
      <c r="A580">
        <v>1224008</v>
      </c>
      <c r="B580" t="s">
        <v>516</v>
      </c>
      <c r="C580" t="s">
        <v>93</v>
      </c>
      <c r="D580" t="s">
        <v>20</v>
      </c>
      <c r="E580">
        <v>2025</v>
      </c>
      <c r="F580">
        <v>6</v>
      </c>
      <c r="G580">
        <v>18</v>
      </c>
      <c r="H580">
        <v>9682</v>
      </c>
      <c r="I580">
        <v>131</v>
      </c>
      <c r="J580">
        <v>0</v>
      </c>
      <c r="K580">
        <v>161.4</v>
      </c>
      <c r="L580">
        <v>2.2000000000000002</v>
      </c>
      <c r="M580">
        <v>9</v>
      </c>
      <c r="N580">
        <v>144</v>
      </c>
      <c r="O580" s="1" t="s">
        <v>105</v>
      </c>
    </row>
    <row r="581" spans="1:15">
      <c r="A581">
        <v>1224008</v>
      </c>
      <c r="B581" t="s">
        <v>516</v>
      </c>
      <c r="C581" t="s">
        <v>93</v>
      </c>
      <c r="D581" t="s">
        <v>20</v>
      </c>
      <c r="E581">
        <v>2025</v>
      </c>
      <c r="F581">
        <v>7</v>
      </c>
      <c r="G581">
        <v>18</v>
      </c>
      <c r="H581">
        <v>9951</v>
      </c>
      <c r="I581">
        <v>182</v>
      </c>
      <c r="J581">
        <v>0</v>
      </c>
      <c r="K581">
        <v>165.8</v>
      </c>
      <c r="L581">
        <v>3</v>
      </c>
      <c r="M581">
        <v>9.1999999999999993</v>
      </c>
      <c r="N581">
        <v>144</v>
      </c>
      <c r="O581" s="1" t="s">
        <v>152</v>
      </c>
    </row>
    <row r="582" spans="1:15">
      <c r="A582">
        <v>1224008</v>
      </c>
      <c r="B582" t="s">
        <v>516</v>
      </c>
      <c r="C582" t="s">
        <v>93</v>
      </c>
      <c r="D582" t="s">
        <v>20</v>
      </c>
      <c r="E582">
        <v>2025</v>
      </c>
      <c r="F582">
        <v>8</v>
      </c>
      <c r="G582">
        <v>14</v>
      </c>
      <c r="H582">
        <v>7548</v>
      </c>
      <c r="I582">
        <v>0</v>
      </c>
      <c r="J582">
        <v>0</v>
      </c>
      <c r="K582">
        <v>125.8</v>
      </c>
      <c r="L582">
        <v>0</v>
      </c>
      <c r="M582">
        <v>9</v>
      </c>
      <c r="N582">
        <v>112</v>
      </c>
      <c r="O582" s="1" t="s">
        <v>517</v>
      </c>
    </row>
    <row r="583" spans="1:15">
      <c r="A583">
        <v>1224009</v>
      </c>
      <c r="B583" t="s">
        <v>518</v>
      </c>
      <c r="C583" t="s">
        <v>177</v>
      </c>
      <c r="D583" t="s">
        <v>136</v>
      </c>
      <c r="E583">
        <v>2025</v>
      </c>
      <c r="F583">
        <v>6</v>
      </c>
      <c r="G583">
        <v>19</v>
      </c>
      <c r="H583">
        <v>9529</v>
      </c>
      <c r="I583">
        <v>0</v>
      </c>
      <c r="J583">
        <v>1</v>
      </c>
      <c r="K583">
        <v>158.80000000000001</v>
      </c>
      <c r="L583">
        <v>0</v>
      </c>
      <c r="M583">
        <v>8.4</v>
      </c>
      <c r="N583">
        <v>144</v>
      </c>
      <c r="O583" s="1" t="s">
        <v>283</v>
      </c>
    </row>
    <row r="584" spans="1:15">
      <c r="A584">
        <v>1224009</v>
      </c>
      <c r="B584" t="s">
        <v>518</v>
      </c>
      <c r="C584" t="s">
        <v>177</v>
      </c>
      <c r="D584" t="s">
        <v>136</v>
      </c>
      <c r="E584">
        <v>2025</v>
      </c>
      <c r="F584">
        <v>7</v>
      </c>
      <c r="G584">
        <v>19</v>
      </c>
      <c r="H584">
        <v>8998</v>
      </c>
      <c r="I584">
        <v>0</v>
      </c>
      <c r="J584">
        <v>0</v>
      </c>
      <c r="K584">
        <v>150</v>
      </c>
      <c r="L584">
        <v>0</v>
      </c>
      <c r="M584">
        <v>7.9</v>
      </c>
      <c r="N584">
        <v>152</v>
      </c>
      <c r="O584">
        <v>-2</v>
      </c>
    </row>
    <row r="585" spans="1:15">
      <c r="A585">
        <v>1224009</v>
      </c>
      <c r="B585" t="s">
        <v>518</v>
      </c>
      <c r="C585" t="s">
        <v>177</v>
      </c>
      <c r="D585" t="s">
        <v>136</v>
      </c>
      <c r="E585">
        <v>2025</v>
      </c>
      <c r="F585">
        <v>8</v>
      </c>
      <c r="G585">
        <v>16</v>
      </c>
      <c r="H585">
        <v>8453</v>
      </c>
      <c r="I585">
        <v>0</v>
      </c>
      <c r="J585">
        <v>0</v>
      </c>
      <c r="K585">
        <v>140.9</v>
      </c>
      <c r="L585">
        <v>0</v>
      </c>
      <c r="M585">
        <v>8.8000000000000007</v>
      </c>
      <c r="N585">
        <v>128</v>
      </c>
      <c r="O585" s="1" t="s">
        <v>416</v>
      </c>
    </row>
    <row r="586" spans="1:15">
      <c r="A586">
        <v>1224012</v>
      </c>
      <c r="B586" t="s">
        <v>519</v>
      </c>
      <c r="C586" t="s">
        <v>83</v>
      </c>
      <c r="D586" t="s">
        <v>20</v>
      </c>
      <c r="E586">
        <v>2025</v>
      </c>
      <c r="F586">
        <v>6</v>
      </c>
      <c r="G586">
        <v>19</v>
      </c>
      <c r="H586">
        <v>12698</v>
      </c>
      <c r="I586">
        <v>0</v>
      </c>
      <c r="J586">
        <v>0</v>
      </c>
      <c r="K586">
        <v>211.6</v>
      </c>
      <c r="L586">
        <v>0</v>
      </c>
      <c r="M586">
        <v>11.1</v>
      </c>
      <c r="N586">
        <v>152</v>
      </c>
      <c r="O586" s="1" t="s">
        <v>520</v>
      </c>
    </row>
    <row r="587" spans="1:15">
      <c r="A587">
        <v>1224012</v>
      </c>
      <c r="B587" t="s">
        <v>519</v>
      </c>
      <c r="C587" t="s">
        <v>83</v>
      </c>
      <c r="D587" t="s">
        <v>20</v>
      </c>
      <c r="E587">
        <v>2025</v>
      </c>
      <c r="F587">
        <v>7</v>
      </c>
      <c r="G587">
        <v>20</v>
      </c>
      <c r="H587">
        <v>12066</v>
      </c>
      <c r="I587">
        <v>0</v>
      </c>
      <c r="J587">
        <v>1</v>
      </c>
      <c r="K587">
        <v>201.1</v>
      </c>
      <c r="L587">
        <v>0</v>
      </c>
      <c r="M587">
        <v>10.1</v>
      </c>
      <c r="N587">
        <v>152</v>
      </c>
      <c r="O587" s="1" t="s">
        <v>521</v>
      </c>
    </row>
    <row r="588" spans="1:15">
      <c r="A588">
        <v>1224012</v>
      </c>
      <c r="B588" t="s">
        <v>519</v>
      </c>
      <c r="C588" t="s">
        <v>83</v>
      </c>
      <c r="D588" t="s">
        <v>20</v>
      </c>
      <c r="E588">
        <v>2025</v>
      </c>
      <c r="F588">
        <v>8</v>
      </c>
      <c r="G588">
        <v>18</v>
      </c>
      <c r="H588">
        <v>11024</v>
      </c>
      <c r="I588">
        <v>0</v>
      </c>
      <c r="J588">
        <v>2</v>
      </c>
      <c r="K588">
        <v>183.7</v>
      </c>
      <c r="L588">
        <v>0</v>
      </c>
      <c r="M588">
        <v>10.199999999999999</v>
      </c>
      <c r="N588">
        <v>128</v>
      </c>
      <c r="O588" s="1" t="s">
        <v>316</v>
      </c>
    </row>
    <row r="589" spans="1:15">
      <c r="A589">
        <v>1224020</v>
      </c>
      <c r="B589" t="s">
        <v>522</v>
      </c>
      <c r="C589" t="s">
        <v>239</v>
      </c>
      <c r="D589" t="s">
        <v>194</v>
      </c>
      <c r="E589">
        <v>2025</v>
      </c>
      <c r="F589">
        <v>6</v>
      </c>
      <c r="G589">
        <v>15</v>
      </c>
      <c r="H589">
        <v>7085</v>
      </c>
      <c r="I589">
        <v>0</v>
      </c>
      <c r="J589">
        <v>0</v>
      </c>
      <c r="K589">
        <v>118.1</v>
      </c>
      <c r="L589">
        <v>0</v>
      </c>
      <c r="M589">
        <v>7.9</v>
      </c>
      <c r="N589">
        <v>120</v>
      </c>
      <c r="O589">
        <v>-1.9</v>
      </c>
    </row>
    <row r="590" spans="1:15">
      <c r="A590">
        <v>1224020</v>
      </c>
      <c r="B590" t="s">
        <v>522</v>
      </c>
      <c r="C590" t="s">
        <v>239</v>
      </c>
      <c r="D590" t="s">
        <v>194</v>
      </c>
      <c r="E590">
        <v>2025</v>
      </c>
      <c r="F590">
        <v>7</v>
      </c>
      <c r="G590">
        <v>17</v>
      </c>
      <c r="H590">
        <v>8915</v>
      </c>
      <c r="I590">
        <v>0</v>
      </c>
      <c r="J590">
        <v>0</v>
      </c>
      <c r="K590">
        <v>148.6</v>
      </c>
      <c r="L590">
        <v>0</v>
      </c>
      <c r="M590">
        <v>8.6999999999999993</v>
      </c>
      <c r="N590">
        <v>136</v>
      </c>
      <c r="O590" s="1" t="s">
        <v>523</v>
      </c>
    </row>
    <row r="591" spans="1:15">
      <c r="A591">
        <v>1224020</v>
      </c>
      <c r="B591" t="s">
        <v>522</v>
      </c>
      <c r="C591" t="s">
        <v>239</v>
      </c>
      <c r="D591" t="s">
        <v>194</v>
      </c>
      <c r="E591">
        <v>2025</v>
      </c>
      <c r="F591">
        <v>8</v>
      </c>
      <c r="G591">
        <v>16</v>
      </c>
      <c r="H591">
        <v>8552</v>
      </c>
      <c r="I591">
        <v>0</v>
      </c>
      <c r="J591">
        <v>0</v>
      </c>
      <c r="K591">
        <v>142.5</v>
      </c>
      <c r="L591">
        <v>0</v>
      </c>
      <c r="M591">
        <v>8.9</v>
      </c>
      <c r="N591">
        <v>128</v>
      </c>
      <c r="O591">
        <v>14.5</v>
      </c>
    </row>
    <row r="592" spans="1:15">
      <c r="A592">
        <v>1224021</v>
      </c>
      <c r="B592" t="s">
        <v>524</v>
      </c>
      <c r="C592" t="s">
        <v>96</v>
      </c>
      <c r="D592" t="s">
        <v>194</v>
      </c>
      <c r="E592">
        <v>2025</v>
      </c>
      <c r="F592">
        <v>6</v>
      </c>
      <c r="G592">
        <v>20</v>
      </c>
      <c r="H592">
        <v>14084</v>
      </c>
      <c r="I592">
        <v>2830</v>
      </c>
      <c r="J592">
        <v>1</v>
      </c>
      <c r="K592">
        <v>234.7</v>
      </c>
      <c r="L592">
        <v>47.2</v>
      </c>
      <c r="M592">
        <v>11.7</v>
      </c>
      <c r="N592">
        <v>152</v>
      </c>
      <c r="O592" s="1" t="s">
        <v>525</v>
      </c>
    </row>
    <row r="593" spans="1:15">
      <c r="A593">
        <v>1224021</v>
      </c>
      <c r="B593" t="s">
        <v>524</v>
      </c>
      <c r="C593" t="s">
        <v>96</v>
      </c>
      <c r="D593" t="s">
        <v>194</v>
      </c>
      <c r="E593">
        <v>2025</v>
      </c>
      <c r="F593">
        <v>7</v>
      </c>
      <c r="G593">
        <v>18</v>
      </c>
      <c r="H593">
        <v>10701</v>
      </c>
      <c r="I593">
        <v>1830</v>
      </c>
      <c r="J593">
        <v>1</v>
      </c>
      <c r="K593">
        <v>178.4</v>
      </c>
      <c r="L593">
        <v>30.5</v>
      </c>
      <c r="M593">
        <v>9.9</v>
      </c>
      <c r="N593">
        <v>136</v>
      </c>
      <c r="O593" s="1" t="s">
        <v>126</v>
      </c>
    </row>
    <row r="594" spans="1:15">
      <c r="A594">
        <v>1224021</v>
      </c>
      <c r="B594" t="s">
        <v>524</v>
      </c>
      <c r="C594" t="s">
        <v>96</v>
      </c>
      <c r="D594" t="s">
        <v>194</v>
      </c>
      <c r="E594">
        <v>2025</v>
      </c>
      <c r="F594">
        <v>8</v>
      </c>
      <c r="G594">
        <v>16</v>
      </c>
      <c r="H594">
        <v>10412</v>
      </c>
      <c r="I594">
        <v>1780</v>
      </c>
      <c r="J594">
        <v>0</v>
      </c>
      <c r="K594">
        <v>173.5</v>
      </c>
      <c r="L594">
        <v>29.7</v>
      </c>
      <c r="M594">
        <v>10.8</v>
      </c>
      <c r="N594">
        <v>128</v>
      </c>
      <c r="O594">
        <v>45.5</v>
      </c>
    </row>
    <row r="595" spans="1:15">
      <c r="A595">
        <v>1224024</v>
      </c>
      <c r="B595" t="s">
        <v>526</v>
      </c>
      <c r="C595" t="s">
        <v>49</v>
      </c>
      <c r="D595" t="s">
        <v>194</v>
      </c>
      <c r="E595">
        <v>2025</v>
      </c>
      <c r="F595">
        <v>6</v>
      </c>
      <c r="G595">
        <v>18</v>
      </c>
      <c r="H595">
        <v>9420</v>
      </c>
      <c r="I595">
        <v>515</v>
      </c>
      <c r="J595">
        <v>0</v>
      </c>
      <c r="K595">
        <v>157</v>
      </c>
      <c r="L595">
        <v>8.6</v>
      </c>
      <c r="M595">
        <v>8.6999999999999993</v>
      </c>
      <c r="N595">
        <v>144</v>
      </c>
      <c r="O595">
        <v>13</v>
      </c>
    </row>
    <row r="596" spans="1:15">
      <c r="A596">
        <v>1224024</v>
      </c>
      <c r="B596" t="s">
        <v>526</v>
      </c>
      <c r="C596" t="s">
        <v>49</v>
      </c>
      <c r="D596" t="s">
        <v>194</v>
      </c>
      <c r="E596">
        <v>2025</v>
      </c>
      <c r="F596">
        <v>7</v>
      </c>
      <c r="G596">
        <v>19</v>
      </c>
      <c r="H596">
        <v>10261</v>
      </c>
      <c r="I596">
        <v>606</v>
      </c>
      <c r="J596">
        <v>0</v>
      </c>
      <c r="K596">
        <v>171</v>
      </c>
      <c r="L596">
        <v>10.1</v>
      </c>
      <c r="M596">
        <v>9</v>
      </c>
      <c r="N596">
        <v>152</v>
      </c>
      <c r="O596">
        <v>19</v>
      </c>
    </row>
    <row r="597" spans="1:15">
      <c r="A597">
        <v>1224024</v>
      </c>
      <c r="B597" t="s">
        <v>526</v>
      </c>
      <c r="C597" t="s">
        <v>49</v>
      </c>
      <c r="D597" t="s">
        <v>194</v>
      </c>
      <c r="E597">
        <v>2025</v>
      </c>
      <c r="F597">
        <v>8</v>
      </c>
      <c r="G597">
        <v>15</v>
      </c>
      <c r="H597">
        <v>7303</v>
      </c>
      <c r="I597">
        <v>79</v>
      </c>
      <c r="J597">
        <v>0</v>
      </c>
      <c r="K597">
        <v>121.7</v>
      </c>
      <c r="L597">
        <v>1.3</v>
      </c>
      <c r="M597">
        <v>8.1</v>
      </c>
      <c r="N597">
        <v>120</v>
      </c>
      <c r="O597" s="1" t="s">
        <v>527</v>
      </c>
    </row>
    <row r="598" spans="1:15">
      <c r="A598">
        <v>1224025</v>
      </c>
      <c r="B598" t="s">
        <v>528</v>
      </c>
      <c r="C598" t="s">
        <v>225</v>
      </c>
      <c r="D598" t="s">
        <v>136</v>
      </c>
      <c r="E598">
        <v>2025</v>
      </c>
      <c r="F598">
        <v>6</v>
      </c>
      <c r="G598">
        <v>17</v>
      </c>
      <c r="H598">
        <v>8505</v>
      </c>
      <c r="I598">
        <v>0</v>
      </c>
      <c r="J598">
        <v>0</v>
      </c>
      <c r="K598">
        <v>141.80000000000001</v>
      </c>
      <c r="L598">
        <v>0</v>
      </c>
      <c r="M598">
        <v>8.3000000000000007</v>
      </c>
      <c r="N598">
        <v>136</v>
      </c>
      <c r="O598" s="1" t="s">
        <v>454</v>
      </c>
    </row>
    <row r="599" spans="1:15">
      <c r="A599">
        <v>1224025</v>
      </c>
      <c r="B599" t="s">
        <v>528</v>
      </c>
      <c r="C599" t="s">
        <v>225</v>
      </c>
      <c r="D599" t="s">
        <v>136</v>
      </c>
      <c r="E599">
        <v>2025</v>
      </c>
      <c r="F599">
        <v>7</v>
      </c>
      <c r="G599">
        <v>19</v>
      </c>
      <c r="H599">
        <v>11077</v>
      </c>
      <c r="I599">
        <v>0</v>
      </c>
      <c r="J599">
        <v>2</v>
      </c>
      <c r="K599">
        <v>184.6</v>
      </c>
      <c r="L599">
        <v>0</v>
      </c>
      <c r="M599">
        <v>9.6999999999999993</v>
      </c>
      <c r="N599">
        <v>136</v>
      </c>
      <c r="O599" s="1" t="s">
        <v>529</v>
      </c>
    </row>
    <row r="600" spans="1:15">
      <c r="A600">
        <v>1224025</v>
      </c>
      <c r="B600" t="s">
        <v>528</v>
      </c>
      <c r="C600" t="s">
        <v>225</v>
      </c>
      <c r="D600" t="s">
        <v>136</v>
      </c>
      <c r="E600">
        <v>2025</v>
      </c>
      <c r="F600">
        <v>8</v>
      </c>
      <c r="G600">
        <v>15</v>
      </c>
      <c r="H600">
        <v>8105</v>
      </c>
      <c r="I600">
        <v>0</v>
      </c>
      <c r="J600">
        <v>1</v>
      </c>
      <c r="K600">
        <v>135.1</v>
      </c>
      <c r="L600">
        <v>0</v>
      </c>
      <c r="M600">
        <v>9</v>
      </c>
      <c r="N600">
        <v>112</v>
      </c>
      <c r="O600" s="1" t="s">
        <v>207</v>
      </c>
    </row>
    <row r="601" spans="1:15">
      <c r="A601">
        <v>1224027</v>
      </c>
      <c r="B601" t="s">
        <v>530</v>
      </c>
      <c r="C601" t="s">
        <v>182</v>
      </c>
      <c r="D601" t="s">
        <v>136</v>
      </c>
      <c r="E601">
        <v>2025</v>
      </c>
      <c r="F601">
        <v>6</v>
      </c>
      <c r="G601">
        <v>20</v>
      </c>
      <c r="H601">
        <v>9627</v>
      </c>
      <c r="I601">
        <v>96</v>
      </c>
      <c r="J601">
        <v>1</v>
      </c>
      <c r="K601">
        <v>160.4</v>
      </c>
      <c r="L601">
        <v>1.6</v>
      </c>
      <c r="M601">
        <v>8</v>
      </c>
      <c r="N601">
        <v>152</v>
      </c>
      <c r="O601" s="1" t="s">
        <v>295</v>
      </c>
    </row>
    <row r="602" spans="1:15">
      <c r="A602">
        <v>1224027</v>
      </c>
      <c r="B602" t="s">
        <v>530</v>
      </c>
      <c r="C602" t="s">
        <v>182</v>
      </c>
      <c r="D602" t="s">
        <v>136</v>
      </c>
      <c r="E602">
        <v>2025</v>
      </c>
      <c r="F602">
        <v>7</v>
      </c>
      <c r="G602">
        <v>20</v>
      </c>
      <c r="H602">
        <v>13154</v>
      </c>
      <c r="I602">
        <v>455</v>
      </c>
      <c r="J602">
        <v>1</v>
      </c>
      <c r="K602">
        <v>219.2</v>
      </c>
      <c r="L602">
        <v>7.6</v>
      </c>
      <c r="M602">
        <v>11</v>
      </c>
      <c r="N602">
        <v>152</v>
      </c>
      <c r="O602" s="1" t="s">
        <v>531</v>
      </c>
    </row>
    <row r="603" spans="1:15">
      <c r="A603">
        <v>1224027</v>
      </c>
      <c r="B603" t="s">
        <v>530</v>
      </c>
      <c r="C603" t="s">
        <v>182</v>
      </c>
      <c r="D603" t="s">
        <v>136</v>
      </c>
      <c r="E603">
        <v>2025</v>
      </c>
      <c r="F603">
        <v>8</v>
      </c>
      <c r="G603">
        <v>16</v>
      </c>
      <c r="H603">
        <v>8450</v>
      </c>
      <c r="I603">
        <v>146</v>
      </c>
      <c r="J603">
        <v>0</v>
      </c>
      <c r="K603">
        <v>140.80000000000001</v>
      </c>
      <c r="L603">
        <v>2.4</v>
      </c>
      <c r="M603">
        <v>8.8000000000000007</v>
      </c>
      <c r="N603">
        <v>128</v>
      </c>
      <c r="O603" s="1" t="s">
        <v>362</v>
      </c>
    </row>
    <row r="604" spans="1:15">
      <c r="A604">
        <v>1224028</v>
      </c>
      <c r="B604" t="s">
        <v>532</v>
      </c>
      <c r="C604" t="s">
        <v>218</v>
      </c>
      <c r="D604" t="s">
        <v>136</v>
      </c>
      <c r="E604">
        <v>2025</v>
      </c>
      <c r="F604">
        <v>6</v>
      </c>
      <c r="G604">
        <v>19</v>
      </c>
      <c r="H604">
        <v>10518</v>
      </c>
      <c r="I604">
        <v>257</v>
      </c>
      <c r="J604">
        <v>0</v>
      </c>
      <c r="K604">
        <v>175.3</v>
      </c>
      <c r="L604">
        <v>4.3</v>
      </c>
      <c r="M604">
        <v>9.1999999999999993</v>
      </c>
      <c r="N604">
        <v>152</v>
      </c>
      <c r="O604" s="1" t="s">
        <v>374</v>
      </c>
    </row>
    <row r="605" spans="1:15">
      <c r="A605">
        <v>1224028</v>
      </c>
      <c r="B605" t="s">
        <v>532</v>
      </c>
      <c r="C605" t="s">
        <v>218</v>
      </c>
      <c r="D605" t="s">
        <v>136</v>
      </c>
      <c r="E605">
        <v>2025</v>
      </c>
      <c r="F605">
        <v>7</v>
      </c>
      <c r="G605">
        <v>18</v>
      </c>
      <c r="H605">
        <v>10569</v>
      </c>
      <c r="I605">
        <v>383</v>
      </c>
      <c r="J605">
        <v>0</v>
      </c>
      <c r="K605">
        <v>176.2</v>
      </c>
      <c r="L605">
        <v>6.4</v>
      </c>
      <c r="M605">
        <v>9.8000000000000007</v>
      </c>
      <c r="N605">
        <v>144</v>
      </c>
      <c r="O605" s="1" t="s">
        <v>533</v>
      </c>
    </row>
    <row r="606" spans="1:15">
      <c r="A606">
        <v>1224028</v>
      </c>
      <c r="B606" t="s">
        <v>532</v>
      </c>
      <c r="C606" t="s">
        <v>218</v>
      </c>
      <c r="D606" t="s">
        <v>136</v>
      </c>
      <c r="E606">
        <v>2025</v>
      </c>
      <c r="F606">
        <v>8</v>
      </c>
      <c r="G606">
        <v>13</v>
      </c>
      <c r="H606">
        <v>7061</v>
      </c>
      <c r="I606">
        <v>311</v>
      </c>
      <c r="J606">
        <v>0</v>
      </c>
      <c r="K606">
        <v>117.7</v>
      </c>
      <c r="L606">
        <v>5.2</v>
      </c>
      <c r="M606">
        <v>9.1</v>
      </c>
      <c r="N606">
        <v>104</v>
      </c>
      <c r="O606" s="1" t="s">
        <v>382</v>
      </c>
    </row>
    <row r="607" spans="1:15">
      <c r="A607">
        <v>1224032</v>
      </c>
      <c r="B607" t="s">
        <v>534</v>
      </c>
      <c r="C607" t="s">
        <v>308</v>
      </c>
      <c r="D607" t="s">
        <v>194</v>
      </c>
      <c r="E607">
        <v>2025</v>
      </c>
      <c r="F607">
        <v>6</v>
      </c>
      <c r="G607">
        <v>15</v>
      </c>
      <c r="H607">
        <v>8641</v>
      </c>
      <c r="I607">
        <v>0</v>
      </c>
      <c r="J607">
        <v>0</v>
      </c>
      <c r="K607">
        <v>144</v>
      </c>
      <c r="L607">
        <v>0</v>
      </c>
      <c r="M607">
        <v>9.6</v>
      </c>
      <c r="N607">
        <v>120</v>
      </c>
      <c r="O607">
        <v>24</v>
      </c>
    </row>
    <row r="608" spans="1:15">
      <c r="A608">
        <v>1224032</v>
      </c>
      <c r="B608" t="s">
        <v>534</v>
      </c>
      <c r="C608" t="s">
        <v>308</v>
      </c>
      <c r="D608" t="s">
        <v>194</v>
      </c>
      <c r="E608">
        <v>2025</v>
      </c>
      <c r="F608">
        <v>7</v>
      </c>
      <c r="G608">
        <v>18</v>
      </c>
      <c r="H608">
        <v>9868</v>
      </c>
      <c r="I608">
        <v>0</v>
      </c>
      <c r="J608">
        <v>0</v>
      </c>
      <c r="K608">
        <v>164.5</v>
      </c>
      <c r="L608">
        <v>0</v>
      </c>
      <c r="M608">
        <v>9.1</v>
      </c>
      <c r="N608">
        <v>144</v>
      </c>
      <c r="O608">
        <v>20.5</v>
      </c>
    </row>
    <row r="609" spans="1:15">
      <c r="A609">
        <v>1224032</v>
      </c>
      <c r="B609" t="s">
        <v>534</v>
      </c>
      <c r="C609" t="s">
        <v>308</v>
      </c>
      <c r="D609" t="s">
        <v>194</v>
      </c>
      <c r="E609">
        <v>2025</v>
      </c>
      <c r="F609">
        <v>8</v>
      </c>
      <c r="G609">
        <v>13</v>
      </c>
      <c r="H609">
        <v>6342</v>
      </c>
      <c r="I609">
        <v>0</v>
      </c>
      <c r="J609">
        <v>0</v>
      </c>
      <c r="K609">
        <v>105.7</v>
      </c>
      <c r="L609">
        <v>0</v>
      </c>
      <c r="M609">
        <v>8.1</v>
      </c>
      <c r="N609">
        <v>104</v>
      </c>
      <c r="O609" s="1" t="s">
        <v>527</v>
      </c>
    </row>
    <row r="610" spans="1:15">
      <c r="A610">
        <v>1224045</v>
      </c>
      <c r="B610" t="s">
        <v>535</v>
      </c>
      <c r="C610" t="s">
        <v>328</v>
      </c>
      <c r="D610" t="s">
        <v>136</v>
      </c>
      <c r="E610">
        <v>2025</v>
      </c>
      <c r="F610">
        <v>6</v>
      </c>
      <c r="G610">
        <v>19</v>
      </c>
      <c r="H610">
        <v>11111</v>
      </c>
      <c r="I610">
        <v>682</v>
      </c>
      <c r="J610">
        <v>1</v>
      </c>
      <c r="K610">
        <v>185.2</v>
      </c>
      <c r="L610">
        <v>11.4</v>
      </c>
      <c r="M610">
        <v>9.6999999999999993</v>
      </c>
      <c r="N610">
        <v>144</v>
      </c>
      <c r="O610" s="1" t="s">
        <v>536</v>
      </c>
    </row>
    <row r="611" spans="1:15">
      <c r="A611">
        <v>1224045</v>
      </c>
      <c r="B611" t="s">
        <v>535</v>
      </c>
      <c r="C611" t="s">
        <v>328</v>
      </c>
      <c r="D611" t="s">
        <v>136</v>
      </c>
      <c r="E611">
        <v>2025</v>
      </c>
      <c r="F611">
        <v>7</v>
      </c>
      <c r="G611">
        <v>20</v>
      </c>
      <c r="H611">
        <v>12064</v>
      </c>
      <c r="I611">
        <v>1514</v>
      </c>
      <c r="J611">
        <v>2</v>
      </c>
      <c r="K611">
        <v>201.1</v>
      </c>
      <c r="L611">
        <v>25.2</v>
      </c>
      <c r="M611">
        <v>10.1</v>
      </c>
      <c r="N611">
        <v>144</v>
      </c>
      <c r="O611" s="1" t="s">
        <v>537</v>
      </c>
    </row>
    <row r="612" spans="1:15">
      <c r="A612">
        <v>1224045</v>
      </c>
      <c r="B612" t="s">
        <v>535</v>
      </c>
      <c r="C612" t="s">
        <v>328</v>
      </c>
      <c r="D612" t="s">
        <v>136</v>
      </c>
      <c r="E612">
        <v>2025</v>
      </c>
      <c r="F612">
        <v>8</v>
      </c>
      <c r="G612">
        <v>15</v>
      </c>
      <c r="H612">
        <v>8596</v>
      </c>
      <c r="I612">
        <v>334</v>
      </c>
      <c r="J612">
        <v>0</v>
      </c>
      <c r="K612">
        <v>143.30000000000001</v>
      </c>
      <c r="L612">
        <v>5.6</v>
      </c>
      <c r="M612">
        <v>9.6</v>
      </c>
      <c r="N612">
        <v>120</v>
      </c>
      <c r="O612" s="1" t="s">
        <v>374</v>
      </c>
    </row>
    <row r="613" spans="1:15">
      <c r="A613">
        <v>1224047</v>
      </c>
      <c r="B613" t="s">
        <v>538</v>
      </c>
      <c r="C613" t="s">
        <v>213</v>
      </c>
      <c r="D613" t="s">
        <v>194</v>
      </c>
      <c r="E613">
        <v>2025</v>
      </c>
      <c r="F613">
        <v>6</v>
      </c>
      <c r="G613">
        <v>19</v>
      </c>
      <c r="H613">
        <v>11520</v>
      </c>
      <c r="I613">
        <v>0</v>
      </c>
      <c r="J613">
        <v>0</v>
      </c>
      <c r="K613">
        <v>192</v>
      </c>
      <c r="L613">
        <v>0</v>
      </c>
      <c r="M613">
        <v>10.1</v>
      </c>
      <c r="N613">
        <v>152</v>
      </c>
      <c r="O613">
        <v>40</v>
      </c>
    </row>
    <row r="614" spans="1:15">
      <c r="A614">
        <v>1224047</v>
      </c>
      <c r="B614" t="s">
        <v>538</v>
      </c>
      <c r="C614" t="s">
        <v>213</v>
      </c>
      <c r="D614" t="s">
        <v>194</v>
      </c>
      <c r="E614">
        <v>2025</v>
      </c>
      <c r="F614">
        <v>7</v>
      </c>
      <c r="G614">
        <v>21</v>
      </c>
      <c r="H614">
        <v>12393</v>
      </c>
      <c r="I614">
        <v>0</v>
      </c>
      <c r="J614">
        <v>2</v>
      </c>
      <c r="K614">
        <v>206.6</v>
      </c>
      <c r="L614">
        <v>0</v>
      </c>
      <c r="M614">
        <v>9.8000000000000007</v>
      </c>
      <c r="N614">
        <v>152</v>
      </c>
      <c r="O614" s="1" t="s">
        <v>539</v>
      </c>
    </row>
    <row r="615" spans="1:15">
      <c r="A615">
        <v>1224047</v>
      </c>
      <c r="B615" t="s">
        <v>538</v>
      </c>
      <c r="C615" t="s">
        <v>213</v>
      </c>
      <c r="D615" t="s">
        <v>194</v>
      </c>
      <c r="E615">
        <v>2025</v>
      </c>
      <c r="F615">
        <v>8</v>
      </c>
      <c r="G615">
        <v>17</v>
      </c>
      <c r="H615">
        <v>9264</v>
      </c>
      <c r="I615">
        <v>0</v>
      </c>
      <c r="J615">
        <v>0</v>
      </c>
      <c r="K615">
        <v>154.4</v>
      </c>
      <c r="L615">
        <v>0</v>
      </c>
      <c r="M615">
        <v>9.1</v>
      </c>
      <c r="N615">
        <v>136</v>
      </c>
      <c r="O615" s="1" t="s">
        <v>478</v>
      </c>
    </row>
    <row r="616" spans="1:15">
      <c r="A616">
        <v>1224048</v>
      </c>
      <c r="B616" t="s">
        <v>540</v>
      </c>
      <c r="C616" t="s">
        <v>218</v>
      </c>
      <c r="D616" t="s">
        <v>136</v>
      </c>
      <c r="E616">
        <v>2025</v>
      </c>
      <c r="F616">
        <v>6</v>
      </c>
      <c r="G616">
        <v>19</v>
      </c>
      <c r="H616">
        <v>11091</v>
      </c>
      <c r="I616">
        <v>584</v>
      </c>
      <c r="J616">
        <v>0</v>
      </c>
      <c r="K616">
        <v>184.8</v>
      </c>
      <c r="L616">
        <v>9.6999999999999993</v>
      </c>
      <c r="M616">
        <v>9.6999999999999993</v>
      </c>
      <c r="N616">
        <v>152</v>
      </c>
      <c r="O616" s="1" t="s">
        <v>541</v>
      </c>
    </row>
    <row r="617" spans="1:15">
      <c r="A617">
        <v>1224048</v>
      </c>
      <c r="B617" t="s">
        <v>540</v>
      </c>
      <c r="C617" t="s">
        <v>218</v>
      </c>
      <c r="D617" t="s">
        <v>136</v>
      </c>
      <c r="E617">
        <v>2025</v>
      </c>
      <c r="F617">
        <v>7</v>
      </c>
      <c r="G617">
        <v>19</v>
      </c>
      <c r="H617">
        <v>11053</v>
      </c>
      <c r="I617">
        <v>450</v>
      </c>
      <c r="J617">
        <v>0</v>
      </c>
      <c r="K617">
        <v>184.2</v>
      </c>
      <c r="L617">
        <v>7.5</v>
      </c>
      <c r="M617">
        <v>9.6999999999999993</v>
      </c>
      <c r="N617">
        <v>152</v>
      </c>
      <c r="O617" s="1" t="s">
        <v>533</v>
      </c>
    </row>
    <row r="618" spans="1:15">
      <c r="A618">
        <v>1224048</v>
      </c>
      <c r="B618" t="s">
        <v>540</v>
      </c>
      <c r="C618" t="s">
        <v>218</v>
      </c>
      <c r="D618" t="s">
        <v>136</v>
      </c>
      <c r="E618">
        <v>2025</v>
      </c>
      <c r="F618">
        <v>8</v>
      </c>
      <c r="G618">
        <v>15</v>
      </c>
      <c r="H618">
        <v>8599</v>
      </c>
      <c r="I618">
        <v>493</v>
      </c>
      <c r="J618">
        <v>0</v>
      </c>
      <c r="K618">
        <v>143.30000000000001</v>
      </c>
      <c r="L618">
        <v>8.1999999999999993</v>
      </c>
      <c r="M618">
        <v>9.6</v>
      </c>
      <c r="N618">
        <v>120</v>
      </c>
      <c r="O618" s="1" t="s">
        <v>374</v>
      </c>
    </row>
    <row r="619" spans="1:15">
      <c r="A619">
        <v>1224049</v>
      </c>
      <c r="B619" t="s">
        <v>542</v>
      </c>
      <c r="C619" t="s">
        <v>218</v>
      </c>
      <c r="D619" t="s">
        <v>194</v>
      </c>
      <c r="E619">
        <v>2025</v>
      </c>
      <c r="F619">
        <v>6</v>
      </c>
      <c r="G619">
        <v>19</v>
      </c>
      <c r="H619">
        <v>11665</v>
      </c>
      <c r="I619">
        <v>1019</v>
      </c>
      <c r="J619">
        <v>1</v>
      </c>
      <c r="K619">
        <v>194.4</v>
      </c>
      <c r="L619">
        <v>17</v>
      </c>
      <c r="M619">
        <v>10.199999999999999</v>
      </c>
      <c r="N619">
        <v>144</v>
      </c>
      <c r="O619" s="1" t="s">
        <v>543</v>
      </c>
    </row>
    <row r="620" spans="1:15">
      <c r="A620">
        <v>1224049</v>
      </c>
      <c r="B620" t="s">
        <v>542</v>
      </c>
      <c r="C620" t="s">
        <v>218</v>
      </c>
      <c r="D620" t="s">
        <v>194</v>
      </c>
      <c r="E620">
        <v>2025</v>
      </c>
      <c r="F620">
        <v>7</v>
      </c>
      <c r="G620">
        <v>23</v>
      </c>
      <c r="H620">
        <v>14113</v>
      </c>
      <c r="I620">
        <v>947</v>
      </c>
      <c r="J620">
        <v>2</v>
      </c>
      <c r="K620">
        <v>235.2</v>
      </c>
      <c r="L620">
        <v>15.8</v>
      </c>
      <c r="M620">
        <v>10.199999999999999</v>
      </c>
      <c r="N620">
        <v>168</v>
      </c>
      <c r="O620" s="1" t="s">
        <v>531</v>
      </c>
    </row>
    <row r="621" spans="1:15">
      <c r="A621">
        <v>1224049</v>
      </c>
      <c r="B621" t="s">
        <v>542</v>
      </c>
      <c r="C621" t="s">
        <v>218</v>
      </c>
      <c r="D621" t="s">
        <v>194</v>
      </c>
      <c r="E621">
        <v>2025</v>
      </c>
      <c r="F621">
        <v>8</v>
      </c>
      <c r="G621">
        <v>14</v>
      </c>
      <c r="H621">
        <v>7941</v>
      </c>
      <c r="I621">
        <v>670</v>
      </c>
      <c r="J621">
        <v>0</v>
      </c>
      <c r="K621">
        <v>132.4</v>
      </c>
      <c r="L621">
        <v>11.2</v>
      </c>
      <c r="M621">
        <v>9.5</v>
      </c>
      <c r="N621">
        <v>112</v>
      </c>
      <c r="O621" s="1" t="s">
        <v>447</v>
      </c>
    </row>
    <row r="622" spans="1:15">
      <c r="A622">
        <v>1224050</v>
      </c>
      <c r="B622" t="s">
        <v>544</v>
      </c>
      <c r="C622" t="s">
        <v>61</v>
      </c>
      <c r="D622" t="s">
        <v>194</v>
      </c>
      <c r="E622">
        <v>2025</v>
      </c>
      <c r="F622">
        <v>6</v>
      </c>
      <c r="G622">
        <v>16</v>
      </c>
      <c r="H622">
        <v>9558</v>
      </c>
      <c r="I622">
        <v>0</v>
      </c>
      <c r="J622">
        <v>0</v>
      </c>
      <c r="K622">
        <v>159.30000000000001</v>
      </c>
      <c r="L622">
        <v>0</v>
      </c>
      <c r="M622">
        <v>10</v>
      </c>
      <c r="N622">
        <v>128</v>
      </c>
      <c r="O622" s="1" t="s">
        <v>503</v>
      </c>
    </row>
    <row r="623" spans="1:15">
      <c r="A623">
        <v>1224050</v>
      </c>
      <c r="B623" t="s">
        <v>544</v>
      </c>
      <c r="C623" t="s">
        <v>61</v>
      </c>
      <c r="D623" t="s">
        <v>194</v>
      </c>
      <c r="E623">
        <v>2025</v>
      </c>
      <c r="F623">
        <v>7</v>
      </c>
      <c r="G623">
        <v>14</v>
      </c>
      <c r="H623">
        <v>8508</v>
      </c>
      <c r="I623">
        <v>0</v>
      </c>
      <c r="J623">
        <v>0</v>
      </c>
      <c r="K623">
        <v>141.80000000000001</v>
      </c>
      <c r="L623">
        <v>0</v>
      </c>
      <c r="M623">
        <v>10.1</v>
      </c>
      <c r="N623">
        <v>112</v>
      </c>
      <c r="O623" s="1" t="s">
        <v>545</v>
      </c>
    </row>
    <row r="624" spans="1:15">
      <c r="A624">
        <v>1224050</v>
      </c>
      <c r="B624" t="s">
        <v>544</v>
      </c>
      <c r="C624" t="s">
        <v>61</v>
      </c>
      <c r="D624" t="s">
        <v>194</v>
      </c>
      <c r="E624">
        <v>2025</v>
      </c>
      <c r="F624">
        <v>8</v>
      </c>
      <c r="G624">
        <v>14</v>
      </c>
      <c r="H624">
        <v>7548</v>
      </c>
      <c r="I624">
        <v>0</v>
      </c>
      <c r="J624">
        <v>0</v>
      </c>
      <c r="K624">
        <v>125.8</v>
      </c>
      <c r="L624">
        <v>0</v>
      </c>
      <c r="M624">
        <v>9</v>
      </c>
      <c r="N624">
        <v>112</v>
      </c>
      <c r="O624" s="1" t="s">
        <v>517</v>
      </c>
    </row>
    <row r="625" spans="1:15">
      <c r="A625">
        <v>1224051</v>
      </c>
      <c r="B625" t="s">
        <v>546</v>
      </c>
      <c r="C625" t="s">
        <v>49</v>
      </c>
      <c r="D625" t="s">
        <v>194</v>
      </c>
      <c r="E625">
        <v>2025</v>
      </c>
      <c r="F625">
        <v>6</v>
      </c>
      <c r="G625">
        <v>11</v>
      </c>
      <c r="H625">
        <v>5909</v>
      </c>
      <c r="I625">
        <v>240</v>
      </c>
      <c r="J625">
        <v>0</v>
      </c>
      <c r="K625">
        <v>98.5</v>
      </c>
      <c r="L625">
        <v>4</v>
      </c>
      <c r="M625">
        <v>9</v>
      </c>
      <c r="N625">
        <v>88</v>
      </c>
      <c r="O625">
        <v>10.5</v>
      </c>
    </row>
    <row r="626" spans="1:15">
      <c r="A626">
        <v>1224051</v>
      </c>
      <c r="B626" t="s">
        <v>546</v>
      </c>
      <c r="C626" t="s">
        <v>49</v>
      </c>
      <c r="D626" t="s">
        <v>194</v>
      </c>
      <c r="E626">
        <v>2025</v>
      </c>
      <c r="F626">
        <v>7</v>
      </c>
      <c r="G626">
        <v>11</v>
      </c>
      <c r="H626">
        <v>4352</v>
      </c>
      <c r="I626">
        <v>0</v>
      </c>
      <c r="J626">
        <v>0</v>
      </c>
      <c r="K626">
        <v>72.5</v>
      </c>
      <c r="L626">
        <v>0</v>
      </c>
      <c r="M626">
        <v>6.6</v>
      </c>
      <c r="N626">
        <v>88</v>
      </c>
      <c r="O626">
        <v>-15.5</v>
      </c>
    </row>
    <row r="627" spans="1:15">
      <c r="A627">
        <v>1224051</v>
      </c>
      <c r="B627" t="s">
        <v>546</v>
      </c>
      <c r="C627" t="s">
        <v>49</v>
      </c>
      <c r="D627" t="s">
        <v>194</v>
      </c>
      <c r="E627">
        <v>2025</v>
      </c>
      <c r="F627">
        <v>8</v>
      </c>
      <c r="G627">
        <v>11</v>
      </c>
      <c r="H627">
        <v>4653</v>
      </c>
      <c r="I627">
        <v>0</v>
      </c>
      <c r="J627">
        <v>0</v>
      </c>
      <c r="K627">
        <v>77.599999999999994</v>
      </c>
      <c r="L627">
        <v>0</v>
      </c>
      <c r="M627">
        <v>7.1</v>
      </c>
      <c r="N627">
        <v>88</v>
      </c>
      <c r="O627">
        <v>-10.4</v>
      </c>
    </row>
    <row r="628" spans="1:15">
      <c r="A628">
        <v>1224052</v>
      </c>
      <c r="B628" t="s">
        <v>547</v>
      </c>
      <c r="C628" t="s">
        <v>93</v>
      </c>
      <c r="D628" t="s">
        <v>194</v>
      </c>
      <c r="E628">
        <v>2025</v>
      </c>
      <c r="F628">
        <v>6</v>
      </c>
      <c r="G628">
        <v>17</v>
      </c>
      <c r="H628">
        <v>9332</v>
      </c>
      <c r="I628">
        <v>3</v>
      </c>
      <c r="J628">
        <v>0</v>
      </c>
      <c r="K628">
        <v>155.5</v>
      </c>
      <c r="L628">
        <v>0</v>
      </c>
      <c r="M628">
        <v>9.1</v>
      </c>
      <c r="N628">
        <v>136</v>
      </c>
      <c r="O628">
        <v>19.5</v>
      </c>
    </row>
    <row r="629" spans="1:15">
      <c r="A629">
        <v>1224052</v>
      </c>
      <c r="B629" t="s">
        <v>547</v>
      </c>
      <c r="C629" t="s">
        <v>93</v>
      </c>
      <c r="D629" t="s">
        <v>194</v>
      </c>
      <c r="E629">
        <v>2025</v>
      </c>
      <c r="F629">
        <v>7</v>
      </c>
      <c r="G629">
        <v>19</v>
      </c>
      <c r="H629">
        <v>10713</v>
      </c>
      <c r="I629">
        <v>0</v>
      </c>
      <c r="J629">
        <v>0</v>
      </c>
      <c r="K629">
        <v>178.6</v>
      </c>
      <c r="L629">
        <v>0</v>
      </c>
      <c r="M629">
        <v>9.4</v>
      </c>
      <c r="N629">
        <v>152</v>
      </c>
      <c r="O629" s="1" t="s">
        <v>391</v>
      </c>
    </row>
    <row r="630" spans="1:15">
      <c r="A630">
        <v>1224052</v>
      </c>
      <c r="B630" t="s">
        <v>547</v>
      </c>
      <c r="C630" t="s">
        <v>93</v>
      </c>
      <c r="D630" t="s">
        <v>194</v>
      </c>
      <c r="E630">
        <v>2025</v>
      </c>
      <c r="F630">
        <v>8</v>
      </c>
      <c r="G630">
        <v>16</v>
      </c>
      <c r="H630">
        <v>8418</v>
      </c>
      <c r="I630">
        <v>120</v>
      </c>
      <c r="J630">
        <v>0</v>
      </c>
      <c r="K630">
        <v>140.30000000000001</v>
      </c>
      <c r="L630">
        <v>2</v>
      </c>
      <c r="M630">
        <v>8.8000000000000007</v>
      </c>
      <c r="N630">
        <v>128</v>
      </c>
      <c r="O630" s="1" t="s">
        <v>34</v>
      </c>
    </row>
    <row r="631" spans="1:15">
      <c r="A631">
        <v>1224055</v>
      </c>
      <c r="B631" t="s">
        <v>548</v>
      </c>
      <c r="C631" t="s">
        <v>31</v>
      </c>
      <c r="D631" t="s">
        <v>194</v>
      </c>
      <c r="E631">
        <v>2025</v>
      </c>
      <c r="F631">
        <v>6</v>
      </c>
      <c r="G631">
        <v>18</v>
      </c>
      <c r="H631">
        <v>9478</v>
      </c>
      <c r="I631">
        <v>11</v>
      </c>
      <c r="J631">
        <v>0</v>
      </c>
      <c r="K631">
        <v>158</v>
      </c>
      <c r="L631">
        <v>0.2</v>
      </c>
      <c r="M631">
        <v>8.8000000000000007</v>
      </c>
      <c r="N631">
        <v>144</v>
      </c>
      <c r="O631">
        <v>14</v>
      </c>
    </row>
    <row r="632" spans="1:15">
      <c r="A632">
        <v>1224055</v>
      </c>
      <c r="B632" t="s">
        <v>548</v>
      </c>
      <c r="C632" t="s">
        <v>31</v>
      </c>
      <c r="D632" t="s">
        <v>194</v>
      </c>
      <c r="E632">
        <v>2025</v>
      </c>
      <c r="F632">
        <v>7</v>
      </c>
      <c r="G632">
        <v>20</v>
      </c>
      <c r="H632">
        <v>10656</v>
      </c>
      <c r="I632">
        <v>140</v>
      </c>
      <c r="J632">
        <v>1</v>
      </c>
      <c r="K632">
        <v>177.6</v>
      </c>
      <c r="L632">
        <v>2.2999999999999998</v>
      </c>
      <c r="M632">
        <v>8.9</v>
      </c>
      <c r="N632">
        <v>152</v>
      </c>
      <c r="O632" s="1" t="s">
        <v>549</v>
      </c>
    </row>
    <row r="633" spans="1:15">
      <c r="A633">
        <v>1224055</v>
      </c>
      <c r="B633" t="s">
        <v>548</v>
      </c>
      <c r="C633" t="s">
        <v>31</v>
      </c>
      <c r="D633" t="s">
        <v>194</v>
      </c>
      <c r="E633">
        <v>2025</v>
      </c>
      <c r="F633">
        <v>8</v>
      </c>
      <c r="G633">
        <v>17</v>
      </c>
      <c r="H633">
        <v>8684</v>
      </c>
      <c r="I633">
        <v>36</v>
      </c>
      <c r="J633">
        <v>0</v>
      </c>
      <c r="K633">
        <v>144.69999999999999</v>
      </c>
      <c r="L633">
        <v>0.6</v>
      </c>
      <c r="M633">
        <v>8.5</v>
      </c>
      <c r="N633">
        <v>136</v>
      </c>
      <c r="O633" s="1" t="s">
        <v>550</v>
      </c>
    </row>
    <row r="634" spans="1:15">
      <c r="A634">
        <v>1224056</v>
      </c>
      <c r="B634" t="s">
        <v>551</v>
      </c>
      <c r="C634" t="s">
        <v>79</v>
      </c>
      <c r="D634" t="s">
        <v>194</v>
      </c>
      <c r="E634">
        <v>2025</v>
      </c>
      <c r="F634">
        <v>6</v>
      </c>
      <c r="G634">
        <v>19</v>
      </c>
      <c r="H634">
        <v>11035</v>
      </c>
      <c r="I634">
        <v>662</v>
      </c>
      <c r="J634">
        <v>0</v>
      </c>
      <c r="K634">
        <v>183.9</v>
      </c>
      <c r="L634">
        <v>11</v>
      </c>
      <c r="M634">
        <v>9.6999999999999993</v>
      </c>
      <c r="N634">
        <v>152</v>
      </c>
      <c r="O634" s="1" t="s">
        <v>552</v>
      </c>
    </row>
    <row r="635" spans="1:15">
      <c r="A635">
        <v>1224056</v>
      </c>
      <c r="B635" t="s">
        <v>551</v>
      </c>
      <c r="C635" t="s">
        <v>79</v>
      </c>
      <c r="D635" t="s">
        <v>194</v>
      </c>
      <c r="E635">
        <v>2025</v>
      </c>
      <c r="F635">
        <v>7</v>
      </c>
      <c r="G635">
        <v>19</v>
      </c>
      <c r="H635">
        <v>10638</v>
      </c>
      <c r="I635">
        <v>349</v>
      </c>
      <c r="J635">
        <v>0</v>
      </c>
      <c r="K635">
        <v>177.3</v>
      </c>
      <c r="L635">
        <v>5.8</v>
      </c>
      <c r="M635">
        <v>9.3000000000000007</v>
      </c>
      <c r="N635">
        <v>152</v>
      </c>
      <c r="O635" s="1" t="s">
        <v>553</v>
      </c>
    </row>
    <row r="636" spans="1:15">
      <c r="A636">
        <v>1224056</v>
      </c>
      <c r="B636" t="s">
        <v>551</v>
      </c>
      <c r="C636" t="s">
        <v>79</v>
      </c>
      <c r="D636" t="s">
        <v>194</v>
      </c>
      <c r="E636">
        <v>2025</v>
      </c>
      <c r="F636">
        <v>8</v>
      </c>
      <c r="G636">
        <v>16</v>
      </c>
      <c r="H636">
        <v>8800</v>
      </c>
      <c r="I636">
        <v>365</v>
      </c>
      <c r="J636">
        <v>0</v>
      </c>
      <c r="K636">
        <v>146.69999999999999</v>
      </c>
      <c r="L636">
        <v>6.1</v>
      </c>
      <c r="M636">
        <v>9.1999999999999993</v>
      </c>
      <c r="N636">
        <v>128</v>
      </c>
      <c r="O636" s="1" t="s">
        <v>489</v>
      </c>
    </row>
    <row r="637" spans="1:15">
      <c r="A637">
        <v>1224057</v>
      </c>
      <c r="B637" t="s">
        <v>554</v>
      </c>
      <c r="C637" t="s">
        <v>225</v>
      </c>
      <c r="D637" t="s">
        <v>194</v>
      </c>
      <c r="E637">
        <v>2025</v>
      </c>
      <c r="F637">
        <v>6</v>
      </c>
      <c r="G637">
        <v>17</v>
      </c>
      <c r="H637">
        <v>9745</v>
      </c>
      <c r="I637">
        <v>0</v>
      </c>
      <c r="J637">
        <v>0</v>
      </c>
      <c r="K637">
        <v>162.4</v>
      </c>
      <c r="L637">
        <v>0</v>
      </c>
      <c r="M637">
        <v>9.6</v>
      </c>
      <c r="N637">
        <v>136</v>
      </c>
      <c r="O637" s="1" t="s">
        <v>555</v>
      </c>
    </row>
    <row r="638" spans="1:15">
      <c r="A638">
        <v>1224057</v>
      </c>
      <c r="B638" t="s">
        <v>554</v>
      </c>
      <c r="C638" t="s">
        <v>225</v>
      </c>
      <c r="D638" t="s">
        <v>194</v>
      </c>
      <c r="E638">
        <v>2025</v>
      </c>
      <c r="F638">
        <v>7</v>
      </c>
      <c r="G638">
        <v>15</v>
      </c>
      <c r="H638">
        <v>8349</v>
      </c>
      <c r="I638">
        <v>0</v>
      </c>
      <c r="J638">
        <v>0</v>
      </c>
      <c r="K638">
        <v>139.19999999999999</v>
      </c>
      <c r="L638">
        <v>0</v>
      </c>
      <c r="M638">
        <v>9.3000000000000007</v>
      </c>
      <c r="N638">
        <v>120</v>
      </c>
      <c r="O638" s="1" t="s">
        <v>556</v>
      </c>
    </row>
    <row r="639" spans="1:15">
      <c r="A639">
        <v>1224057</v>
      </c>
      <c r="B639" t="s">
        <v>554</v>
      </c>
      <c r="C639" t="s">
        <v>225</v>
      </c>
      <c r="D639" t="s">
        <v>194</v>
      </c>
      <c r="E639">
        <v>2025</v>
      </c>
      <c r="F639">
        <v>8</v>
      </c>
      <c r="G639">
        <v>14</v>
      </c>
      <c r="H639">
        <v>7470</v>
      </c>
      <c r="I639">
        <v>0</v>
      </c>
      <c r="J639">
        <v>0</v>
      </c>
      <c r="K639">
        <v>124.5</v>
      </c>
      <c r="L639">
        <v>0</v>
      </c>
      <c r="M639">
        <v>8.9</v>
      </c>
      <c r="N639">
        <v>112</v>
      </c>
      <c r="O639">
        <v>12.5</v>
      </c>
    </row>
    <row r="640" spans="1:15">
      <c r="A640">
        <v>1225001</v>
      </c>
      <c r="B640" t="s">
        <v>557</v>
      </c>
      <c r="C640" t="s">
        <v>93</v>
      </c>
      <c r="D640" t="s">
        <v>194</v>
      </c>
      <c r="E640">
        <v>2025</v>
      </c>
      <c r="F640">
        <v>6</v>
      </c>
      <c r="G640">
        <v>18</v>
      </c>
      <c r="H640">
        <v>10841</v>
      </c>
      <c r="I640">
        <v>420</v>
      </c>
      <c r="J640">
        <v>0</v>
      </c>
      <c r="K640">
        <v>180.7</v>
      </c>
      <c r="L640">
        <v>7</v>
      </c>
      <c r="M640">
        <v>10</v>
      </c>
      <c r="N640">
        <v>144</v>
      </c>
      <c r="O640" s="1" t="s">
        <v>215</v>
      </c>
    </row>
    <row r="641" spans="1:15">
      <c r="A641">
        <v>1225001</v>
      </c>
      <c r="B641" t="s">
        <v>557</v>
      </c>
      <c r="C641" t="s">
        <v>93</v>
      </c>
      <c r="D641" t="s">
        <v>194</v>
      </c>
      <c r="E641">
        <v>2025</v>
      </c>
      <c r="F641">
        <v>7</v>
      </c>
      <c r="G641">
        <v>18</v>
      </c>
      <c r="H641">
        <v>9996</v>
      </c>
      <c r="I641">
        <v>60</v>
      </c>
      <c r="J641">
        <v>0</v>
      </c>
      <c r="K641">
        <v>166.6</v>
      </c>
      <c r="L641">
        <v>1</v>
      </c>
      <c r="M641">
        <v>9.3000000000000007</v>
      </c>
      <c r="N641">
        <v>144</v>
      </c>
      <c r="O641" s="1" t="s">
        <v>80</v>
      </c>
    </row>
    <row r="642" spans="1:15">
      <c r="A642">
        <v>1225001</v>
      </c>
      <c r="B642" t="s">
        <v>557</v>
      </c>
      <c r="C642" t="s">
        <v>93</v>
      </c>
      <c r="D642" t="s">
        <v>194</v>
      </c>
      <c r="E642">
        <v>2025</v>
      </c>
      <c r="F642">
        <v>8</v>
      </c>
      <c r="G642">
        <v>16</v>
      </c>
      <c r="H642">
        <v>8594</v>
      </c>
      <c r="I642">
        <v>0</v>
      </c>
      <c r="J642">
        <v>0</v>
      </c>
      <c r="K642">
        <v>143.19999999999999</v>
      </c>
      <c r="L642">
        <v>0</v>
      </c>
      <c r="M642">
        <v>9</v>
      </c>
      <c r="N642">
        <v>128</v>
      </c>
      <c r="O642" s="1" t="s">
        <v>463</v>
      </c>
    </row>
    <row r="643" spans="1:15">
      <c r="A643">
        <v>1225002</v>
      </c>
      <c r="B643" t="s">
        <v>558</v>
      </c>
      <c r="C643" t="s">
        <v>19</v>
      </c>
      <c r="D643" t="s">
        <v>194</v>
      </c>
      <c r="E643">
        <v>2025</v>
      </c>
      <c r="F643">
        <v>6</v>
      </c>
      <c r="G643">
        <v>11</v>
      </c>
      <c r="H643">
        <v>6364</v>
      </c>
      <c r="I643">
        <v>299</v>
      </c>
      <c r="J643">
        <v>1</v>
      </c>
      <c r="K643">
        <v>106.1</v>
      </c>
      <c r="L643">
        <v>5</v>
      </c>
      <c r="M643">
        <v>9.6</v>
      </c>
      <c r="N643">
        <v>80</v>
      </c>
      <c r="O643" s="1" t="s">
        <v>559</v>
      </c>
    </row>
    <row r="644" spans="1:15">
      <c r="A644">
        <v>1225002</v>
      </c>
      <c r="B644" t="s">
        <v>558</v>
      </c>
      <c r="C644" t="s">
        <v>19</v>
      </c>
      <c r="D644" t="s">
        <v>194</v>
      </c>
      <c r="E644">
        <v>2025</v>
      </c>
      <c r="F644">
        <v>7</v>
      </c>
      <c r="G644">
        <v>18</v>
      </c>
      <c r="H644">
        <v>10533</v>
      </c>
      <c r="I644">
        <v>467</v>
      </c>
      <c r="J644">
        <v>0</v>
      </c>
      <c r="K644">
        <v>175.6</v>
      </c>
      <c r="L644">
        <v>7.8</v>
      </c>
      <c r="M644">
        <v>9.8000000000000007</v>
      </c>
      <c r="N644">
        <v>144</v>
      </c>
      <c r="O644" s="1" t="s">
        <v>402</v>
      </c>
    </row>
    <row r="645" spans="1:15">
      <c r="A645">
        <v>1225002</v>
      </c>
      <c r="B645" t="s">
        <v>558</v>
      </c>
      <c r="C645" t="s">
        <v>19</v>
      </c>
      <c r="D645" t="s">
        <v>194</v>
      </c>
      <c r="E645">
        <v>2025</v>
      </c>
      <c r="F645">
        <v>8</v>
      </c>
      <c r="G645">
        <v>16</v>
      </c>
      <c r="H645">
        <v>8312</v>
      </c>
      <c r="I645">
        <v>202</v>
      </c>
      <c r="J645">
        <v>0</v>
      </c>
      <c r="K645">
        <v>138.5</v>
      </c>
      <c r="L645">
        <v>3.4</v>
      </c>
      <c r="M645">
        <v>8.6999999999999993</v>
      </c>
      <c r="N645">
        <v>128</v>
      </c>
      <c r="O645">
        <v>10.5</v>
      </c>
    </row>
    <row r="646" spans="1:15">
      <c r="A646">
        <v>1225003</v>
      </c>
      <c r="B646" t="s">
        <v>560</v>
      </c>
      <c r="C646" t="s">
        <v>96</v>
      </c>
      <c r="D646" t="s">
        <v>194</v>
      </c>
      <c r="E646">
        <v>2025</v>
      </c>
      <c r="F646">
        <v>6</v>
      </c>
      <c r="G646">
        <v>17</v>
      </c>
      <c r="H646">
        <v>10792</v>
      </c>
      <c r="I646">
        <v>1508</v>
      </c>
      <c r="J646">
        <v>0</v>
      </c>
      <c r="K646">
        <v>179.9</v>
      </c>
      <c r="L646">
        <v>25.1</v>
      </c>
      <c r="M646">
        <v>10.6</v>
      </c>
      <c r="N646">
        <v>136</v>
      </c>
      <c r="O646" s="1" t="s">
        <v>456</v>
      </c>
    </row>
    <row r="647" spans="1:15">
      <c r="A647">
        <v>1225003</v>
      </c>
      <c r="B647" t="s">
        <v>560</v>
      </c>
      <c r="C647" t="s">
        <v>96</v>
      </c>
      <c r="D647" t="s">
        <v>194</v>
      </c>
      <c r="E647">
        <v>2025</v>
      </c>
      <c r="F647">
        <v>7</v>
      </c>
      <c r="G647">
        <v>19</v>
      </c>
      <c r="H647">
        <v>12722</v>
      </c>
      <c r="I647">
        <v>1699</v>
      </c>
      <c r="J647">
        <v>0</v>
      </c>
      <c r="K647">
        <v>212</v>
      </c>
      <c r="L647">
        <v>28.3</v>
      </c>
      <c r="M647">
        <v>11.2</v>
      </c>
      <c r="N647">
        <v>152</v>
      </c>
      <c r="O647">
        <v>60</v>
      </c>
    </row>
    <row r="648" spans="1:15">
      <c r="A648">
        <v>1225003</v>
      </c>
      <c r="B648" t="s">
        <v>560</v>
      </c>
      <c r="C648" t="s">
        <v>96</v>
      </c>
      <c r="D648" t="s">
        <v>194</v>
      </c>
      <c r="E648">
        <v>2025</v>
      </c>
      <c r="F648">
        <v>8</v>
      </c>
      <c r="G648">
        <v>16</v>
      </c>
      <c r="H648">
        <v>11156</v>
      </c>
      <c r="I648">
        <v>2552</v>
      </c>
      <c r="J648">
        <v>0</v>
      </c>
      <c r="K648">
        <v>185.9</v>
      </c>
      <c r="L648">
        <v>42.5</v>
      </c>
      <c r="M648">
        <v>11.6</v>
      </c>
      <c r="N648">
        <v>128</v>
      </c>
      <c r="O648" s="1" t="s">
        <v>561</v>
      </c>
    </row>
    <row r="649" spans="1:15">
      <c r="A649">
        <v>1225004</v>
      </c>
      <c r="B649" t="s">
        <v>562</v>
      </c>
      <c r="C649" t="s">
        <v>31</v>
      </c>
      <c r="D649" t="s">
        <v>194</v>
      </c>
      <c r="E649">
        <v>2025</v>
      </c>
      <c r="F649">
        <v>6</v>
      </c>
      <c r="G649">
        <v>19</v>
      </c>
      <c r="H649">
        <v>12615</v>
      </c>
      <c r="I649">
        <v>1656</v>
      </c>
      <c r="J649">
        <v>0</v>
      </c>
      <c r="K649">
        <v>210.2</v>
      </c>
      <c r="L649">
        <v>27.6</v>
      </c>
      <c r="M649">
        <v>11.1</v>
      </c>
      <c r="N649">
        <v>152</v>
      </c>
      <c r="O649" s="1" t="s">
        <v>563</v>
      </c>
    </row>
    <row r="650" spans="1:15">
      <c r="A650">
        <v>1225004</v>
      </c>
      <c r="B650" t="s">
        <v>562</v>
      </c>
      <c r="C650" t="s">
        <v>31</v>
      </c>
      <c r="D650" t="s">
        <v>194</v>
      </c>
      <c r="E650">
        <v>2025</v>
      </c>
      <c r="F650">
        <v>7</v>
      </c>
      <c r="G650">
        <v>24</v>
      </c>
      <c r="H650">
        <v>15072</v>
      </c>
      <c r="I650">
        <v>1595</v>
      </c>
      <c r="J650">
        <v>2</v>
      </c>
      <c r="K650">
        <v>251.2</v>
      </c>
      <c r="L650">
        <v>26.6</v>
      </c>
      <c r="M650">
        <v>10.5</v>
      </c>
      <c r="N650">
        <v>176</v>
      </c>
      <c r="O650" s="1" t="s">
        <v>427</v>
      </c>
    </row>
    <row r="651" spans="1:15">
      <c r="A651">
        <v>1225004</v>
      </c>
      <c r="B651" t="s">
        <v>562</v>
      </c>
      <c r="C651" t="s">
        <v>31</v>
      </c>
      <c r="D651" t="s">
        <v>194</v>
      </c>
      <c r="E651">
        <v>2025</v>
      </c>
      <c r="F651">
        <v>8</v>
      </c>
      <c r="G651">
        <v>18</v>
      </c>
      <c r="H651">
        <v>10938</v>
      </c>
      <c r="I651">
        <v>1040</v>
      </c>
      <c r="J651">
        <v>1</v>
      </c>
      <c r="K651">
        <v>182.3</v>
      </c>
      <c r="L651">
        <v>17.3</v>
      </c>
      <c r="M651">
        <v>10.1</v>
      </c>
      <c r="N651">
        <v>136</v>
      </c>
      <c r="O651" s="1" t="s">
        <v>564</v>
      </c>
    </row>
    <row r="652" spans="1:15">
      <c r="A652">
        <v>1225005</v>
      </c>
      <c r="B652" t="s">
        <v>565</v>
      </c>
      <c r="C652" t="s">
        <v>210</v>
      </c>
      <c r="D652" t="s">
        <v>194</v>
      </c>
      <c r="E652">
        <v>2025</v>
      </c>
      <c r="F652">
        <v>6</v>
      </c>
      <c r="G652">
        <v>18</v>
      </c>
      <c r="H652">
        <v>10219</v>
      </c>
      <c r="I652">
        <v>0</v>
      </c>
      <c r="J652">
        <v>0</v>
      </c>
      <c r="K652">
        <v>170.3</v>
      </c>
      <c r="L652">
        <v>0</v>
      </c>
      <c r="M652">
        <v>9.5</v>
      </c>
      <c r="N652">
        <v>144</v>
      </c>
      <c r="O652" s="1" t="s">
        <v>435</v>
      </c>
    </row>
    <row r="653" spans="1:15">
      <c r="A653">
        <v>1225005</v>
      </c>
      <c r="B653" t="s">
        <v>565</v>
      </c>
      <c r="C653" t="s">
        <v>210</v>
      </c>
      <c r="D653" t="s">
        <v>194</v>
      </c>
      <c r="E653">
        <v>2025</v>
      </c>
      <c r="F653">
        <v>7</v>
      </c>
      <c r="G653">
        <v>19</v>
      </c>
      <c r="H653">
        <v>9958</v>
      </c>
      <c r="I653">
        <v>0</v>
      </c>
      <c r="J653">
        <v>1</v>
      </c>
      <c r="K653">
        <v>166</v>
      </c>
      <c r="L653">
        <v>0</v>
      </c>
      <c r="M653">
        <v>8.6999999999999993</v>
      </c>
      <c r="N653">
        <v>144</v>
      </c>
      <c r="O653">
        <v>22</v>
      </c>
    </row>
    <row r="654" spans="1:15">
      <c r="A654">
        <v>1225005</v>
      </c>
      <c r="B654" t="s">
        <v>565</v>
      </c>
      <c r="C654" t="s">
        <v>210</v>
      </c>
      <c r="D654" t="s">
        <v>194</v>
      </c>
      <c r="E654">
        <v>2025</v>
      </c>
      <c r="F654">
        <v>8</v>
      </c>
      <c r="G654">
        <v>16</v>
      </c>
      <c r="H654">
        <v>8251</v>
      </c>
      <c r="I654">
        <v>0</v>
      </c>
      <c r="J654">
        <v>0</v>
      </c>
      <c r="K654">
        <v>137.5</v>
      </c>
      <c r="L654">
        <v>0</v>
      </c>
      <c r="M654">
        <v>8.6</v>
      </c>
      <c r="N654">
        <v>128</v>
      </c>
      <c r="O654">
        <v>9.5</v>
      </c>
    </row>
    <row r="655" spans="1:15">
      <c r="A655">
        <v>1225007</v>
      </c>
      <c r="B655" t="s">
        <v>566</v>
      </c>
      <c r="C655" t="s">
        <v>117</v>
      </c>
      <c r="D655" t="s">
        <v>194</v>
      </c>
      <c r="E655">
        <v>2025</v>
      </c>
      <c r="F655">
        <v>6</v>
      </c>
      <c r="G655">
        <v>18</v>
      </c>
      <c r="H655">
        <v>10107</v>
      </c>
      <c r="I655">
        <v>12</v>
      </c>
      <c r="J655">
        <v>0</v>
      </c>
      <c r="K655">
        <v>168.4</v>
      </c>
      <c r="L655">
        <v>0.2</v>
      </c>
      <c r="M655">
        <v>9.4</v>
      </c>
      <c r="N655">
        <v>144</v>
      </c>
      <c r="O655" s="1" t="s">
        <v>494</v>
      </c>
    </row>
    <row r="656" spans="1:15">
      <c r="A656">
        <v>1225007</v>
      </c>
      <c r="B656" t="s">
        <v>566</v>
      </c>
      <c r="C656" t="s">
        <v>117</v>
      </c>
      <c r="D656" t="s">
        <v>194</v>
      </c>
      <c r="E656">
        <v>2025</v>
      </c>
      <c r="F656">
        <v>7</v>
      </c>
      <c r="G656">
        <v>19</v>
      </c>
      <c r="H656">
        <v>10561</v>
      </c>
      <c r="I656">
        <v>131</v>
      </c>
      <c r="J656">
        <v>0</v>
      </c>
      <c r="K656">
        <v>176</v>
      </c>
      <c r="L656">
        <v>2.2000000000000002</v>
      </c>
      <c r="M656">
        <v>9.3000000000000007</v>
      </c>
      <c r="N656">
        <v>152</v>
      </c>
      <c r="O656">
        <v>24</v>
      </c>
    </row>
    <row r="657" spans="1:15">
      <c r="A657">
        <v>1225007</v>
      </c>
      <c r="B657" t="s">
        <v>566</v>
      </c>
      <c r="C657" t="s">
        <v>117</v>
      </c>
      <c r="D657" t="s">
        <v>194</v>
      </c>
      <c r="E657">
        <v>2025</v>
      </c>
      <c r="F657">
        <v>8</v>
      </c>
      <c r="G657">
        <v>13</v>
      </c>
      <c r="H657">
        <v>6887</v>
      </c>
      <c r="I657">
        <v>0</v>
      </c>
      <c r="J657">
        <v>0</v>
      </c>
      <c r="K657">
        <v>114.8</v>
      </c>
      <c r="L657">
        <v>0</v>
      </c>
      <c r="M657">
        <v>8.8000000000000007</v>
      </c>
      <c r="N657">
        <v>104</v>
      </c>
      <c r="O657" s="1" t="s">
        <v>567</v>
      </c>
    </row>
    <row r="658" spans="1:15">
      <c r="A658">
        <v>1225008</v>
      </c>
      <c r="B658" t="s">
        <v>568</v>
      </c>
      <c r="C658" t="s">
        <v>117</v>
      </c>
      <c r="D658" t="s">
        <v>194</v>
      </c>
      <c r="E658">
        <v>2025</v>
      </c>
      <c r="F658">
        <v>6</v>
      </c>
      <c r="G658">
        <v>20</v>
      </c>
      <c r="H658">
        <v>12012</v>
      </c>
      <c r="I658">
        <v>1103</v>
      </c>
      <c r="J658">
        <v>1</v>
      </c>
      <c r="K658">
        <v>200.2</v>
      </c>
      <c r="L658">
        <v>18.399999999999999</v>
      </c>
      <c r="M658">
        <v>10</v>
      </c>
      <c r="N658">
        <v>152</v>
      </c>
      <c r="O658" s="1" t="s">
        <v>569</v>
      </c>
    </row>
    <row r="659" spans="1:15">
      <c r="A659">
        <v>1225008</v>
      </c>
      <c r="B659" t="s">
        <v>568</v>
      </c>
      <c r="C659" t="s">
        <v>117</v>
      </c>
      <c r="D659" t="s">
        <v>194</v>
      </c>
      <c r="E659">
        <v>2025</v>
      </c>
      <c r="F659">
        <v>7</v>
      </c>
      <c r="G659">
        <v>18</v>
      </c>
      <c r="H659">
        <v>11059</v>
      </c>
      <c r="I659">
        <v>1124</v>
      </c>
      <c r="J659">
        <v>0</v>
      </c>
      <c r="K659">
        <v>184.3</v>
      </c>
      <c r="L659">
        <v>18.7</v>
      </c>
      <c r="M659">
        <v>10.199999999999999</v>
      </c>
      <c r="N659">
        <v>144</v>
      </c>
      <c r="O659" s="1" t="s">
        <v>423</v>
      </c>
    </row>
    <row r="660" spans="1:15">
      <c r="A660">
        <v>1225008</v>
      </c>
      <c r="B660" t="s">
        <v>568</v>
      </c>
      <c r="C660" t="s">
        <v>117</v>
      </c>
      <c r="D660" t="s">
        <v>194</v>
      </c>
      <c r="E660">
        <v>2025</v>
      </c>
      <c r="F660">
        <v>8</v>
      </c>
      <c r="G660">
        <v>16</v>
      </c>
      <c r="H660">
        <v>9418</v>
      </c>
      <c r="I660">
        <v>996</v>
      </c>
      <c r="J660">
        <v>0</v>
      </c>
      <c r="K660">
        <v>157</v>
      </c>
      <c r="L660">
        <v>16.600000000000001</v>
      </c>
      <c r="M660">
        <v>9.8000000000000007</v>
      </c>
      <c r="N660">
        <v>128</v>
      </c>
      <c r="O660">
        <v>29</v>
      </c>
    </row>
    <row r="661" spans="1:15">
      <c r="A661">
        <v>1225009</v>
      </c>
      <c r="B661" t="s">
        <v>570</v>
      </c>
      <c r="C661" t="s">
        <v>22</v>
      </c>
      <c r="D661" t="s">
        <v>136</v>
      </c>
      <c r="E661">
        <v>2025</v>
      </c>
      <c r="F661">
        <v>6</v>
      </c>
      <c r="G661">
        <v>18</v>
      </c>
      <c r="H661">
        <v>10139</v>
      </c>
      <c r="I661">
        <v>0</v>
      </c>
      <c r="J661">
        <v>0</v>
      </c>
      <c r="K661">
        <v>169</v>
      </c>
      <c r="L661">
        <v>0</v>
      </c>
      <c r="M661">
        <v>9.4</v>
      </c>
      <c r="N661">
        <v>144</v>
      </c>
      <c r="O661">
        <v>25</v>
      </c>
    </row>
    <row r="662" spans="1:15">
      <c r="A662">
        <v>1225009</v>
      </c>
      <c r="B662" t="s">
        <v>570</v>
      </c>
      <c r="C662" t="s">
        <v>22</v>
      </c>
      <c r="D662" t="s">
        <v>136</v>
      </c>
      <c r="E662">
        <v>2025</v>
      </c>
      <c r="F662">
        <v>7</v>
      </c>
      <c r="G662">
        <v>18</v>
      </c>
      <c r="H662">
        <v>10254</v>
      </c>
      <c r="I662">
        <v>0</v>
      </c>
      <c r="J662">
        <v>0</v>
      </c>
      <c r="K662">
        <v>170.9</v>
      </c>
      <c r="L662">
        <v>0</v>
      </c>
      <c r="M662">
        <v>9.5</v>
      </c>
      <c r="N662">
        <v>144</v>
      </c>
      <c r="O662" s="1" t="s">
        <v>571</v>
      </c>
    </row>
    <row r="663" spans="1:15">
      <c r="A663">
        <v>1225009</v>
      </c>
      <c r="B663" t="s">
        <v>570</v>
      </c>
      <c r="C663" t="s">
        <v>22</v>
      </c>
      <c r="D663" t="s">
        <v>136</v>
      </c>
      <c r="E663">
        <v>2025</v>
      </c>
      <c r="F663">
        <v>8</v>
      </c>
      <c r="G663">
        <v>16</v>
      </c>
      <c r="H663">
        <v>7904</v>
      </c>
      <c r="I663">
        <v>0</v>
      </c>
      <c r="J663">
        <v>0</v>
      </c>
      <c r="K663">
        <v>131.69999999999999</v>
      </c>
      <c r="L663">
        <v>0</v>
      </c>
      <c r="M663">
        <v>8.1999999999999993</v>
      </c>
      <c r="N663">
        <v>128</v>
      </c>
      <c r="O663" s="1" t="s">
        <v>572</v>
      </c>
    </row>
    <row r="664" spans="1:15">
      <c r="A664">
        <v>1225010</v>
      </c>
      <c r="B664" t="s">
        <v>573</v>
      </c>
      <c r="C664" t="s">
        <v>39</v>
      </c>
      <c r="D664" t="s">
        <v>194</v>
      </c>
      <c r="E664">
        <v>2025</v>
      </c>
      <c r="F664">
        <v>6</v>
      </c>
      <c r="G664">
        <v>18</v>
      </c>
      <c r="H664">
        <v>10089</v>
      </c>
      <c r="I664">
        <v>0</v>
      </c>
      <c r="J664">
        <v>0</v>
      </c>
      <c r="K664">
        <v>168.2</v>
      </c>
      <c r="L664">
        <v>0</v>
      </c>
      <c r="M664">
        <v>9.3000000000000007</v>
      </c>
      <c r="N664">
        <v>144</v>
      </c>
      <c r="O664" s="1" t="s">
        <v>574</v>
      </c>
    </row>
    <row r="665" spans="1:15">
      <c r="A665">
        <v>1225010</v>
      </c>
      <c r="B665" t="s">
        <v>573</v>
      </c>
      <c r="C665" t="s">
        <v>39</v>
      </c>
      <c r="D665" t="s">
        <v>194</v>
      </c>
      <c r="E665">
        <v>2025</v>
      </c>
      <c r="F665">
        <v>7</v>
      </c>
      <c r="G665">
        <v>19</v>
      </c>
      <c r="H665">
        <v>11030</v>
      </c>
      <c r="I665">
        <v>51</v>
      </c>
      <c r="J665">
        <v>0</v>
      </c>
      <c r="K665">
        <v>183.8</v>
      </c>
      <c r="L665">
        <v>0.8</v>
      </c>
      <c r="M665">
        <v>9.6999999999999993</v>
      </c>
      <c r="N665">
        <v>152</v>
      </c>
      <c r="O665" s="1" t="s">
        <v>183</v>
      </c>
    </row>
    <row r="666" spans="1:15">
      <c r="A666">
        <v>1225010</v>
      </c>
      <c r="B666" t="s">
        <v>573</v>
      </c>
      <c r="C666" t="s">
        <v>39</v>
      </c>
      <c r="D666" t="s">
        <v>194</v>
      </c>
      <c r="E666">
        <v>2025</v>
      </c>
      <c r="F666">
        <v>8</v>
      </c>
      <c r="G666">
        <v>16</v>
      </c>
      <c r="H666">
        <v>8784</v>
      </c>
      <c r="I666">
        <v>0</v>
      </c>
      <c r="J666">
        <v>0</v>
      </c>
      <c r="K666">
        <v>146.4</v>
      </c>
      <c r="L666">
        <v>0</v>
      </c>
      <c r="M666">
        <v>9.1999999999999993</v>
      </c>
      <c r="N666">
        <v>128</v>
      </c>
      <c r="O666" s="1" t="s">
        <v>478</v>
      </c>
    </row>
    <row r="667" spans="1:15">
      <c r="A667">
        <v>1225011</v>
      </c>
      <c r="B667" t="s">
        <v>575</v>
      </c>
      <c r="C667" t="s">
        <v>39</v>
      </c>
      <c r="D667" t="s">
        <v>136</v>
      </c>
      <c r="E667">
        <v>2025</v>
      </c>
      <c r="F667">
        <v>6</v>
      </c>
      <c r="G667">
        <v>17</v>
      </c>
      <c r="H667">
        <v>4008</v>
      </c>
      <c r="I667">
        <v>0</v>
      </c>
      <c r="J667">
        <v>0</v>
      </c>
      <c r="K667">
        <v>66.8</v>
      </c>
      <c r="L667">
        <v>0</v>
      </c>
      <c r="M667">
        <v>3.9</v>
      </c>
      <c r="N667">
        <v>136</v>
      </c>
      <c r="O667">
        <v>-69.2</v>
      </c>
    </row>
    <row r="668" spans="1:15">
      <c r="A668">
        <v>1225011</v>
      </c>
      <c r="B668" t="s">
        <v>575</v>
      </c>
      <c r="C668" t="s">
        <v>39</v>
      </c>
      <c r="D668" t="s">
        <v>136</v>
      </c>
      <c r="E668">
        <v>2025</v>
      </c>
      <c r="F668">
        <v>7</v>
      </c>
      <c r="G668">
        <v>16</v>
      </c>
      <c r="H668">
        <v>4264</v>
      </c>
      <c r="I668">
        <v>0</v>
      </c>
      <c r="J668">
        <v>0</v>
      </c>
      <c r="K668">
        <v>71.099999999999994</v>
      </c>
      <c r="L668">
        <v>0</v>
      </c>
      <c r="M668">
        <v>4.4000000000000004</v>
      </c>
      <c r="N668">
        <v>128</v>
      </c>
      <c r="O668">
        <v>-56.9</v>
      </c>
    </row>
    <row r="669" spans="1:15">
      <c r="A669">
        <v>1225011</v>
      </c>
      <c r="B669" t="s">
        <v>575</v>
      </c>
      <c r="C669" t="s">
        <v>39</v>
      </c>
      <c r="D669" t="s">
        <v>136</v>
      </c>
      <c r="E669">
        <v>2025</v>
      </c>
      <c r="F669">
        <v>8</v>
      </c>
      <c r="G669">
        <v>12</v>
      </c>
      <c r="H669">
        <v>2605</v>
      </c>
      <c r="I669">
        <v>0</v>
      </c>
      <c r="J669">
        <v>1</v>
      </c>
      <c r="K669">
        <v>43.4</v>
      </c>
      <c r="L669">
        <v>0</v>
      </c>
      <c r="M669">
        <v>3.6</v>
      </c>
      <c r="N669">
        <v>88</v>
      </c>
      <c r="O669">
        <v>-44.6</v>
      </c>
    </row>
    <row r="670" spans="1:15">
      <c r="A670">
        <v>1225012</v>
      </c>
      <c r="B670" t="s">
        <v>576</v>
      </c>
      <c r="C670" t="s">
        <v>79</v>
      </c>
      <c r="D670" t="s">
        <v>136</v>
      </c>
      <c r="E670">
        <v>2025</v>
      </c>
      <c r="F670">
        <v>6</v>
      </c>
      <c r="G670">
        <v>17</v>
      </c>
      <c r="H670">
        <v>8555</v>
      </c>
      <c r="I670">
        <v>388</v>
      </c>
      <c r="J670">
        <v>0</v>
      </c>
      <c r="K670">
        <v>142.6</v>
      </c>
      <c r="L670">
        <v>6.5</v>
      </c>
      <c r="M670">
        <v>8.4</v>
      </c>
      <c r="N670">
        <v>136</v>
      </c>
      <c r="O670" s="1" t="s">
        <v>577</v>
      </c>
    </row>
    <row r="671" spans="1:15">
      <c r="A671">
        <v>1225012</v>
      </c>
      <c r="B671" t="s">
        <v>576</v>
      </c>
      <c r="C671" t="s">
        <v>79</v>
      </c>
      <c r="D671" t="s">
        <v>136</v>
      </c>
      <c r="E671">
        <v>2025</v>
      </c>
      <c r="F671">
        <v>7</v>
      </c>
      <c r="G671">
        <v>18</v>
      </c>
      <c r="H671">
        <v>10547</v>
      </c>
      <c r="I671">
        <v>559</v>
      </c>
      <c r="J671">
        <v>0</v>
      </c>
      <c r="K671">
        <v>175.8</v>
      </c>
      <c r="L671">
        <v>9.3000000000000007</v>
      </c>
      <c r="M671">
        <v>9.8000000000000007</v>
      </c>
      <c r="N671">
        <v>144</v>
      </c>
      <c r="O671" s="1" t="s">
        <v>183</v>
      </c>
    </row>
    <row r="672" spans="1:15">
      <c r="A672">
        <v>1225012</v>
      </c>
      <c r="B672" t="s">
        <v>576</v>
      </c>
      <c r="C672" t="s">
        <v>79</v>
      </c>
      <c r="D672" t="s">
        <v>136</v>
      </c>
      <c r="E672">
        <v>2025</v>
      </c>
      <c r="F672">
        <v>8</v>
      </c>
      <c r="G672">
        <v>16</v>
      </c>
      <c r="H672">
        <v>9424</v>
      </c>
      <c r="I672">
        <v>822</v>
      </c>
      <c r="J672">
        <v>0</v>
      </c>
      <c r="K672">
        <v>157.1</v>
      </c>
      <c r="L672">
        <v>13.7</v>
      </c>
      <c r="M672">
        <v>9.8000000000000007</v>
      </c>
      <c r="N672">
        <v>128</v>
      </c>
      <c r="O672" s="1" t="s">
        <v>578</v>
      </c>
    </row>
    <row r="673" spans="1:15">
      <c r="A673">
        <v>1225013</v>
      </c>
      <c r="B673" t="s">
        <v>579</v>
      </c>
      <c r="C673" t="s">
        <v>31</v>
      </c>
      <c r="D673" t="s">
        <v>136</v>
      </c>
      <c r="E673">
        <v>2025</v>
      </c>
      <c r="F673">
        <v>6</v>
      </c>
      <c r="G673">
        <v>21</v>
      </c>
      <c r="H673">
        <v>12844</v>
      </c>
      <c r="I673">
        <v>124</v>
      </c>
      <c r="J673">
        <v>1</v>
      </c>
      <c r="K673">
        <v>214.1</v>
      </c>
      <c r="L673">
        <v>2.1</v>
      </c>
      <c r="M673">
        <v>10.199999999999999</v>
      </c>
      <c r="N673">
        <v>160</v>
      </c>
      <c r="O673" s="1" t="s">
        <v>321</v>
      </c>
    </row>
    <row r="674" spans="1:15">
      <c r="A674">
        <v>1225013</v>
      </c>
      <c r="B674" t="s">
        <v>579</v>
      </c>
      <c r="C674" t="s">
        <v>31</v>
      </c>
      <c r="D674" t="s">
        <v>136</v>
      </c>
      <c r="E674">
        <v>2025</v>
      </c>
      <c r="F674">
        <v>7</v>
      </c>
      <c r="G674">
        <v>19</v>
      </c>
      <c r="H674">
        <v>9879</v>
      </c>
      <c r="I674">
        <v>0</v>
      </c>
      <c r="J674">
        <v>0</v>
      </c>
      <c r="K674">
        <v>164.6</v>
      </c>
      <c r="L674">
        <v>0</v>
      </c>
      <c r="M674">
        <v>8.6999999999999993</v>
      </c>
      <c r="N674">
        <v>152</v>
      </c>
      <c r="O674" s="1" t="s">
        <v>523</v>
      </c>
    </row>
    <row r="675" spans="1:15">
      <c r="A675">
        <v>1225013</v>
      </c>
      <c r="B675" t="s">
        <v>579</v>
      </c>
      <c r="C675" t="s">
        <v>31</v>
      </c>
      <c r="D675" t="s">
        <v>136</v>
      </c>
      <c r="E675">
        <v>2025</v>
      </c>
      <c r="F675">
        <v>8</v>
      </c>
      <c r="G675">
        <v>16</v>
      </c>
      <c r="H675">
        <v>8317</v>
      </c>
      <c r="I675">
        <v>0</v>
      </c>
      <c r="J675">
        <v>0</v>
      </c>
      <c r="K675">
        <v>138.6</v>
      </c>
      <c r="L675">
        <v>0</v>
      </c>
      <c r="M675">
        <v>8.6999999999999993</v>
      </c>
      <c r="N675">
        <v>128</v>
      </c>
      <c r="O675" s="1" t="s">
        <v>580</v>
      </c>
    </row>
    <row r="676" spans="1:15">
      <c r="A676">
        <v>1225014</v>
      </c>
      <c r="B676" t="s">
        <v>581</v>
      </c>
      <c r="C676" t="s">
        <v>76</v>
      </c>
      <c r="D676" t="s">
        <v>136</v>
      </c>
      <c r="E676">
        <v>2025</v>
      </c>
      <c r="F676">
        <v>6</v>
      </c>
      <c r="G676">
        <v>19</v>
      </c>
      <c r="H676">
        <v>10258</v>
      </c>
      <c r="I676">
        <v>67</v>
      </c>
      <c r="J676">
        <v>0</v>
      </c>
      <c r="K676">
        <v>171</v>
      </c>
      <c r="L676">
        <v>1.1000000000000001</v>
      </c>
      <c r="M676">
        <v>9</v>
      </c>
      <c r="N676">
        <v>152</v>
      </c>
      <c r="O676">
        <v>19</v>
      </c>
    </row>
    <row r="677" spans="1:15">
      <c r="A677">
        <v>1225014</v>
      </c>
      <c r="B677" t="s">
        <v>581</v>
      </c>
      <c r="C677" t="s">
        <v>76</v>
      </c>
      <c r="D677" t="s">
        <v>136</v>
      </c>
      <c r="E677">
        <v>2025</v>
      </c>
      <c r="F677">
        <v>7</v>
      </c>
      <c r="G677">
        <v>18</v>
      </c>
      <c r="H677">
        <v>10274</v>
      </c>
      <c r="I677">
        <v>82</v>
      </c>
      <c r="J677">
        <v>1</v>
      </c>
      <c r="K677">
        <v>171.2</v>
      </c>
      <c r="L677">
        <v>1.4</v>
      </c>
      <c r="M677">
        <v>9.5</v>
      </c>
      <c r="N677">
        <v>136</v>
      </c>
      <c r="O677" s="1" t="s">
        <v>582</v>
      </c>
    </row>
    <row r="678" spans="1:15">
      <c r="A678">
        <v>1225014</v>
      </c>
      <c r="B678" t="s">
        <v>581</v>
      </c>
      <c r="C678" t="s">
        <v>76</v>
      </c>
      <c r="D678" t="s">
        <v>136</v>
      </c>
      <c r="E678">
        <v>2025</v>
      </c>
      <c r="F678">
        <v>8</v>
      </c>
      <c r="G678">
        <v>17</v>
      </c>
      <c r="H678">
        <v>9544</v>
      </c>
      <c r="I678">
        <v>575</v>
      </c>
      <c r="J678">
        <v>1</v>
      </c>
      <c r="K678">
        <v>159.1</v>
      </c>
      <c r="L678">
        <v>9.6</v>
      </c>
      <c r="M678">
        <v>9.4</v>
      </c>
      <c r="N678">
        <v>128</v>
      </c>
      <c r="O678" s="1" t="s">
        <v>345</v>
      </c>
    </row>
    <row r="679" spans="1:15">
      <c r="A679">
        <v>1225015</v>
      </c>
      <c r="B679" t="s">
        <v>583</v>
      </c>
      <c r="C679" t="s">
        <v>22</v>
      </c>
      <c r="D679" t="s">
        <v>194</v>
      </c>
      <c r="E679">
        <v>2025</v>
      </c>
      <c r="F679">
        <v>6</v>
      </c>
      <c r="G679">
        <v>18</v>
      </c>
      <c r="H679">
        <v>9474</v>
      </c>
      <c r="I679">
        <v>0</v>
      </c>
      <c r="J679">
        <v>0</v>
      </c>
      <c r="K679">
        <v>157.9</v>
      </c>
      <c r="L679">
        <v>0</v>
      </c>
      <c r="M679">
        <v>8.8000000000000007</v>
      </c>
      <c r="N679">
        <v>144</v>
      </c>
      <c r="O679" s="1" t="s">
        <v>584</v>
      </c>
    </row>
    <row r="680" spans="1:15">
      <c r="A680">
        <v>1225015</v>
      </c>
      <c r="B680" t="s">
        <v>583</v>
      </c>
      <c r="C680" t="s">
        <v>22</v>
      </c>
      <c r="D680" t="s">
        <v>194</v>
      </c>
      <c r="E680">
        <v>2025</v>
      </c>
      <c r="F680">
        <v>7</v>
      </c>
      <c r="G680">
        <v>18</v>
      </c>
      <c r="H680">
        <v>10029</v>
      </c>
      <c r="I680">
        <v>0</v>
      </c>
      <c r="J680">
        <v>0</v>
      </c>
      <c r="K680">
        <v>167.2</v>
      </c>
      <c r="L680">
        <v>0</v>
      </c>
      <c r="M680">
        <v>9.3000000000000007</v>
      </c>
      <c r="N680">
        <v>144</v>
      </c>
      <c r="O680" s="1" t="s">
        <v>133</v>
      </c>
    </row>
    <row r="681" spans="1:15">
      <c r="A681">
        <v>1225015</v>
      </c>
      <c r="B681" t="s">
        <v>583</v>
      </c>
      <c r="C681" t="s">
        <v>22</v>
      </c>
      <c r="D681" t="s">
        <v>194</v>
      </c>
      <c r="E681">
        <v>2025</v>
      </c>
      <c r="F681">
        <v>8</v>
      </c>
      <c r="G681">
        <v>16</v>
      </c>
      <c r="H681">
        <v>13926</v>
      </c>
      <c r="I681">
        <v>0</v>
      </c>
      <c r="J681">
        <v>1</v>
      </c>
      <c r="K681">
        <v>232.1</v>
      </c>
      <c r="L681">
        <v>0</v>
      </c>
      <c r="M681">
        <v>14.5</v>
      </c>
      <c r="N681">
        <v>120</v>
      </c>
      <c r="O681">
        <v>112.1</v>
      </c>
    </row>
    <row r="682" spans="1:15">
      <c r="A682">
        <v>1225035</v>
      </c>
      <c r="B682" t="s">
        <v>585</v>
      </c>
      <c r="C682" t="s">
        <v>328</v>
      </c>
      <c r="D682" t="s">
        <v>136</v>
      </c>
      <c r="E682">
        <v>2025</v>
      </c>
      <c r="F682">
        <v>6</v>
      </c>
      <c r="G682">
        <v>20</v>
      </c>
      <c r="H682">
        <v>11462</v>
      </c>
      <c r="I682">
        <v>545</v>
      </c>
      <c r="J682">
        <v>1</v>
      </c>
      <c r="K682">
        <v>191</v>
      </c>
      <c r="L682">
        <v>9.1</v>
      </c>
      <c r="M682">
        <v>9.6</v>
      </c>
      <c r="N682">
        <v>152</v>
      </c>
      <c r="O682">
        <v>39</v>
      </c>
    </row>
    <row r="683" spans="1:15">
      <c r="A683">
        <v>1225035</v>
      </c>
      <c r="B683" t="s">
        <v>585</v>
      </c>
      <c r="C683" t="s">
        <v>328</v>
      </c>
      <c r="D683" t="s">
        <v>136</v>
      </c>
      <c r="E683">
        <v>2025</v>
      </c>
      <c r="F683">
        <v>7</v>
      </c>
      <c r="G683">
        <v>21</v>
      </c>
      <c r="H683">
        <v>12486</v>
      </c>
      <c r="I683">
        <v>485</v>
      </c>
      <c r="J683">
        <v>2</v>
      </c>
      <c r="K683">
        <v>208.1</v>
      </c>
      <c r="L683">
        <v>8.1</v>
      </c>
      <c r="M683">
        <v>9.9</v>
      </c>
      <c r="N683">
        <v>152</v>
      </c>
      <c r="O683" s="1" t="s">
        <v>586</v>
      </c>
    </row>
    <row r="684" spans="1:15">
      <c r="A684">
        <v>1225035</v>
      </c>
      <c r="B684" t="s">
        <v>585</v>
      </c>
      <c r="C684" t="s">
        <v>328</v>
      </c>
      <c r="D684" t="s">
        <v>136</v>
      </c>
      <c r="E684">
        <v>2025</v>
      </c>
      <c r="F684">
        <v>8</v>
      </c>
      <c r="G684">
        <v>19</v>
      </c>
      <c r="H684">
        <v>8393</v>
      </c>
      <c r="I684">
        <v>259</v>
      </c>
      <c r="J684">
        <v>3</v>
      </c>
      <c r="K684">
        <v>139.9</v>
      </c>
      <c r="L684">
        <v>4.3</v>
      </c>
      <c r="M684">
        <v>7.4</v>
      </c>
      <c r="N684">
        <v>128</v>
      </c>
      <c r="O684" s="1" t="s">
        <v>36</v>
      </c>
    </row>
    <row r="685" spans="1:15">
      <c r="A685">
        <v>1225037</v>
      </c>
      <c r="B685" t="s">
        <v>587</v>
      </c>
      <c r="C685" t="s">
        <v>308</v>
      </c>
      <c r="D685" t="s">
        <v>136</v>
      </c>
      <c r="E685">
        <v>2025</v>
      </c>
      <c r="F685">
        <v>6</v>
      </c>
      <c r="G685">
        <v>16</v>
      </c>
      <c r="H685">
        <v>9591</v>
      </c>
      <c r="I685">
        <v>0</v>
      </c>
      <c r="J685">
        <v>0</v>
      </c>
      <c r="K685">
        <v>159.80000000000001</v>
      </c>
      <c r="L685">
        <v>0</v>
      </c>
      <c r="M685">
        <v>10</v>
      </c>
      <c r="N685">
        <v>128</v>
      </c>
      <c r="O685" s="1" t="s">
        <v>183</v>
      </c>
    </row>
    <row r="686" spans="1:15">
      <c r="A686">
        <v>1225037</v>
      </c>
      <c r="B686" t="s">
        <v>587</v>
      </c>
      <c r="C686" t="s">
        <v>308</v>
      </c>
      <c r="D686" t="s">
        <v>136</v>
      </c>
      <c r="E686">
        <v>2025</v>
      </c>
      <c r="F686">
        <v>7</v>
      </c>
      <c r="G686">
        <v>16</v>
      </c>
      <c r="H686">
        <v>10073</v>
      </c>
      <c r="I686">
        <v>0</v>
      </c>
      <c r="J686">
        <v>0</v>
      </c>
      <c r="K686">
        <v>167.9</v>
      </c>
      <c r="L686">
        <v>0</v>
      </c>
      <c r="M686">
        <v>10.5</v>
      </c>
      <c r="N686">
        <v>128</v>
      </c>
      <c r="O686" s="1" t="s">
        <v>214</v>
      </c>
    </row>
    <row r="687" spans="1:15">
      <c r="A687">
        <v>1225037</v>
      </c>
      <c r="B687" t="s">
        <v>587</v>
      </c>
      <c r="C687" t="s">
        <v>308</v>
      </c>
      <c r="D687" t="s">
        <v>136</v>
      </c>
      <c r="E687">
        <v>2025</v>
      </c>
      <c r="F687">
        <v>8</v>
      </c>
      <c r="G687">
        <v>15</v>
      </c>
      <c r="H687">
        <v>7590</v>
      </c>
      <c r="I687">
        <v>0</v>
      </c>
      <c r="J687">
        <v>2</v>
      </c>
      <c r="K687">
        <v>126.5</v>
      </c>
      <c r="L687">
        <v>0</v>
      </c>
      <c r="M687">
        <v>8.4</v>
      </c>
      <c r="N687">
        <v>104</v>
      </c>
      <c r="O687">
        <v>22.5</v>
      </c>
    </row>
    <row r="688" spans="1:15">
      <c r="A688">
        <v>1225044</v>
      </c>
      <c r="B688" t="s">
        <v>588</v>
      </c>
      <c r="C688" t="s">
        <v>328</v>
      </c>
      <c r="D688" t="s">
        <v>194</v>
      </c>
      <c r="E688">
        <v>2025</v>
      </c>
      <c r="F688">
        <v>6</v>
      </c>
      <c r="G688">
        <v>6</v>
      </c>
      <c r="H688">
        <v>2216</v>
      </c>
      <c r="I688">
        <v>0</v>
      </c>
      <c r="J688">
        <v>0</v>
      </c>
      <c r="K688">
        <v>36.9</v>
      </c>
      <c r="L688">
        <v>0</v>
      </c>
      <c r="M688">
        <v>6.1</v>
      </c>
      <c r="N688">
        <v>48</v>
      </c>
      <c r="O688">
        <v>-11.1</v>
      </c>
    </row>
    <row r="689" spans="1:15">
      <c r="A689">
        <v>1225044</v>
      </c>
      <c r="B689" t="s">
        <v>588</v>
      </c>
      <c r="C689" t="s">
        <v>328</v>
      </c>
      <c r="D689" t="s">
        <v>194</v>
      </c>
      <c r="E689">
        <v>2025</v>
      </c>
      <c r="F689">
        <v>7</v>
      </c>
      <c r="G689">
        <v>5</v>
      </c>
      <c r="H689">
        <v>662</v>
      </c>
      <c r="I689">
        <v>0</v>
      </c>
      <c r="J689">
        <v>0</v>
      </c>
      <c r="K689">
        <v>11</v>
      </c>
      <c r="L689">
        <v>0</v>
      </c>
      <c r="M689">
        <v>2.2000000000000002</v>
      </c>
      <c r="N689">
        <v>40</v>
      </c>
      <c r="O689">
        <v>-29</v>
      </c>
    </row>
    <row r="690" spans="1:15">
      <c r="A690">
        <v>1225046</v>
      </c>
      <c r="B690" t="s">
        <v>589</v>
      </c>
      <c r="C690" t="s">
        <v>210</v>
      </c>
      <c r="D690" t="s">
        <v>194</v>
      </c>
      <c r="E690">
        <v>2025</v>
      </c>
      <c r="F690">
        <v>6</v>
      </c>
      <c r="G690">
        <v>13</v>
      </c>
      <c r="H690">
        <v>6768</v>
      </c>
      <c r="I690">
        <v>57</v>
      </c>
      <c r="J690">
        <v>0</v>
      </c>
      <c r="K690">
        <v>112.8</v>
      </c>
      <c r="L690">
        <v>1</v>
      </c>
      <c r="M690">
        <v>8.6999999999999993</v>
      </c>
      <c r="N690">
        <v>104</v>
      </c>
      <c r="O690" s="1" t="s">
        <v>590</v>
      </c>
    </row>
    <row r="691" spans="1:15">
      <c r="A691">
        <v>1225046</v>
      </c>
      <c r="B691" t="s">
        <v>589</v>
      </c>
      <c r="C691" t="s">
        <v>210</v>
      </c>
      <c r="D691" t="s">
        <v>194</v>
      </c>
      <c r="E691">
        <v>2025</v>
      </c>
      <c r="F691">
        <v>7</v>
      </c>
      <c r="G691">
        <v>18</v>
      </c>
      <c r="H691">
        <v>9870</v>
      </c>
      <c r="I691">
        <v>163</v>
      </c>
      <c r="J691">
        <v>0</v>
      </c>
      <c r="K691">
        <v>164.5</v>
      </c>
      <c r="L691">
        <v>2.7</v>
      </c>
      <c r="M691">
        <v>9.1</v>
      </c>
      <c r="N691">
        <v>144</v>
      </c>
      <c r="O691">
        <v>20.5</v>
      </c>
    </row>
    <row r="692" spans="1:15">
      <c r="A692">
        <v>1225046</v>
      </c>
      <c r="B692" t="s">
        <v>589</v>
      </c>
      <c r="C692" t="s">
        <v>210</v>
      </c>
      <c r="D692" t="s">
        <v>194</v>
      </c>
      <c r="E692">
        <v>2025</v>
      </c>
      <c r="F692">
        <v>8</v>
      </c>
      <c r="G692">
        <v>12</v>
      </c>
      <c r="H692">
        <v>5812</v>
      </c>
      <c r="I692">
        <v>0</v>
      </c>
      <c r="J692">
        <v>0</v>
      </c>
      <c r="K692">
        <v>96.9</v>
      </c>
      <c r="L692">
        <v>0</v>
      </c>
      <c r="M692">
        <v>8.1</v>
      </c>
      <c r="N692">
        <v>96</v>
      </c>
      <c r="O692" s="1" t="s">
        <v>591</v>
      </c>
    </row>
    <row r="693" spans="1:15">
      <c r="A693">
        <v>1225051</v>
      </c>
      <c r="B693" t="s">
        <v>592</v>
      </c>
      <c r="C693" t="s">
        <v>16</v>
      </c>
      <c r="D693" t="s">
        <v>136</v>
      </c>
      <c r="E693">
        <v>2025</v>
      </c>
      <c r="F693">
        <v>6</v>
      </c>
      <c r="G693">
        <v>16</v>
      </c>
      <c r="H693">
        <v>5790</v>
      </c>
      <c r="I693">
        <v>0</v>
      </c>
      <c r="J693">
        <v>0</v>
      </c>
      <c r="K693">
        <v>96.5</v>
      </c>
      <c r="L693">
        <v>0</v>
      </c>
      <c r="M693">
        <v>6</v>
      </c>
      <c r="N693">
        <v>128</v>
      </c>
      <c r="O693">
        <v>-31.5</v>
      </c>
    </row>
    <row r="694" spans="1:15">
      <c r="A694">
        <v>1225051</v>
      </c>
      <c r="B694" t="s">
        <v>592</v>
      </c>
      <c r="C694" t="s">
        <v>16</v>
      </c>
      <c r="D694" t="s">
        <v>136</v>
      </c>
      <c r="E694">
        <v>2025</v>
      </c>
      <c r="F694">
        <v>7</v>
      </c>
      <c r="G694">
        <v>19</v>
      </c>
      <c r="H694">
        <v>10399</v>
      </c>
      <c r="I694">
        <v>0</v>
      </c>
      <c r="J694">
        <v>0</v>
      </c>
      <c r="K694">
        <v>173.3</v>
      </c>
      <c r="L694">
        <v>0</v>
      </c>
      <c r="M694">
        <v>9.1</v>
      </c>
      <c r="N694">
        <v>152</v>
      </c>
      <c r="O694" s="1" t="s">
        <v>248</v>
      </c>
    </row>
    <row r="695" spans="1:15">
      <c r="A695">
        <v>1225051</v>
      </c>
      <c r="B695" t="s">
        <v>592</v>
      </c>
      <c r="C695" t="s">
        <v>16</v>
      </c>
      <c r="D695" t="s">
        <v>136</v>
      </c>
      <c r="E695">
        <v>2025</v>
      </c>
      <c r="F695">
        <v>8</v>
      </c>
      <c r="G695">
        <v>13</v>
      </c>
      <c r="H695">
        <v>6811</v>
      </c>
      <c r="I695">
        <v>82</v>
      </c>
      <c r="J695">
        <v>0</v>
      </c>
      <c r="K695">
        <v>113.5</v>
      </c>
      <c r="L695">
        <v>1.4</v>
      </c>
      <c r="M695">
        <v>8.6999999999999993</v>
      </c>
      <c r="N695">
        <v>104</v>
      </c>
      <c r="O695">
        <v>9.5</v>
      </c>
    </row>
    <row r="696" spans="1:15">
      <c r="A696">
        <v>1225053</v>
      </c>
      <c r="B696" t="s">
        <v>593</v>
      </c>
      <c r="C696" t="s">
        <v>49</v>
      </c>
      <c r="D696" t="s">
        <v>194</v>
      </c>
      <c r="E696">
        <v>2025</v>
      </c>
      <c r="F696">
        <v>7</v>
      </c>
      <c r="G696">
        <v>13</v>
      </c>
      <c r="H696">
        <v>7669</v>
      </c>
      <c r="I696">
        <v>354</v>
      </c>
      <c r="J696">
        <v>0</v>
      </c>
      <c r="K696">
        <v>127.8</v>
      </c>
      <c r="L696">
        <v>5.9</v>
      </c>
      <c r="M696">
        <v>9.8000000000000007</v>
      </c>
      <c r="N696">
        <v>104</v>
      </c>
      <c r="O696" s="1" t="s">
        <v>594</v>
      </c>
    </row>
    <row r="697" spans="1:15">
      <c r="A697">
        <v>1225053</v>
      </c>
      <c r="B697" t="s">
        <v>593</v>
      </c>
      <c r="C697" t="s">
        <v>49</v>
      </c>
      <c r="D697" t="s">
        <v>194</v>
      </c>
      <c r="E697">
        <v>2025</v>
      </c>
      <c r="F697">
        <v>8</v>
      </c>
      <c r="G697">
        <v>14</v>
      </c>
      <c r="H697">
        <v>7360</v>
      </c>
      <c r="I697">
        <v>324</v>
      </c>
      <c r="J697">
        <v>0</v>
      </c>
      <c r="K697">
        <v>122.7</v>
      </c>
      <c r="L697">
        <v>5.4</v>
      </c>
      <c r="M697">
        <v>8.8000000000000007</v>
      </c>
      <c r="N697">
        <v>112</v>
      </c>
      <c r="O697" s="1" t="s">
        <v>595</v>
      </c>
    </row>
    <row r="698" spans="1:15">
      <c r="A698">
        <v>1225054</v>
      </c>
      <c r="B698" t="s">
        <v>596</v>
      </c>
      <c r="C698" t="s">
        <v>225</v>
      </c>
      <c r="D698" t="s">
        <v>136</v>
      </c>
      <c r="E698">
        <v>2025</v>
      </c>
      <c r="F698">
        <v>6</v>
      </c>
      <c r="G698">
        <v>17</v>
      </c>
      <c r="H698">
        <v>9717</v>
      </c>
      <c r="I698">
        <v>0</v>
      </c>
      <c r="J698">
        <v>0</v>
      </c>
      <c r="K698">
        <v>162</v>
      </c>
      <c r="L698">
        <v>0</v>
      </c>
      <c r="M698">
        <v>9.5</v>
      </c>
      <c r="N698">
        <v>136</v>
      </c>
      <c r="O698">
        <v>26</v>
      </c>
    </row>
    <row r="699" spans="1:15">
      <c r="A699">
        <v>1225054</v>
      </c>
      <c r="B699" t="s">
        <v>596</v>
      </c>
      <c r="C699" t="s">
        <v>225</v>
      </c>
      <c r="D699" t="s">
        <v>136</v>
      </c>
      <c r="E699">
        <v>2025</v>
      </c>
      <c r="F699">
        <v>7</v>
      </c>
      <c r="G699">
        <v>16</v>
      </c>
      <c r="H699">
        <v>8959</v>
      </c>
      <c r="I699">
        <v>0</v>
      </c>
      <c r="J699">
        <v>0</v>
      </c>
      <c r="K699">
        <v>149.30000000000001</v>
      </c>
      <c r="L699">
        <v>0</v>
      </c>
      <c r="M699">
        <v>9.3000000000000007</v>
      </c>
      <c r="N699">
        <v>128</v>
      </c>
      <c r="O699" s="1" t="s">
        <v>248</v>
      </c>
    </row>
    <row r="700" spans="1:15">
      <c r="A700">
        <v>1225054</v>
      </c>
      <c r="B700" t="s">
        <v>596</v>
      </c>
      <c r="C700" t="s">
        <v>225</v>
      </c>
      <c r="D700" t="s">
        <v>136</v>
      </c>
      <c r="E700">
        <v>2025</v>
      </c>
      <c r="F700">
        <v>8</v>
      </c>
      <c r="G700">
        <v>13</v>
      </c>
      <c r="H700">
        <v>6761</v>
      </c>
      <c r="I700">
        <v>0</v>
      </c>
      <c r="J700">
        <v>0</v>
      </c>
      <c r="K700">
        <v>112.7</v>
      </c>
      <c r="L700">
        <v>0</v>
      </c>
      <c r="M700">
        <v>8.6999999999999993</v>
      </c>
      <c r="N700">
        <v>104</v>
      </c>
      <c r="O700" s="1" t="s">
        <v>223</v>
      </c>
    </row>
    <row r="701" spans="1:15">
      <c r="A701">
        <v>1225055</v>
      </c>
      <c r="B701" t="s">
        <v>597</v>
      </c>
      <c r="C701" t="s">
        <v>39</v>
      </c>
      <c r="D701" t="s">
        <v>194</v>
      </c>
      <c r="E701">
        <v>2025</v>
      </c>
      <c r="F701">
        <v>6</v>
      </c>
      <c r="G701">
        <v>12</v>
      </c>
      <c r="H701">
        <v>5955</v>
      </c>
      <c r="I701">
        <v>0</v>
      </c>
      <c r="J701">
        <v>0</v>
      </c>
      <c r="K701">
        <v>99.2</v>
      </c>
      <c r="L701">
        <v>0</v>
      </c>
      <c r="M701">
        <v>8.3000000000000007</v>
      </c>
      <c r="N701">
        <v>96</v>
      </c>
      <c r="O701" s="1" t="s">
        <v>598</v>
      </c>
    </row>
    <row r="702" spans="1:15">
      <c r="A702">
        <v>1225055</v>
      </c>
      <c r="B702" t="s">
        <v>597</v>
      </c>
      <c r="C702" t="s">
        <v>39</v>
      </c>
      <c r="D702" t="s">
        <v>194</v>
      </c>
      <c r="E702">
        <v>2025</v>
      </c>
      <c r="F702">
        <v>7</v>
      </c>
      <c r="G702">
        <v>19</v>
      </c>
      <c r="H702">
        <v>10775</v>
      </c>
      <c r="I702">
        <v>79</v>
      </c>
      <c r="J702">
        <v>0</v>
      </c>
      <c r="K702">
        <v>179.6</v>
      </c>
      <c r="L702">
        <v>1.3</v>
      </c>
      <c r="M702">
        <v>9.5</v>
      </c>
      <c r="N702">
        <v>152</v>
      </c>
      <c r="O702" s="1" t="s">
        <v>599</v>
      </c>
    </row>
    <row r="703" spans="1:15">
      <c r="A703">
        <v>1225055</v>
      </c>
      <c r="B703" t="s">
        <v>597</v>
      </c>
      <c r="C703" t="s">
        <v>39</v>
      </c>
      <c r="D703" t="s">
        <v>194</v>
      </c>
      <c r="E703">
        <v>2025</v>
      </c>
      <c r="F703">
        <v>8</v>
      </c>
      <c r="G703">
        <v>12</v>
      </c>
      <c r="H703">
        <v>5817</v>
      </c>
      <c r="I703">
        <v>65</v>
      </c>
      <c r="J703">
        <v>0</v>
      </c>
      <c r="K703">
        <v>97</v>
      </c>
      <c r="L703">
        <v>1.1000000000000001</v>
      </c>
      <c r="M703">
        <v>8.1</v>
      </c>
      <c r="N703">
        <v>96</v>
      </c>
      <c r="O703">
        <v>1</v>
      </c>
    </row>
    <row r="704" spans="1:15">
      <c r="A704">
        <v>1225056</v>
      </c>
      <c r="B704" t="s">
        <v>600</v>
      </c>
      <c r="C704" t="s">
        <v>96</v>
      </c>
      <c r="D704" t="s">
        <v>194</v>
      </c>
      <c r="E704">
        <v>2025</v>
      </c>
      <c r="F704">
        <v>6</v>
      </c>
      <c r="G704">
        <v>19</v>
      </c>
      <c r="H704">
        <v>13532</v>
      </c>
      <c r="I704">
        <v>2270</v>
      </c>
      <c r="J704">
        <v>0</v>
      </c>
      <c r="K704">
        <v>225.5</v>
      </c>
      <c r="L704">
        <v>37.799999999999997</v>
      </c>
      <c r="M704">
        <v>11.9</v>
      </c>
      <c r="N704">
        <v>152</v>
      </c>
      <c r="O704">
        <v>73.5</v>
      </c>
    </row>
    <row r="705" spans="1:15">
      <c r="A705">
        <v>1225056</v>
      </c>
      <c r="B705" t="s">
        <v>600</v>
      </c>
      <c r="C705" t="s">
        <v>96</v>
      </c>
      <c r="D705" t="s">
        <v>194</v>
      </c>
      <c r="E705">
        <v>2025</v>
      </c>
      <c r="F705">
        <v>7</v>
      </c>
      <c r="G705">
        <v>15</v>
      </c>
      <c r="H705">
        <v>9523</v>
      </c>
      <c r="I705">
        <v>1227</v>
      </c>
      <c r="J705">
        <v>1</v>
      </c>
      <c r="K705">
        <v>158.69999999999999</v>
      </c>
      <c r="L705">
        <v>20.399999999999999</v>
      </c>
      <c r="M705">
        <v>10.6</v>
      </c>
      <c r="N705">
        <v>112</v>
      </c>
      <c r="O705" s="1" t="s">
        <v>115</v>
      </c>
    </row>
    <row r="706" spans="1:15">
      <c r="A706">
        <v>1225056</v>
      </c>
      <c r="B706" t="s">
        <v>600</v>
      </c>
      <c r="C706" t="s">
        <v>96</v>
      </c>
      <c r="D706" t="s">
        <v>194</v>
      </c>
      <c r="E706">
        <v>2025</v>
      </c>
      <c r="F706">
        <v>8</v>
      </c>
      <c r="G706">
        <v>16</v>
      </c>
      <c r="H706">
        <v>9423</v>
      </c>
      <c r="I706">
        <v>1435</v>
      </c>
      <c r="J706">
        <v>0</v>
      </c>
      <c r="K706">
        <v>157</v>
      </c>
      <c r="L706">
        <v>23.9</v>
      </c>
      <c r="M706">
        <v>9.8000000000000007</v>
      </c>
      <c r="N706">
        <v>128</v>
      </c>
      <c r="O706">
        <v>29</v>
      </c>
    </row>
    <row r="707" spans="1:15">
      <c r="A707">
        <v>1225057</v>
      </c>
      <c r="B707" t="s">
        <v>601</v>
      </c>
      <c r="C707" t="s">
        <v>113</v>
      </c>
      <c r="D707" t="s">
        <v>194</v>
      </c>
      <c r="E707">
        <v>2025</v>
      </c>
      <c r="F707">
        <v>6</v>
      </c>
      <c r="G707">
        <v>18</v>
      </c>
      <c r="H707">
        <v>11111</v>
      </c>
      <c r="I707">
        <v>950</v>
      </c>
      <c r="J707">
        <v>0</v>
      </c>
      <c r="K707">
        <v>185.2</v>
      </c>
      <c r="L707">
        <v>15.8</v>
      </c>
      <c r="M707">
        <v>10.3</v>
      </c>
      <c r="N707">
        <v>144</v>
      </c>
      <c r="O707" s="1" t="s">
        <v>536</v>
      </c>
    </row>
    <row r="708" spans="1:15">
      <c r="A708">
        <v>1225057</v>
      </c>
      <c r="B708" t="s">
        <v>601</v>
      </c>
      <c r="C708" t="s">
        <v>113</v>
      </c>
      <c r="D708" t="s">
        <v>194</v>
      </c>
      <c r="E708">
        <v>2025</v>
      </c>
      <c r="F708">
        <v>7</v>
      </c>
      <c r="G708">
        <v>18</v>
      </c>
      <c r="H708">
        <v>10776</v>
      </c>
      <c r="I708">
        <v>1164</v>
      </c>
      <c r="J708">
        <v>0</v>
      </c>
      <c r="K708">
        <v>179.6</v>
      </c>
      <c r="L708">
        <v>19.399999999999999</v>
      </c>
      <c r="M708">
        <v>10</v>
      </c>
      <c r="N708">
        <v>144</v>
      </c>
      <c r="O708" s="1" t="s">
        <v>449</v>
      </c>
    </row>
    <row r="709" spans="1:15">
      <c r="A709">
        <v>1225057</v>
      </c>
      <c r="B709" t="s">
        <v>601</v>
      </c>
      <c r="C709" t="s">
        <v>113</v>
      </c>
      <c r="D709" t="s">
        <v>194</v>
      </c>
      <c r="E709">
        <v>2025</v>
      </c>
      <c r="F709">
        <v>8</v>
      </c>
      <c r="G709">
        <v>14</v>
      </c>
      <c r="H709">
        <v>7754</v>
      </c>
      <c r="I709">
        <v>850</v>
      </c>
      <c r="J709">
        <v>0</v>
      </c>
      <c r="K709">
        <v>129.19999999999999</v>
      </c>
      <c r="L709">
        <v>14.2</v>
      </c>
      <c r="M709">
        <v>9.1999999999999993</v>
      </c>
      <c r="N709">
        <v>112</v>
      </c>
      <c r="O709" s="1" t="s">
        <v>192</v>
      </c>
    </row>
    <row r="710" spans="1:15">
      <c r="A710">
        <v>1225063</v>
      </c>
      <c r="B710" t="s">
        <v>602</v>
      </c>
      <c r="C710" t="s">
        <v>177</v>
      </c>
      <c r="D710" t="s">
        <v>136</v>
      </c>
      <c r="E710">
        <v>2025</v>
      </c>
      <c r="F710">
        <v>6</v>
      </c>
      <c r="G710">
        <v>17</v>
      </c>
      <c r="H710">
        <v>10016</v>
      </c>
      <c r="I710">
        <v>0</v>
      </c>
      <c r="J710">
        <v>0</v>
      </c>
      <c r="K710">
        <v>166.9</v>
      </c>
      <c r="L710">
        <v>0</v>
      </c>
      <c r="M710">
        <v>9.8000000000000007</v>
      </c>
      <c r="N710">
        <v>136</v>
      </c>
      <c r="O710" s="1" t="s">
        <v>271</v>
      </c>
    </row>
    <row r="711" spans="1:15">
      <c r="A711">
        <v>1225063</v>
      </c>
      <c r="B711" t="s">
        <v>602</v>
      </c>
      <c r="C711" t="s">
        <v>177</v>
      </c>
      <c r="D711" t="s">
        <v>136</v>
      </c>
      <c r="E711">
        <v>2025</v>
      </c>
      <c r="F711">
        <v>7</v>
      </c>
      <c r="G711">
        <v>18</v>
      </c>
      <c r="H711">
        <v>10505</v>
      </c>
      <c r="I711">
        <v>0</v>
      </c>
      <c r="J711">
        <v>2</v>
      </c>
      <c r="K711">
        <v>175.1</v>
      </c>
      <c r="L711">
        <v>0</v>
      </c>
      <c r="M711">
        <v>9.6999999999999993</v>
      </c>
      <c r="N711">
        <v>128</v>
      </c>
      <c r="O711" s="1" t="s">
        <v>603</v>
      </c>
    </row>
    <row r="712" spans="1:15">
      <c r="A712">
        <v>1225063</v>
      </c>
      <c r="B712" t="s">
        <v>602</v>
      </c>
      <c r="C712" t="s">
        <v>177</v>
      </c>
      <c r="D712" t="s">
        <v>136</v>
      </c>
      <c r="E712">
        <v>2025</v>
      </c>
      <c r="F712">
        <v>8</v>
      </c>
      <c r="G712">
        <v>13</v>
      </c>
      <c r="H712">
        <v>6982</v>
      </c>
      <c r="I712">
        <v>0</v>
      </c>
      <c r="J712">
        <v>0</v>
      </c>
      <c r="K712">
        <v>116.4</v>
      </c>
      <c r="L712">
        <v>0</v>
      </c>
      <c r="M712">
        <v>9</v>
      </c>
      <c r="N712">
        <v>104</v>
      </c>
      <c r="O712" s="1" t="s">
        <v>274</v>
      </c>
    </row>
    <row r="713" spans="1:15">
      <c r="A713">
        <v>1225064</v>
      </c>
      <c r="B713" t="s">
        <v>604</v>
      </c>
      <c r="C713" t="s">
        <v>160</v>
      </c>
      <c r="D713" t="s">
        <v>136</v>
      </c>
      <c r="E713">
        <v>2025</v>
      </c>
      <c r="F713">
        <v>7</v>
      </c>
      <c r="G713">
        <v>16</v>
      </c>
      <c r="H713">
        <v>8047</v>
      </c>
      <c r="I713">
        <v>0</v>
      </c>
      <c r="J713">
        <v>0</v>
      </c>
      <c r="K713">
        <v>134.1</v>
      </c>
      <c r="L713">
        <v>0</v>
      </c>
      <c r="M713">
        <v>8.4</v>
      </c>
      <c r="N713">
        <v>128</v>
      </c>
      <c r="O713" s="1" t="s">
        <v>605</v>
      </c>
    </row>
    <row r="714" spans="1:15">
      <c r="A714">
        <v>1225064</v>
      </c>
      <c r="B714" t="s">
        <v>604</v>
      </c>
      <c r="C714" t="s">
        <v>160</v>
      </c>
      <c r="D714" t="s">
        <v>136</v>
      </c>
      <c r="E714">
        <v>2025</v>
      </c>
      <c r="F714">
        <v>8</v>
      </c>
      <c r="G714">
        <v>12</v>
      </c>
      <c r="H714">
        <v>5931</v>
      </c>
      <c r="I714">
        <v>0</v>
      </c>
      <c r="J714">
        <v>0</v>
      </c>
      <c r="K714">
        <v>98.8</v>
      </c>
      <c r="L714">
        <v>0</v>
      </c>
      <c r="M714">
        <v>8.1999999999999993</v>
      </c>
      <c r="N714">
        <v>96</v>
      </c>
      <c r="O714" s="1" t="s">
        <v>606</v>
      </c>
    </row>
    <row r="715" spans="1:15">
      <c r="A715">
        <v>1225065</v>
      </c>
      <c r="B715" t="s">
        <v>607</v>
      </c>
      <c r="C715" t="s">
        <v>96</v>
      </c>
      <c r="D715" t="s">
        <v>136</v>
      </c>
      <c r="E715">
        <v>2025</v>
      </c>
      <c r="F715">
        <v>6</v>
      </c>
      <c r="G715">
        <v>14</v>
      </c>
      <c r="H715">
        <v>10310</v>
      </c>
      <c r="I715">
        <v>2256</v>
      </c>
      <c r="J715">
        <v>0</v>
      </c>
      <c r="K715">
        <v>171.8</v>
      </c>
      <c r="L715">
        <v>37.6</v>
      </c>
      <c r="M715">
        <v>12.3</v>
      </c>
      <c r="N715">
        <v>112</v>
      </c>
      <c r="O715" s="1" t="s">
        <v>608</v>
      </c>
    </row>
    <row r="716" spans="1:15">
      <c r="A716">
        <v>1225065</v>
      </c>
      <c r="B716" t="s">
        <v>607</v>
      </c>
      <c r="C716" t="s">
        <v>96</v>
      </c>
      <c r="D716" t="s">
        <v>136</v>
      </c>
      <c r="E716">
        <v>2025</v>
      </c>
      <c r="F716">
        <v>7</v>
      </c>
      <c r="G716">
        <v>18</v>
      </c>
      <c r="H716">
        <v>12113</v>
      </c>
      <c r="I716">
        <v>2159</v>
      </c>
      <c r="J716">
        <v>0</v>
      </c>
      <c r="K716">
        <v>201.9</v>
      </c>
      <c r="L716">
        <v>36</v>
      </c>
      <c r="M716">
        <v>11.2</v>
      </c>
      <c r="N716">
        <v>144</v>
      </c>
      <c r="O716" s="1" t="s">
        <v>561</v>
      </c>
    </row>
    <row r="717" spans="1:15">
      <c r="A717">
        <v>1225065</v>
      </c>
      <c r="B717" t="s">
        <v>607</v>
      </c>
      <c r="C717" t="s">
        <v>96</v>
      </c>
      <c r="D717" t="s">
        <v>136</v>
      </c>
      <c r="E717">
        <v>2025</v>
      </c>
      <c r="F717">
        <v>8</v>
      </c>
      <c r="G717">
        <v>15</v>
      </c>
      <c r="H717">
        <v>9704</v>
      </c>
      <c r="I717">
        <v>1720</v>
      </c>
      <c r="J717">
        <v>0</v>
      </c>
      <c r="K717">
        <v>161.69999999999999</v>
      </c>
      <c r="L717">
        <v>28.7</v>
      </c>
      <c r="M717">
        <v>10.8</v>
      </c>
      <c r="N717">
        <v>120</v>
      </c>
      <c r="O717" s="1" t="s">
        <v>609</v>
      </c>
    </row>
    <row r="718" spans="1:15">
      <c r="A718">
        <v>1225066</v>
      </c>
      <c r="B718" t="s">
        <v>610</v>
      </c>
      <c r="C718" t="s">
        <v>27</v>
      </c>
      <c r="D718" t="s">
        <v>136</v>
      </c>
      <c r="E718">
        <v>2025</v>
      </c>
      <c r="F718">
        <v>6</v>
      </c>
      <c r="G718">
        <v>19</v>
      </c>
      <c r="H718">
        <v>11465</v>
      </c>
      <c r="I718">
        <v>664</v>
      </c>
      <c r="J718">
        <v>0</v>
      </c>
      <c r="K718">
        <v>191.1</v>
      </c>
      <c r="L718">
        <v>11.1</v>
      </c>
      <c r="M718">
        <v>10.1</v>
      </c>
      <c r="N718">
        <v>152</v>
      </c>
      <c r="O718" s="1" t="s">
        <v>287</v>
      </c>
    </row>
    <row r="719" spans="1:15">
      <c r="A719">
        <v>1225066</v>
      </c>
      <c r="B719" t="s">
        <v>610</v>
      </c>
      <c r="C719" t="s">
        <v>27</v>
      </c>
      <c r="D719" t="s">
        <v>136</v>
      </c>
      <c r="E719">
        <v>2025</v>
      </c>
      <c r="F719">
        <v>7</v>
      </c>
      <c r="G719">
        <v>17</v>
      </c>
      <c r="H719">
        <v>10405</v>
      </c>
      <c r="I719">
        <v>804</v>
      </c>
      <c r="J719">
        <v>0</v>
      </c>
      <c r="K719">
        <v>173.4</v>
      </c>
      <c r="L719">
        <v>13.4</v>
      </c>
      <c r="M719">
        <v>10.199999999999999</v>
      </c>
      <c r="N719">
        <v>136</v>
      </c>
      <c r="O719" s="1" t="s">
        <v>611</v>
      </c>
    </row>
    <row r="720" spans="1:15">
      <c r="A720">
        <v>1225066</v>
      </c>
      <c r="B720" t="s">
        <v>610</v>
      </c>
      <c r="C720" t="s">
        <v>27</v>
      </c>
      <c r="D720" t="s">
        <v>136</v>
      </c>
      <c r="E720">
        <v>2025</v>
      </c>
      <c r="F720">
        <v>8</v>
      </c>
      <c r="G720">
        <v>14</v>
      </c>
      <c r="H720">
        <v>8269</v>
      </c>
      <c r="I720">
        <v>815</v>
      </c>
      <c r="J720">
        <v>0</v>
      </c>
      <c r="K720">
        <v>137.80000000000001</v>
      </c>
      <c r="L720">
        <v>13.6</v>
      </c>
      <c r="M720">
        <v>9.8000000000000007</v>
      </c>
      <c r="N720">
        <v>112</v>
      </c>
      <c r="O720" s="1" t="s">
        <v>104</v>
      </c>
    </row>
    <row r="721" spans="1:15">
      <c r="A721">
        <v>1225068</v>
      </c>
      <c r="B721" t="s">
        <v>612</v>
      </c>
      <c r="C721" t="s">
        <v>113</v>
      </c>
      <c r="D721" t="s">
        <v>194</v>
      </c>
      <c r="E721">
        <v>2025</v>
      </c>
      <c r="F721">
        <v>7</v>
      </c>
      <c r="G721">
        <v>18</v>
      </c>
      <c r="H721">
        <v>10477</v>
      </c>
      <c r="I721">
        <v>495</v>
      </c>
      <c r="J721">
        <v>0</v>
      </c>
      <c r="K721">
        <v>174.6</v>
      </c>
      <c r="L721">
        <v>8.1999999999999993</v>
      </c>
      <c r="M721">
        <v>9.6999999999999993</v>
      </c>
      <c r="N721">
        <v>144</v>
      </c>
      <c r="O721" s="1" t="s">
        <v>613</v>
      </c>
    </row>
    <row r="722" spans="1:15">
      <c r="A722">
        <v>1225068</v>
      </c>
      <c r="B722" t="s">
        <v>612</v>
      </c>
      <c r="C722" t="s">
        <v>113</v>
      </c>
      <c r="D722" t="s">
        <v>194</v>
      </c>
      <c r="E722">
        <v>2025</v>
      </c>
      <c r="F722">
        <v>8</v>
      </c>
      <c r="G722">
        <v>12</v>
      </c>
      <c r="H722">
        <v>6852</v>
      </c>
      <c r="I722">
        <v>565</v>
      </c>
      <c r="J722">
        <v>0</v>
      </c>
      <c r="K722">
        <v>114.2</v>
      </c>
      <c r="L722">
        <v>9.4</v>
      </c>
      <c r="M722">
        <v>9.5</v>
      </c>
      <c r="N722">
        <v>96</v>
      </c>
      <c r="O722" s="1" t="s">
        <v>614</v>
      </c>
    </row>
    <row r="723" spans="1:15">
      <c r="A723">
        <v>1225070</v>
      </c>
      <c r="B723" t="s">
        <v>615</v>
      </c>
      <c r="C723" t="s">
        <v>308</v>
      </c>
      <c r="D723" t="s">
        <v>194</v>
      </c>
      <c r="E723">
        <v>2025</v>
      </c>
      <c r="F723">
        <v>7</v>
      </c>
      <c r="G723">
        <v>15</v>
      </c>
      <c r="H723">
        <v>8054</v>
      </c>
      <c r="I723">
        <v>0</v>
      </c>
      <c r="J723">
        <v>1</v>
      </c>
      <c r="K723">
        <v>134.19999999999999</v>
      </c>
      <c r="L723">
        <v>0</v>
      </c>
      <c r="M723">
        <v>8.9</v>
      </c>
      <c r="N723">
        <v>112</v>
      </c>
      <c r="O723" s="1" t="s">
        <v>616</v>
      </c>
    </row>
    <row r="724" spans="1:15">
      <c r="A724">
        <v>1225070</v>
      </c>
      <c r="B724" t="s">
        <v>615</v>
      </c>
      <c r="C724" t="s">
        <v>308</v>
      </c>
      <c r="D724" t="s">
        <v>194</v>
      </c>
      <c r="E724">
        <v>2025</v>
      </c>
      <c r="F724">
        <v>8</v>
      </c>
      <c r="G724">
        <v>8</v>
      </c>
      <c r="H724">
        <v>4032</v>
      </c>
      <c r="I724">
        <v>0</v>
      </c>
      <c r="J724">
        <v>0</v>
      </c>
      <c r="K724">
        <v>67.2</v>
      </c>
      <c r="L724">
        <v>0</v>
      </c>
      <c r="M724">
        <v>8.4</v>
      </c>
      <c r="N724">
        <v>64</v>
      </c>
      <c r="O724" s="1" t="s">
        <v>598</v>
      </c>
    </row>
    <row r="725" spans="1:15">
      <c r="A725">
        <v>1225078</v>
      </c>
      <c r="B725" t="s">
        <v>617</v>
      </c>
      <c r="C725" t="s">
        <v>117</v>
      </c>
      <c r="D725" t="s">
        <v>194</v>
      </c>
      <c r="E725">
        <v>2025</v>
      </c>
      <c r="F725">
        <v>8</v>
      </c>
      <c r="G725">
        <v>3</v>
      </c>
      <c r="H725">
        <v>1221</v>
      </c>
      <c r="I725">
        <v>0</v>
      </c>
      <c r="J725">
        <v>0</v>
      </c>
      <c r="K725">
        <v>20.399999999999999</v>
      </c>
      <c r="L725">
        <v>0</v>
      </c>
      <c r="M725">
        <v>6.8</v>
      </c>
      <c r="N725">
        <v>24</v>
      </c>
      <c r="O725">
        <v>-3.6</v>
      </c>
    </row>
    <row r="726" spans="1:15">
      <c r="A726">
        <v>1225079</v>
      </c>
      <c r="B726" t="s">
        <v>618</v>
      </c>
      <c r="C726" t="s">
        <v>41</v>
      </c>
      <c r="D726" t="s">
        <v>194</v>
      </c>
      <c r="E726">
        <v>2025</v>
      </c>
      <c r="F726">
        <v>8</v>
      </c>
      <c r="G726">
        <v>3</v>
      </c>
      <c r="H726">
        <v>1568</v>
      </c>
      <c r="I726">
        <v>52</v>
      </c>
      <c r="J726">
        <v>0</v>
      </c>
      <c r="K726">
        <v>26.1</v>
      </c>
      <c r="L726">
        <v>0.9</v>
      </c>
      <c r="M726">
        <v>8.6999999999999993</v>
      </c>
      <c r="N726">
        <v>24</v>
      </c>
      <c r="O726" s="1" t="s">
        <v>619</v>
      </c>
    </row>
    <row r="727" spans="1:15">
      <c r="A727" t="s">
        <v>620</v>
      </c>
      <c r="B727" t="s">
        <v>621</v>
      </c>
      <c r="C727" t="s">
        <v>622</v>
      </c>
      <c r="D727" t="s">
        <v>20</v>
      </c>
      <c r="E727">
        <v>2025</v>
      </c>
      <c r="F727">
        <v>6</v>
      </c>
      <c r="G727">
        <v>19</v>
      </c>
      <c r="H727">
        <v>10960</v>
      </c>
      <c r="I727">
        <v>206</v>
      </c>
      <c r="J727">
        <v>0</v>
      </c>
      <c r="K727">
        <v>182.7</v>
      </c>
      <c r="L727">
        <v>3.4</v>
      </c>
      <c r="M727">
        <v>9.6</v>
      </c>
      <c r="N727">
        <v>152</v>
      </c>
      <c r="O727" s="1" t="s">
        <v>219</v>
      </c>
    </row>
    <row r="728" spans="1:15">
      <c r="A728" t="s">
        <v>620</v>
      </c>
      <c r="B728" t="s">
        <v>621</v>
      </c>
      <c r="C728" t="s">
        <v>622</v>
      </c>
      <c r="D728" t="s">
        <v>20</v>
      </c>
      <c r="E728">
        <v>2025</v>
      </c>
      <c r="F728">
        <v>7</v>
      </c>
      <c r="G728">
        <v>19</v>
      </c>
      <c r="H728">
        <v>10911</v>
      </c>
      <c r="I728">
        <v>217</v>
      </c>
      <c r="J728">
        <v>0</v>
      </c>
      <c r="K728">
        <v>181.8</v>
      </c>
      <c r="L728">
        <v>3.6</v>
      </c>
      <c r="M728">
        <v>9.6</v>
      </c>
      <c r="N728">
        <v>152</v>
      </c>
      <c r="O728" s="1" t="s">
        <v>545</v>
      </c>
    </row>
    <row r="729" spans="1:15">
      <c r="A729" t="s">
        <v>620</v>
      </c>
      <c r="B729" t="s">
        <v>621</v>
      </c>
      <c r="C729" t="s">
        <v>622</v>
      </c>
      <c r="D729" t="s">
        <v>20</v>
      </c>
      <c r="E729">
        <v>2025</v>
      </c>
      <c r="F729">
        <v>8</v>
      </c>
      <c r="G729">
        <v>16</v>
      </c>
      <c r="H729">
        <v>9051</v>
      </c>
      <c r="I729">
        <v>263</v>
      </c>
      <c r="J729">
        <v>0</v>
      </c>
      <c r="K729">
        <v>150.80000000000001</v>
      </c>
      <c r="L729">
        <v>4.4000000000000004</v>
      </c>
      <c r="M729">
        <v>9.4</v>
      </c>
      <c r="N729">
        <v>128</v>
      </c>
      <c r="O729" s="1" t="s">
        <v>290</v>
      </c>
    </row>
    <row r="730" spans="1:15">
      <c r="A730" t="s">
        <v>623</v>
      </c>
      <c r="B730" t="s">
        <v>624</v>
      </c>
      <c r="C730" t="s">
        <v>625</v>
      </c>
      <c r="D730" t="s">
        <v>20</v>
      </c>
      <c r="E730">
        <v>2025</v>
      </c>
      <c r="F730">
        <v>6</v>
      </c>
      <c r="G730">
        <v>16</v>
      </c>
      <c r="H730">
        <v>8118</v>
      </c>
      <c r="I730">
        <v>460</v>
      </c>
      <c r="J730">
        <v>0</v>
      </c>
      <c r="K730">
        <v>135.30000000000001</v>
      </c>
      <c r="L730">
        <v>7.7</v>
      </c>
      <c r="M730">
        <v>8.5</v>
      </c>
      <c r="N730">
        <v>128</v>
      </c>
      <c r="O730" s="1" t="s">
        <v>363</v>
      </c>
    </row>
    <row r="731" spans="1:15">
      <c r="A731" t="s">
        <v>623</v>
      </c>
      <c r="B731" t="s">
        <v>624</v>
      </c>
      <c r="C731" t="s">
        <v>625</v>
      </c>
      <c r="D731" t="s">
        <v>20</v>
      </c>
      <c r="E731">
        <v>2025</v>
      </c>
      <c r="F731">
        <v>7</v>
      </c>
      <c r="G731">
        <v>22</v>
      </c>
      <c r="H731">
        <v>14024</v>
      </c>
      <c r="I731">
        <v>0</v>
      </c>
      <c r="J731">
        <v>0</v>
      </c>
      <c r="K731">
        <v>233.7</v>
      </c>
      <c r="L731">
        <v>0</v>
      </c>
      <c r="M731">
        <v>10.6</v>
      </c>
      <c r="N731">
        <v>176</v>
      </c>
      <c r="O731" s="1" t="s">
        <v>318</v>
      </c>
    </row>
    <row r="732" spans="1:15">
      <c r="A732" t="s">
        <v>623</v>
      </c>
      <c r="B732" t="s">
        <v>624</v>
      </c>
      <c r="C732" t="s">
        <v>625</v>
      </c>
      <c r="D732" t="s">
        <v>20</v>
      </c>
      <c r="E732">
        <v>2025</v>
      </c>
      <c r="F732">
        <v>8</v>
      </c>
      <c r="G732">
        <v>19</v>
      </c>
      <c r="H732">
        <v>10905</v>
      </c>
      <c r="I732">
        <v>261</v>
      </c>
      <c r="J732">
        <v>2</v>
      </c>
      <c r="K732">
        <v>181.8</v>
      </c>
      <c r="L732">
        <v>4.4000000000000004</v>
      </c>
      <c r="M732">
        <v>9.6</v>
      </c>
      <c r="N732">
        <v>136</v>
      </c>
      <c r="O732" s="1" t="s">
        <v>72</v>
      </c>
    </row>
    <row r="733" spans="1:15">
      <c r="A733" t="s">
        <v>626</v>
      </c>
      <c r="B733" t="s">
        <v>627</v>
      </c>
      <c r="C733" t="s">
        <v>182</v>
      </c>
      <c r="D733" t="s">
        <v>20</v>
      </c>
      <c r="E733">
        <v>2025</v>
      </c>
      <c r="F733">
        <v>6</v>
      </c>
      <c r="G733">
        <v>19</v>
      </c>
      <c r="H733">
        <v>12319</v>
      </c>
      <c r="I733">
        <v>1730</v>
      </c>
      <c r="J733">
        <v>0</v>
      </c>
      <c r="K733">
        <v>205.3</v>
      </c>
      <c r="L733">
        <v>28.8</v>
      </c>
      <c r="M733">
        <v>10.8</v>
      </c>
      <c r="N733">
        <v>152</v>
      </c>
      <c r="O733" s="1" t="s">
        <v>628</v>
      </c>
    </row>
    <row r="734" spans="1:15">
      <c r="A734" t="s">
        <v>626</v>
      </c>
      <c r="B734" t="s">
        <v>627</v>
      </c>
      <c r="C734" t="s">
        <v>182</v>
      </c>
      <c r="D734" t="s">
        <v>20</v>
      </c>
      <c r="E734">
        <v>2025</v>
      </c>
      <c r="F734">
        <v>7</v>
      </c>
      <c r="G734">
        <v>20</v>
      </c>
      <c r="H734">
        <v>13331</v>
      </c>
      <c r="I734">
        <v>1551</v>
      </c>
      <c r="J734">
        <v>1</v>
      </c>
      <c r="K734">
        <v>222.2</v>
      </c>
      <c r="L734">
        <v>25.8</v>
      </c>
      <c r="M734">
        <v>11.1</v>
      </c>
      <c r="N734">
        <v>152</v>
      </c>
      <c r="O734" s="1" t="s">
        <v>629</v>
      </c>
    </row>
    <row r="735" spans="1:15">
      <c r="A735" t="s">
        <v>626</v>
      </c>
      <c r="B735" t="s">
        <v>627</v>
      </c>
      <c r="C735" t="s">
        <v>182</v>
      </c>
      <c r="D735" t="s">
        <v>20</v>
      </c>
      <c r="E735">
        <v>2025</v>
      </c>
      <c r="F735">
        <v>8</v>
      </c>
      <c r="G735">
        <v>16</v>
      </c>
      <c r="H735">
        <v>10379</v>
      </c>
      <c r="I735">
        <v>1853</v>
      </c>
      <c r="J735">
        <v>0</v>
      </c>
      <c r="K735">
        <v>173</v>
      </c>
      <c r="L735">
        <v>30.9</v>
      </c>
      <c r="M735">
        <v>10.8</v>
      </c>
      <c r="N735">
        <v>128</v>
      </c>
      <c r="O735">
        <v>45</v>
      </c>
    </row>
    <row r="736" spans="1:15">
      <c r="A736" t="s">
        <v>630</v>
      </c>
      <c r="B736" t="s">
        <v>631</v>
      </c>
      <c r="C736" t="s">
        <v>182</v>
      </c>
      <c r="D736" t="s">
        <v>20</v>
      </c>
      <c r="E736">
        <v>2025</v>
      </c>
      <c r="F736">
        <v>6</v>
      </c>
      <c r="G736">
        <v>22</v>
      </c>
      <c r="H736">
        <v>13651</v>
      </c>
      <c r="I736">
        <v>1981</v>
      </c>
      <c r="J736">
        <v>3</v>
      </c>
      <c r="K736">
        <v>227.5</v>
      </c>
      <c r="L736">
        <v>33</v>
      </c>
      <c r="M736">
        <v>10.3</v>
      </c>
      <c r="N736">
        <v>152</v>
      </c>
      <c r="O736">
        <v>75.5</v>
      </c>
    </row>
    <row r="737" spans="1:15">
      <c r="A737" t="s">
        <v>630</v>
      </c>
      <c r="B737" t="s">
        <v>631</v>
      </c>
      <c r="C737" t="s">
        <v>182</v>
      </c>
      <c r="D737" t="s">
        <v>20</v>
      </c>
      <c r="E737">
        <v>2025</v>
      </c>
      <c r="F737">
        <v>7</v>
      </c>
      <c r="G737">
        <v>20</v>
      </c>
      <c r="H737">
        <v>12006</v>
      </c>
      <c r="I737">
        <v>1480</v>
      </c>
      <c r="J737">
        <v>1</v>
      </c>
      <c r="K737">
        <v>200.1</v>
      </c>
      <c r="L737">
        <v>24.7</v>
      </c>
      <c r="M737">
        <v>10</v>
      </c>
      <c r="N737">
        <v>152</v>
      </c>
      <c r="O737" s="1" t="s">
        <v>632</v>
      </c>
    </row>
    <row r="738" spans="1:15">
      <c r="A738" t="s">
        <v>630</v>
      </c>
      <c r="B738" t="s">
        <v>631</v>
      </c>
      <c r="C738" t="s">
        <v>182</v>
      </c>
      <c r="D738" t="s">
        <v>20</v>
      </c>
      <c r="E738">
        <v>2025</v>
      </c>
      <c r="F738">
        <v>8</v>
      </c>
      <c r="G738">
        <v>13</v>
      </c>
      <c r="H738">
        <v>6954</v>
      </c>
      <c r="I738">
        <v>799</v>
      </c>
      <c r="J738">
        <v>0</v>
      </c>
      <c r="K738">
        <v>115.9</v>
      </c>
      <c r="L738">
        <v>13.3</v>
      </c>
      <c r="M738">
        <v>8.9</v>
      </c>
      <c r="N738">
        <v>104</v>
      </c>
      <c r="O738" s="1" t="s">
        <v>36</v>
      </c>
    </row>
    <row r="739" spans="1:15">
      <c r="A739" t="s">
        <v>633</v>
      </c>
      <c r="B739" t="s">
        <v>634</v>
      </c>
      <c r="C739" t="s">
        <v>635</v>
      </c>
      <c r="D739" t="s">
        <v>20</v>
      </c>
      <c r="E739">
        <v>2025</v>
      </c>
      <c r="F739">
        <v>6</v>
      </c>
      <c r="G739">
        <v>19</v>
      </c>
      <c r="H739">
        <v>10817</v>
      </c>
      <c r="I739">
        <v>413</v>
      </c>
      <c r="J739">
        <v>0</v>
      </c>
      <c r="K739">
        <v>180.3</v>
      </c>
      <c r="L739">
        <v>6.9</v>
      </c>
      <c r="M739">
        <v>9.5</v>
      </c>
      <c r="N739">
        <v>152</v>
      </c>
      <c r="O739" s="1" t="s">
        <v>184</v>
      </c>
    </row>
    <row r="740" spans="1:15">
      <c r="A740" t="s">
        <v>633</v>
      </c>
      <c r="B740" t="s">
        <v>634</v>
      </c>
      <c r="C740" t="s">
        <v>635</v>
      </c>
      <c r="D740" t="s">
        <v>20</v>
      </c>
      <c r="E740">
        <v>2025</v>
      </c>
      <c r="F740">
        <v>7</v>
      </c>
      <c r="G740">
        <v>20</v>
      </c>
      <c r="H740">
        <v>11132</v>
      </c>
      <c r="I740">
        <v>620</v>
      </c>
      <c r="J740">
        <v>1</v>
      </c>
      <c r="K740">
        <v>185.5</v>
      </c>
      <c r="L740">
        <v>10.3</v>
      </c>
      <c r="M740">
        <v>9.3000000000000007</v>
      </c>
      <c r="N740">
        <v>152</v>
      </c>
      <c r="O740">
        <v>33.5</v>
      </c>
    </row>
    <row r="741" spans="1:15">
      <c r="A741" t="s">
        <v>633</v>
      </c>
      <c r="B741" t="s">
        <v>634</v>
      </c>
      <c r="C741" t="s">
        <v>635</v>
      </c>
      <c r="D741" t="s">
        <v>20</v>
      </c>
      <c r="E741">
        <v>2025</v>
      </c>
      <c r="F741">
        <v>8</v>
      </c>
      <c r="G741">
        <v>16</v>
      </c>
      <c r="H741">
        <v>9360</v>
      </c>
      <c r="I741">
        <v>756</v>
      </c>
      <c r="J741">
        <v>0</v>
      </c>
      <c r="K741">
        <v>156</v>
      </c>
      <c r="L741">
        <v>12.6</v>
      </c>
      <c r="M741">
        <v>9.8000000000000007</v>
      </c>
      <c r="N741">
        <v>128</v>
      </c>
      <c r="O741">
        <v>28</v>
      </c>
    </row>
    <row r="742" spans="1:15">
      <c r="A742" t="s">
        <v>636</v>
      </c>
      <c r="B742" t="s">
        <v>637</v>
      </c>
      <c r="C742" t="s">
        <v>638</v>
      </c>
      <c r="D742" t="s">
        <v>20</v>
      </c>
      <c r="E742">
        <v>2025</v>
      </c>
      <c r="F742">
        <v>6</v>
      </c>
      <c r="G742">
        <v>21</v>
      </c>
      <c r="H742">
        <v>9973</v>
      </c>
      <c r="I742">
        <v>0</v>
      </c>
      <c r="J742">
        <v>2</v>
      </c>
      <c r="K742">
        <v>166.2</v>
      </c>
      <c r="L742">
        <v>0</v>
      </c>
      <c r="M742">
        <v>7.9</v>
      </c>
      <c r="N742">
        <v>152</v>
      </c>
      <c r="O742" s="1" t="s">
        <v>639</v>
      </c>
    </row>
    <row r="743" spans="1:15">
      <c r="A743" t="s">
        <v>636</v>
      </c>
      <c r="B743" t="s">
        <v>637</v>
      </c>
      <c r="C743" t="s">
        <v>638</v>
      </c>
      <c r="D743" t="s">
        <v>20</v>
      </c>
      <c r="E743">
        <v>2025</v>
      </c>
      <c r="F743">
        <v>7</v>
      </c>
      <c r="G743">
        <v>18</v>
      </c>
      <c r="H743">
        <v>10657</v>
      </c>
      <c r="I743">
        <v>0</v>
      </c>
      <c r="J743">
        <v>0</v>
      </c>
      <c r="K743">
        <v>177.6</v>
      </c>
      <c r="L743">
        <v>0</v>
      </c>
      <c r="M743">
        <v>9.9</v>
      </c>
      <c r="N743">
        <v>144</v>
      </c>
      <c r="O743" s="1" t="s">
        <v>330</v>
      </c>
    </row>
    <row r="744" spans="1:15">
      <c r="A744" t="s">
        <v>636</v>
      </c>
      <c r="B744" t="s">
        <v>637</v>
      </c>
      <c r="C744" t="s">
        <v>638</v>
      </c>
      <c r="D744" t="s">
        <v>20</v>
      </c>
      <c r="E744">
        <v>2025</v>
      </c>
      <c r="F744">
        <v>8</v>
      </c>
      <c r="G744">
        <v>16</v>
      </c>
      <c r="H744">
        <v>9107</v>
      </c>
      <c r="I744">
        <v>0</v>
      </c>
      <c r="J744">
        <v>0</v>
      </c>
      <c r="K744">
        <v>151.80000000000001</v>
      </c>
      <c r="L744">
        <v>0</v>
      </c>
      <c r="M744">
        <v>9.5</v>
      </c>
      <c r="N744">
        <v>128</v>
      </c>
      <c r="O744" s="1" t="s">
        <v>52</v>
      </c>
    </row>
    <row r="745" spans="1:15">
      <c r="A745" t="s">
        <v>640</v>
      </c>
      <c r="B745" t="s">
        <v>641</v>
      </c>
      <c r="C745" t="s">
        <v>638</v>
      </c>
      <c r="D745" t="s">
        <v>20</v>
      </c>
      <c r="E745">
        <v>2025</v>
      </c>
      <c r="F745">
        <v>6</v>
      </c>
      <c r="G745">
        <v>18</v>
      </c>
      <c r="H745">
        <v>9457</v>
      </c>
      <c r="I745">
        <v>120</v>
      </c>
      <c r="J745">
        <v>0</v>
      </c>
      <c r="K745">
        <v>157.6</v>
      </c>
      <c r="L745">
        <v>2</v>
      </c>
      <c r="M745">
        <v>8.8000000000000007</v>
      </c>
      <c r="N745">
        <v>144</v>
      </c>
      <c r="O745" s="1" t="s">
        <v>314</v>
      </c>
    </row>
    <row r="746" spans="1:15">
      <c r="A746" t="s">
        <v>640</v>
      </c>
      <c r="B746" t="s">
        <v>641</v>
      </c>
      <c r="C746" t="s">
        <v>638</v>
      </c>
      <c r="D746" t="s">
        <v>20</v>
      </c>
      <c r="E746">
        <v>2025</v>
      </c>
      <c r="F746">
        <v>7</v>
      </c>
      <c r="G746">
        <v>19</v>
      </c>
      <c r="H746">
        <v>10628</v>
      </c>
      <c r="I746">
        <v>0</v>
      </c>
      <c r="J746">
        <v>0</v>
      </c>
      <c r="K746">
        <v>177.1</v>
      </c>
      <c r="L746">
        <v>0</v>
      </c>
      <c r="M746">
        <v>9.3000000000000007</v>
      </c>
      <c r="N746">
        <v>152</v>
      </c>
      <c r="O746" s="1" t="s">
        <v>642</v>
      </c>
    </row>
    <row r="747" spans="1:15">
      <c r="A747" t="s">
        <v>640</v>
      </c>
      <c r="B747" t="s">
        <v>641</v>
      </c>
      <c r="C747" t="s">
        <v>638</v>
      </c>
      <c r="D747" t="s">
        <v>20</v>
      </c>
      <c r="E747">
        <v>2025</v>
      </c>
      <c r="F747">
        <v>8</v>
      </c>
      <c r="G747">
        <v>16</v>
      </c>
      <c r="H747">
        <v>8740</v>
      </c>
      <c r="I747">
        <v>438</v>
      </c>
      <c r="J747">
        <v>0</v>
      </c>
      <c r="K747">
        <v>145.69999999999999</v>
      </c>
      <c r="L747">
        <v>7.3</v>
      </c>
      <c r="M747">
        <v>9.1</v>
      </c>
      <c r="N747">
        <v>128</v>
      </c>
      <c r="O747" s="1" t="s">
        <v>643</v>
      </c>
    </row>
    <row r="748" spans="1:15">
      <c r="A748" t="s">
        <v>644</v>
      </c>
      <c r="B748" t="s">
        <v>645</v>
      </c>
      <c r="C748" t="s">
        <v>646</v>
      </c>
      <c r="D748" t="s">
        <v>20</v>
      </c>
      <c r="E748">
        <v>2025</v>
      </c>
      <c r="F748">
        <v>6</v>
      </c>
      <c r="G748">
        <v>19</v>
      </c>
      <c r="H748">
        <v>9031</v>
      </c>
      <c r="I748">
        <v>0</v>
      </c>
      <c r="J748">
        <v>0</v>
      </c>
      <c r="K748">
        <v>150.5</v>
      </c>
      <c r="L748">
        <v>0</v>
      </c>
      <c r="M748">
        <v>7.9</v>
      </c>
      <c r="N748">
        <v>152</v>
      </c>
      <c r="O748">
        <v>-1.5</v>
      </c>
    </row>
    <row r="749" spans="1:15">
      <c r="A749" t="s">
        <v>644</v>
      </c>
      <c r="B749" t="s">
        <v>645</v>
      </c>
      <c r="C749" t="s">
        <v>646</v>
      </c>
      <c r="D749" t="s">
        <v>20</v>
      </c>
      <c r="E749">
        <v>2025</v>
      </c>
      <c r="F749">
        <v>7</v>
      </c>
      <c r="G749">
        <v>22</v>
      </c>
      <c r="H749">
        <v>10720</v>
      </c>
      <c r="I749">
        <v>0</v>
      </c>
      <c r="J749">
        <v>0</v>
      </c>
      <c r="K749">
        <v>178.7</v>
      </c>
      <c r="L749">
        <v>0</v>
      </c>
      <c r="M749">
        <v>8.1</v>
      </c>
      <c r="N749">
        <v>176</v>
      </c>
      <c r="O749" s="1" t="s">
        <v>647</v>
      </c>
    </row>
    <row r="750" spans="1:15">
      <c r="A750" t="s">
        <v>644</v>
      </c>
      <c r="B750" t="s">
        <v>645</v>
      </c>
      <c r="C750" t="s">
        <v>646</v>
      </c>
      <c r="D750" t="s">
        <v>20</v>
      </c>
      <c r="E750">
        <v>2025</v>
      </c>
      <c r="F750">
        <v>8</v>
      </c>
      <c r="G750">
        <v>15</v>
      </c>
      <c r="H750">
        <v>6516</v>
      </c>
      <c r="I750">
        <v>0</v>
      </c>
      <c r="J750">
        <v>0</v>
      </c>
      <c r="K750">
        <v>108.6</v>
      </c>
      <c r="L750">
        <v>0</v>
      </c>
      <c r="M750">
        <v>7.2</v>
      </c>
      <c r="N750">
        <v>120</v>
      </c>
      <c r="O750">
        <v>-11.4</v>
      </c>
    </row>
    <row r="751" spans="1:15">
      <c r="A751" t="s">
        <v>648</v>
      </c>
      <c r="B751" t="s">
        <v>649</v>
      </c>
      <c r="C751" t="s">
        <v>646</v>
      </c>
      <c r="D751" t="s">
        <v>136</v>
      </c>
      <c r="E751">
        <v>2025</v>
      </c>
      <c r="F751">
        <v>6</v>
      </c>
      <c r="G751">
        <v>25</v>
      </c>
      <c r="H751">
        <v>29765</v>
      </c>
      <c r="I751">
        <v>0</v>
      </c>
      <c r="J751">
        <v>6</v>
      </c>
      <c r="K751">
        <v>496.1</v>
      </c>
      <c r="L751">
        <v>0</v>
      </c>
      <c r="M751">
        <v>19.8</v>
      </c>
      <c r="N751">
        <v>152</v>
      </c>
      <c r="O751">
        <v>344.1</v>
      </c>
    </row>
    <row r="752" spans="1:15">
      <c r="A752" t="s">
        <v>648</v>
      </c>
      <c r="B752" t="s">
        <v>649</v>
      </c>
      <c r="C752" t="s">
        <v>646</v>
      </c>
      <c r="D752" t="s">
        <v>136</v>
      </c>
      <c r="E752">
        <v>2025</v>
      </c>
      <c r="F752">
        <v>7</v>
      </c>
      <c r="G752">
        <v>24</v>
      </c>
      <c r="H752">
        <v>24666</v>
      </c>
      <c r="I752">
        <v>0</v>
      </c>
      <c r="J752">
        <v>3</v>
      </c>
      <c r="K752">
        <v>411.1</v>
      </c>
      <c r="L752">
        <v>0</v>
      </c>
      <c r="M752">
        <v>17.100000000000001</v>
      </c>
      <c r="N752">
        <v>168</v>
      </c>
      <c r="O752" s="1" t="s">
        <v>650</v>
      </c>
    </row>
    <row r="753" spans="1:15">
      <c r="A753" t="s">
        <v>648</v>
      </c>
      <c r="B753" t="s">
        <v>649</v>
      </c>
      <c r="C753" t="s">
        <v>646</v>
      </c>
      <c r="D753" t="s">
        <v>136</v>
      </c>
      <c r="E753">
        <v>2025</v>
      </c>
      <c r="F753">
        <v>8</v>
      </c>
      <c r="G753">
        <v>16</v>
      </c>
      <c r="H753">
        <v>8300</v>
      </c>
      <c r="I753">
        <v>16</v>
      </c>
      <c r="J753">
        <v>1</v>
      </c>
      <c r="K753">
        <v>138.30000000000001</v>
      </c>
      <c r="L753">
        <v>0.3</v>
      </c>
      <c r="M753">
        <v>8.6</v>
      </c>
      <c r="N753">
        <v>120</v>
      </c>
      <c r="O753" s="1" t="s">
        <v>651</v>
      </c>
    </row>
    <row r="754" spans="1:15">
      <c r="A754" t="s">
        <v>652</v>
      </c>
      <c r="B754" t="s">
        <v>653</v>
      </c>
      <c r="C754" t="s">
        <v>654</v>
      </c>
      <c r="D754" t="s">
        <v>136</v>
      </c>
      <c r="E754">
        <v>2025</v>
      </c>
      <c r="F754">
        <v>6</v>
      </c>
      <c r="G754">
        <v>19</v>
      </c>
      <c r="H754">
        <v>12251</v>
      </c>
      <c r="I754">
        <v>1750</v>
      </c>
      <c r="J754">
        <v>0</v>
      </c>
      <c r="K754">
        <v>204.2</v>
      </c>
      <c r="L754">
        <v>29.2</v>
      </c>
      <c r="M754">
        <v>10.7</v>
      </c>
      <c r="N754">
        <v>152</v>
      </c>
      <c r="O754" s="1" t="s">
        <v>270</v>
      </c>
    </row>
    <row r="755" spans="1:15">
      <c r="A755" t="s">
        <v>652</v>
      </c>
      <c r="B755" t="s">
        <v>653</v>
      </c>
      <c r="C755" t="s">
        <v>654</v>
      </c>
      <c r="D755" t="s">
        <v>136</v>
      </c>
      <c r="E755">
        <v>2025</v>
      </c>
      <c r="F755">
        <v>7</v>
      </c>
      <c r="G755">
        <v>21</v>
      </c>
      <c r="H755">
        <v>13256</v>
      </c>
      <c r="I755">
        <v>0</v>
      </c>
      <c r="J755">
        <v>0</v>
      </c>
      <c r="K755">
        <v>220.9</v>
      </c>
      <c r="L755">
        <v>0</v>
      </c>
      <c r="M755">
        <v>10.5</v>
      </c>
      <c r="N755">
        <v>168</v>
      </c>
      <c r="O755" s="1" t="s">
        <v>655</v>
      </c>
    </row>
    <row r="756" spans="1:15">
      <c r="A756" t="s">
        <v>652</v>
      </c>
      <c r="B756" t="s">
        <v>653</v>
      </c>
      <c r="C756" t="s">
        <v>654</v>
      </c>
      <c r="D756" t="s">
        <v>136</v>
      </c>
      <c r="E756">
        <v>2025</v>
      </c>
      <c r="F756">
        <v>8</v>
      </c>
      <c r="G756">
        <v>19</v>
      </c>
      <c r="H756">
        <v>10962</v>
      </c>
      <c r="I756">
        <v>0</v>
      </c>
      <c r="J756">
        <v>2</v>
      </c>
      <c r="K756">
        <v>182.7</v>
      </c>
      <c r="L756">
        <v>0</v>
      </c>
      <c r="M756">
        <v>9.6</v>
      </c>
      <c r="N756">
        <v>136</v>
      </c>
      <c r="O756" s="1" t="s">
        <v>115</v>
      </c>
    </row>
    <row r="757" spans="1:15">
      <c r="A757" t="s">
        <v>656</v>
      </c>
      <c r="B757" t="s">
        <v>657</v>
      </c>
      <c r="C757" t="s">
        <v>654</v>
      </c>
      <c r="D757" t="s">
        <v>136</v>
      </c>
      <c r="E757">
        <v>2025</v>
      </c>
      <c r="F757">
        <v>6</v>
      </c>
      <c r="G757">
        <v>18</v>
      </c>
      <c r="H757">
        <v>10312</v>
      </c>
      <c r="I757">
        <v>911</v>
      </c>
      <c r="J757">
        <v>0</v>
      </c>
      <c r="K757">
        <v>171.9</v>
      </c>
      <c r="L757">
        <v>15.2</v>
      </c>
      <c r="M757">
        <v>9.6</v>
      </c>
      <c r="N757">
        <v>144</v>
      </c>
      <c r="O757" s="1" t="s">
        <v>658</v>
      </c>
    </row>
    <row r="758" spans="1:15">
      <c r="A758" t="s">
        <v>656</v>
      </c>
      <c r="B758" t="s">
        <v>657</v>
      </c>
      <c r="C758" t="s">
        <v>654</v>
      </c>
      <c r="D758" t="s">
        <v>136</v>
      </c>
      <c r="E758">
        <v>2025</v>
      </c>
      <c r="F758">
        <v>7</v>
      </c>
      <c r="G758">
        <v>21</v>
      </c>
      <c r="H758">
        <v>14935</v>
      </c>
      <c r="I758">
        <v>0</v>
      </c>
      <c r="J758">
        <v>0</v>
      </c>
      <c r="K758">
        <v>248.9</v>
      </c>
      <c r="L758">
        <v>0</v>
      </c>
      <c r="M758">
        <v>11.9</v>
      </c>
      <c r="N758">
        <v>168</v>
      </c>
      <c r="O758">
        <v>80.900000000000006</v>
      </c>
    </row>
    <row r="759" spans="1:15">
      <c r="A759" t="s">
        <v>656</v>
      </c>
      <c r="B759" t="s">
        <v>657</v>
      </c>
      <c r="C759" t="s">
        <v>654</v>
      </c>
      <c r="D759" t="s">
        <v>136</v>
      </c>
      <c r="E759">
        <v>2025</v>
      </c>
      <c r="F759">
        <v>8</v>
      </c>
      <c r="G759">
        <v>19</v>
      </c>
      <c r="H759">
        <v>11277</v>
      </c>
      <c r="I759">
        <v>38</v>
      </c>
      <c r="J759">
        <v>2</v>
      </c>
      <c r="K759">
        <v>188</v>
      </c>
      <c r="L759">
        <v>0.6</v>
      </c>
      <c r="M759">
        <v>9.9</v>
      </c>
      <c r="N759">
        <v>136</v>
      </c>
      <c r="O759">
        <v>52</v>
      </c>
    </row>
    <row r="760" spans="1:15">
      <c r="A760" t="s">
        <v>659</v>
      </c>
      <c r="B760" t="s">
        <v>660</v>
      </c>
      <c r="C760" t="s">
        <v>646</v>
      </c>
      <c r="D760" t="s">
        <v>136</v>
      </c>
      <c r="E760">
        <v>2025</v>
      </c>
      <c r="F760">
        <v>6</v>
      </c>
      <c r="G760">
        <v>16</v>
      </c>
      <c r="H760">
        <v>8865</v>
      </c>
      <c r="I760">
        <v>0</v>
      </c>
      <c r="J760">
        <v>0</v>
      </c>
      <c r="K760">
        <v>147.80000000000001</v>
      </c>
      <c r="L760">
        <v>0</v>
      </c>
      <c r="M760">
        <v>9.1999999999999993</v>
      </c>
      <c r="N760">
        <v>128</v>
      </c>
      <c r="O760" s="1" t="s">
        <v>334</v>
      </c>
    </row>
    <row r="761" spans="1:15">
      <c r="A761" t="s">
        <v>659</v>
      </c>
      <c r="B761" t="s">
        <v>660</v>
      </c>
      <c r="C761" t="s">
        <v>646</v>
      </c>
      <c r="D761" t="s">
        <v>136</v>
      </c>
      <c r="E761">
        <v>2025</v>
      </c>
      <c r="F761">
        <v>7</v>
      </c>
      <c r="G761">
        <v>22</v>
      </c>
      <c r="H761">
        <v>13533</v>
      </c>
      <c r="I761">
        <v>0</v>
      </c>
      <c r="J761">
        <v>0</v>
      </c>
      <c r="K761">
        <v>225.6</v>
      </c>
      <c r="L761">
        <v>0</v>
      </c>
      <c r="M761">
        <v>10.3</v>
      </c>
      <c r="N761">
        <v>176</v>
      </c>
      <c r="O761" s="1" t="s">
        <v>661</v>
      </c>
    </row>
    <row r="762" spans="1:15">
      <c r="A762" t="s">
        <v>659</v>
      </c>
      <c r="B762" t="s">
        <v>660</v>
      </c>
      <c r="C762" t="s">
        <v>646</v>
      </c>
      <c r="D762" t="s">
        <v>136</v>
      </c>
      <c r="E762">
        <v>2025</v>
      </c>
      <c r="F762">
        <v>8</v>
      </c>
      <c r="G762">
        <v>16</v>
      </c>
      <c r="H762">
        <v>8073</v>
      </c>
      <c r="I762">
        <v>0</v>
      </c>
      <c r="J762">
        <v>0</v>
      </c>
      <c r="K762">
        <v>134.6</v>
      </c>
      <c r="L762">
        <v>0</v>
      </c>
      <c r="M762">
        <v>8.4</v>
      </c>
      <c r="N762">
        <v>128</v>
      </c>
      <c r="O762" s="1" t="s">
        <v>577</v>
      </c>
    </row>
    <row r="763" spans="1:15">
      <c r="A763" t="s">
        <v>662</v>
      </c>
      <c r="B763" t="s">
        <v>663</v>
      </c>
      <c r="C763" t="s">
        <v>664</v>
      </c>
      <c r="D763" t="s">
        <v>20</v>
      </c>
      <c r="E763">
        <v>2025</v>
      </c>
      <c r="F763">
        <v>6</v>
      </c>
      <c r="G763">
        <v>14</v>
      </c>
      <c r="H763">
        <v>7302</v>
      </c>
      <c r="I763">
        <v>0</v>
      </c>
      <c r="J763">
        <v>0</v>
      </c>
      <c r="K763">
        <v>121.7</v>
      </c>
      <c r="L763">
        <v>0</v>
      </c>
      <c r="M763">
        <v>8.6999999999999993</v>
      </c>
      <c r="N763">
        <v>112</v>
      </c>
      <c r="O763" s="1" t="s">
        <v>665</v>
      </c>
    </row>
    <row r="764" spans="1:15">
      <c r="A764" t="s">
        <v>662</v>
      </c>
      <c r="B764" t="s">
        <v>663</v>
      </c>
      <c r="C764" t="s">
        <v>664</v>
      </c>
      <c r="D764" t="s">
        <v>20</v>
      </c>
      <c r="E764">
        <v>2025</v>
      </c>
      <c r="F764">
        <v>7</v>
      </c>
      <c r="G764">
        <v>13</v>
      </c>
      <c r="H764">
        <v>6779</v>
      </c>
      <c r="I764">
        <v>0</v>
      </c>
      <c r="J764">
        <v>0</v>
      </c>
      <c r="K764">
        <v>113</v>
      </c>
      <c r="L764">
        <v>0</v>
      </c>
      <c r="M764">
        <v>8.6999999999999993</v>
      </c>
      <c r="N764">
        <v>104</v>
      </c>
      <c r="O764">
        <v>9</v>
      </c>
    </row>
    <row r="765" spans="1:15">
      <c r="A765" t="s">
        <v>662</v>
      </c>
      <c r="B765" t="s">
        <v>663</v>
      </c>
      <c r="C765" t="s">
        <v>664</v>
      </c>
      <c r="D765" t="s">
        <v>20</v>
      </c>
      <c r="E765">
        <v>2025</v>
      </c>
      <c r="F765">
        <v>8</v>
      </c>
      <c r="G765">
        <v>16</v>
      </c>
      <c r="H765">
        <v>7089</v>
      </c>
      <c r="I765">
        <v>0</v>
      </c>
      <c r="J765">
        <v>0</v>
      </c>
      <c r="K765">
        <v>118.2</v>
      </c>
      <c r="L765">
        <v>0</v>
      </c>
      <c r="M765">
        <v>7.4</v>
      </c>
      <c r="N765">
        <v>128</v>
      </c>
      <c r="O765">
        <v>-9.8000000000000007</v>
      </c>
    </row>
    <row r="766" spans="1:15">
      <c r="A766" t="s">
        <v>666</v>
      </c>
      <c r="B766" t="s">
        <v>667</v>
      </c>
      <c r="C766" t="s">
        <v>668</v>
      </c>
      <c r="D766" t="s">
        <v>20</v>
      </c>
      <c r="E766">
        <v>2025</v>
      </c>
      <c r="F766">
        <v>6</v>
      </c>
      <c r="G766">
        <v>16</v>
      </c>
      <c r="H766">
        <v>9574</v>
      </c>
      <c r="I766">
        <v>521</v>
      </c>
      <c r="J766">
        <v>0</v>
      </c>
      <c r="K766">
        <v>159.6</v>
      </c>
      <c r="L766">
        <v>8.6999999999999993</v>
      </c>
      <c r="M766">
        <v>10</v>
      </c>
      <c r="N766">
        <v>128</v>
      </c>
      <c r="O766" s="1" t="s">
        <v>402</v>
      </c>
    </row>
    <row r="767" spans="1:15">
      <c r="A767" t="s">
        <v>666</v>
      </c>
      <c r="B767" t="s">
        <v>667</v>
      </c>
      <c r="C767" t="s">
        <v>668</v>
      </c>
      <c r="D767" t="s">
        <v>20</v>
      </c>
      <c r="E767">
        <v>2025</v>
      </c>
      <c r="F767">
        <v>7</v>
      </c>
      <c r="G767">
        <v>17</v>
      </c>
      <c r="H767">
        <v>9908</v>
      </c>
      <c r="I767">
        <v>295</v>
      </c>
      <c r="J767">
        <v>0</v>
      </c>
      <c r="K767">
        <v>165.1</v>
      </c>
      <c r="L767">
        <v>4.9000000000000004</v>
      </c>
      <c r="M767">
        <v>9.6999999999999993</v>
      </c>
      <c r="N767">
        <v>136</v>
      </c>
      <c r="O767" s="1" t="s">
        <v>578</v>
      </c>
    </row>
    <row r="768" spans="1:15">
      <c r="A768" t="s">
        <v>666</v>
      </c>
      <c r="B768" t="s">
        <v>667</v>
      </c>
      <c r="C768" t="s">
        <v>668</v>
      </c>
      <c r="D768" t="s">
        <v>20</v>
      </c>
      <c r="E768">
        <v>2025</v>
      </c>
      <c r="F768">
        <v>8</v>
      </c>
      <c r="G768">
        <v>16</v>
      </c>
      <c r="H768">
        <v>8528</v>
      </c>
      <c r="I768">
        <v>299</v>
      </c>
      <c r="J768">
        <v>0</v>
      </c>
      <c r="K768">
        <v>142.1</v>
      </c>
      <c r="L768">
        <v>5</v>
      </c>
      <c r="M768">
        <v>8.9</v>
      </c>
      <c r="N768">
        <v>128</v>
      </c>
      <c r="O768" s="1" t="s">
        <v>669</v>
      </c>
    </row>
    <row r="769" spans="1:15">
      <c r="A769" t="s">
        <v>670</v>
      </c>
      <c r="B769" t="s">
        <v>671</v>
      </c>
      <c r="C769" t="s">
        <v>664</v>
      </c>
      <c r="D769" t="s">
        <v>20</v>
      </c>
      <c r="E769">
        <v>2025</v>
      </c>
      <c r="F769">
        <v>6</v>
      </c>
      <c r="G769">
        <v>13</v>
      </c>
      <c r="H769">
        <v>11672</v>
      </c>
      <c r="I769">
        <v>0</v>
      </c>
      <c r="J769">
        <v>2</v>
      </c>
      <c r="K769">
        <v>194.5</v>
      </c>
      <c r="L769">
        <v>0</v>
      </c>
      <c r="M769">
        <v>15</v>
      </c>
      <c r="N769">
        <v>88</v>
      </c>
      <c r="O769">
        <v>106.5</v>
      </c>
    </row>
    <row r="770" spans="1:15">
      <c r="A770" t="s">
        <v>670</v>
      </c>
      <c r="B770" t="s">
        <v>671</v>
      </c>
      <c r="C770" t="s">
        <v>664</v>
      </c>
      <c r="D770" t="s">
        <v>20</v>
      </c>
      <c r="E770">
        <v>2025</v>
      </c>
      <c r="F770">
        <v>7</v>
      </c>
      <c r="G770">
        <v>18</v>
      </c>
      <c r="H770">
        <v>10057</v>
      </c>
      <c r="I770">
        <v>0</v>
      </c>
      <c r="J770">
        <v>0</v>
      </c>
      <c r="K770">
        <v>167.6</v>
      </c>
      <c r="L770">
        <v>0</v>
      </c>
      <c r="M770">
        <v>9.3000000000000007</v>
      </c>
      <c r="N770">
        <v>144</v>
      </c>
      <c r="O770" s="1" t="s">
        <v>672</v>
      </c>
    </row>
    <row r="771" spans="1:15">
      <c r="A771" t="s">
        <v>670</v>
      </c>
      <c r="B771" t="s">
        <v>671</v>
      </c>
      <c r="C771" t="s">
        <v>664</v>
      </c>
      <c r="D771" t="s">
        <v>20</v>
      </c>
      <c r="E771">
        <v>2025</v>
      </c>
      <c r="F771">
        <v>8</v>
      </c>
      <c r="G771">
        <v>14</v>
      </c>
      <c r="H771">
        <v>7272</v>
      </c>
      <c r="I771">
        <v>0</v>
      </c>
      <c r="J771">
        <v>0</v>
      </c>
      <c r="K771">
        <v>121.2</v>
      </c>
      <c r="L771">
        <v>0</v>
      </c>
      <c r="M771">
        <v>8.6999999999999993</v>
      </c>
      <c r="N771">
        <v>112</v>
      </c>
      <c r="O771" s="1" t="s">
        <v>673</v>
      </c>
    </row>
    <row r="772" spans="1:15">
      <c r="A772" t="s">
        <v>674</v>
      </c>
      <c r="B772" t="s">
        <v>675</v>
      </c>
      <c r="C772" t="s">
        <v>668</v>
      </c>
      <c r="D772" t="s">
        <v>136</v>
      </c>
      <c r="E772">
        <v>2025</v>
      </c>
      <c r="F772">
        <v>6</v>
      </c>
      <c r="G772">
        <v>19</v>
      </c>
      <c r="H772">
        <v>10277</v>
      </c>
      <c r="I772">
        <v>132</v>
      </c>
      <c r="J772">
        <v>0</v>
      </c>
      <c r="K772">
        <v>171.3</v>
      </c>
      <c r="L772">
        <v>2.2000000000000002</v>
      </c>
      <c r="M772">
        <v>9</v>
      </c>
      <c r="N772">
        <v>152</v>
      </c>
      <c r="O772" s="1" t="s">
        <v>222</v>
      </c>
    </row>
    <row r="773" spans="1:15">
      <c r="A773" t="s">
        <v>674</v>
      </c>
      <c r="B773" t="s">
        <v>675</v>
      </c>
      <c r="C773" t="s">
        <v>668</v>
      </c>
      <c r="D773" t="s">
        <v>136</v>
      </c>
      <c r="E773">
        <v>2025</v>
      </c>
      <c r="F773">
        <v>7</v>
      </c>
      <c r="G773">
        <v>20</v>
      </c>
      <c r="H773">
        <v>10893</v>
      </c>
      <c r="I773">
        <v>0</v>
      </c>
      <c r="J773">
        <v>0</v>
      </c>
      <c r="K773">
        <v>181.6</v>
      </c>
      <c r="L773">
        <v>0</v>
      </c>
      <c r="M773">
        <v>9.1</v>
      </c>
      <c r="N773">
        <v>160</v>
      </c>
      <c r="O773" s="1" t="s">
        <v>676</v>
      </c>
    </row>
    <row r="774" spans="1:15">
      <c r="A774" t="s">
        <v>674</v>
      </c>
      <c r="B774" t="s">
        <v>675</v>
      </c>
      <c r="C774" t="s">
        <v>668</v>
      </c>
      <c r="D774" t="s">
        <v>136</v>
      </c>
      <c r="E774">
        <v>2025</v>
      </c>
      <c r="F774">
        <v>8</v>
      </c>
      <c r="G774">
        <v>17</v>
      </c>
      <c r="H774">
        <v>8101</v>
      </c>
      <c r="I774">
        <v>0</v>
      </c>
      <c r="J774">
        <v>0</v>
      </c>
      <c r="K774">
        <v>135</v>
      </c>
      <c r="L774">
        <v>0</v>
      </c>
      <c r="M774">
        <v>7.9</v>
      </c>
      <c r="N774">
        <v>136</v>
      </c>
      <c r="O774">
        <v>-1</v>
      </c>
    </row>
    <row r="775" spans="1:15">
      <c r="A775" t="s">
        <v>677</v>
      </c>
      <c r="B775" t="s">
        <v>678</v>
      </c>
      <c r="C775" t="s">
        <v>664</v>
      </c>
      <c r="D775" t="s">
        <v>136</v>
      </c>
      <c r="E775">
        <v>2025</v>
      </c>
      <c r="F775">
        <v>6</v>
      </c>
      <c r="G775">
        <v>25</v>
      </c>
      <c r="H775">
        <v>26651</v>
      </c>
      <c r="I775">
        <v>0</v>
      </c>
      <c r="J775">
        <v>6</v>
      </c>
      <c r="K775">
        <v>444.2</v>
      </c>
      <c r="L775">
        <v>0</v>
      </c>
      <c r="M775">
        <v>17.8</v>
      </c>
      <c r="N775">
        <v>152</v>
      </c>
      <c r="O775">
        <v>292.2</v>
      </c>
    </row>
    <row r="776" spans="1:15">
      <c r="A776" t="s">
        <v>677</v>
      </c>
      <c r="B776" t="s">
        <v>678</v>
      </c>
      <c r="C776" t="s">
        <v>664</v>
      </c>
      <c r="D776" t="s">
        <v>136</v>
      </c>
      <c r="E776">
        <v>2025</v>
      </c>
      <c r="F776">
        <v>7</v>
      </c>
      <c r="G776">
        <v>29</v>
      </c>
      <c r="H776">
        <v>30952</v>
      </c>
      <c r="I776">
        <v>0</v>
      </c>
      <c r="J776">
        <v>6</v>
      </c>
      <c r="K776">
        <v>515.9</v>
      </c>
      <c r="L776">
        <v>0</v>
      </c>
      <c r="M776">
        <v>17.8</v>
      </c>
      <c r="N776">
        <v>184</v>
      </c>
      <c r="O776">
        <v>331.9</v>
      </c>
    </row>
    <row r="777" spans="1:15">
      <c r="A777" t="s">
        <v>677</v>
      </c>
      <c r="B777" t="s">
        <v>678</v>
      </c>
      <c r="C777" t="s">
        <v>664</v>
      </c>
      <c r="D777" t="s">
        <v>136</v>
      </c>
      <c r="E777">
        <v>2025</v>
      </c>
      <c r="F777">
        <v>8</v>
      </c>
      <c r="G777">
        <v>19</v>
      </c>
      <c r="H777">
        <v>17226</v>
      </c>
      <c r="I777">
        <v>0</v>
      </c>
      <c r="J777">
        <v>2</v>
      </c>
      <c r="K777">
        <v>287.10000000000002</v>
      </c>
      <c r="L777">
        <v>0</v>
      </c>
      <c r="M777">
        <v>15.1</v>
      </c>
      <c r="N777">
        <v>136</v>
      </c>
      <c r="O777" s="1" t="s">
        <v>679</v>
      </c>
    </row>
    <row r="778" spans="1:15">
      <c r="A778" t="s">
        <v>680</v>
      </c>
      <c r="B778" t="s">
        <v>681</v>
      </c>
      <c r="C778" t="s">
        <v>682</v>
      </c>
      <c r="D778" t="s">
        <v>20</v>
      </c>
      <c r="E778">
        <v>2025</v>
      </c>
      <c r="F778">
        <v>6</v>
      </c>
      <c r="G778">
        <v>16</v>
      </c>
      <c r="H778">
        <v>10408</v>
      </c>
      <c r="I778">
        <v>1618</v>
      </c>
      <c r="J778">
        <v>0</v>
      </c>
      <c r="K778">
        <v>173.5</v>
      </c>
      <c r="L778">
        <v>27</v>
      </c>
      <c r="M778">
        <v>10.8</v>
      </c>
      <c r="N778">
        <v>128</v>
      </c>
      <c r="O778">
        <v>45.5</v>
      </c>
    </row>
    <row r="779" spans="1:15">
      <c r="A779" t="s">
        <v>680</v>
      </c>
      <c r="B779" t="s">
        <v>681</v>
      </c>
      <c r="C779" t="s">
        <v>682</v>
      </c>
      <c r="D779" t="s">
        <v>20</v>
      </c>
      <c r="E779">
        <v>2025</v>
      </c>
      <c r="F779">
        <v>7</v>
      </c>
      <c r="G779">
        <v>18</v>
      </c>
      <c r="H779">
        <v>14357</v>
      </c>
      <c r="I779">
        <v>1023</v>
      </c>
      <c r="J779">
        <v>0</v>
      </c>
      <c r="K779">
        <v>239.3</v>
      </c>
      <c r="L779">
        <v>17</v>
      </c>
      <c r="M779">
        <v>13.3</v>
      </c>
      <c r="N779">
        <v>144</v>
      </c>
      <c r="O779" s="1" t="s">
        <v>683</v>
      </c>
    </row>
    <row r="780" spans="1:15">
      <c r="A780" t="s">
        <v>680</v>
      </c>
      <c r="B780" t="s">
        <v>681</v>
      </c>
      <c r="C780" t="s">
        <v>682</v>
      </c>
      <c r="D780" t="s">
        <v>20</v>
      </c>
      <c r="E780">
        <v>2025</v>
      </c>
      <c r="F780">
        <v>8</v>
      </c>
      <c r="G780">
        <v>13</v>
      </c>
      <c r="H780">
        <v>6955</v>
      </c>
      <c r="I780">
        <v>480</v>
      </c>
      <c r="J780">
        <v>0</v>
      </c>
      <c r="K780">
        <v>115.9</v>
      </c>
      <c r="L780">
        <v>8</v>
      </c>
      <c r="M780">
        <v>8.9</v>
      </c>
      <c r="N780">
        <v>104</v>
      </c>
      <c r="O780" s="1" t="s">
        <v>36</v>
      </c>
    </row>
    <row r="781" spans="1:15">
      <c r="A781" t="s">
        <v>684</v>
      </c>
      <c r="B781" t="s">
        <v>685</v>
      </c>
      <c r="C781" t="s">
        <v>682</v>
      </c>
      <c r="D781" t="s">
        <v>136</v>
      </c>
      <c r="E781">
        <v>2025</v>
      </c>
      <c r="F781">
        <v>6</v>
      </c>
      <c r="G781">
        <v>18</v>
      </c>
      <c r="H781">
        <v>9215</v>
      </c>
      <c r="I781">
        <v>398</v>
      </c>
      <c r="J781">
        <v>0</v>
      </c>
      <c r="K781">
        <v>153.6</v>
      </c>
      <c r="L781">
        <v>6.6</v>
      </c>
      <c r="M781">
        <v>8.5</v>
      </c>
      <c r="N781">
        <v>144</v>
      </c>
      <c r="O781" s="1" t="s">
        <v>158</v>
      </c>
    </row>
    <row r="782" spans="1:15">
      <c r="A782" t="s">
        <v>684</v>
      </c>
      <c r="B782" t="s">
        <v>685</v>
      </c>
      <c r="C782" t="s">
        <v>682</v>
      </c>
      <c r="D782" t="s">
        <v>136</v>
      </c>
      <c r="E782">
        <v>2025</v>
      </c>
      <c r="F782">
        <v>7</v>
      </c>
      <c r="G782">
        <v>18</v>
      </c>
      <c r="H782">
        <v>9808</v>
      </c>
      <c r="I782">
        <v>639</v>
      </c>
      <c r="J782">
        <v>0</v>
      </c>
      <c r="K782">
        <v>163.5</v>
      </c>
      <c r="L782">
        <v>10.6</v>
      </c>
      <c r="M782">
        <v>9.1</v>
      </c>
      <c r="N782">
        <v>144</v>
      </c>
      <c r="O782">
        <v>19.5</v>
      </c>
    </row>
    <row r="783" spans="1:15">
      <c r="A783" t="s">
        <v>684</v>
      </c>
      <c r="B783" t="s">
        <v>685</v>
      </c>
      <c r="C783" t="s">
        <v>682</v>
      </c>
      <c r="D783" t="s">
        <v>136</v>
      </c>
      <c r="E783">
        <v>2025</v>
      </c>
      <c r="F783">
        <v>8</v>
      </c>
      <c r="G783">
        <v>14</v>
      </c>
      <c r="H783">
        <v>6358</v>
      </c>
      <c r="I783">
        <v>362</v>
      </c>
      <c r="J783">
        <v>0</v>
      </c>
      <c r="K783">
        <v>106</v>
      </c>
      <c r="L783">
        <v>6</v>
      </c>
      <c r="M783">
        <v>7.6</v>
      </c>
      <c r="N783">
        <v>112</v>
      </c>
      <c r="O783">
        <v>-6</v>
      </c>
    </row>
    <row r="784" spans="1:15">
      <c r="A784" t="s">
        <v>686</v>
      </c>
      <c r="B784" t="s">
        <v>687</v>
      </c>
      <c r="C784" t="s">
        <v>682</v>
      </c>
      <c r="D784" t="s">
        <v>136</v>
      </c>
      <c r="E784">
        <v>2025</v>
      </c>
      <c r="F784">
        <v>6</v>
      </c>
      <c r="G784">
        <v>19</v>
      </c>
      <c r="H784">
        <v>11045</v>
      </c>
      <c r="I784">
        <v>2022</v>
      </c>
      <c r="J784">
        <v>1</v>
      </c>
      <c r="K784">
        <v>184.1</v>
      </c>
      <c r="L784">
        <v>33.700000000000003</v>
      </c>
      <c r="M784">
        <v>9.6999999999999993</v>
      </c>
      <c r="N784">
        <v>144</v>
      </c>
      <c r="O784" s="1" t="s">
        <v>492</v>
      </c>
    </row>
    <row r="785" spans="1:15">
      <c r="A785" t="s">
        <v>686</v>
      </c>
      <c r="B785" t="s">
        <v>687</v>
      </c>
      <c r="C785" t="s">
        <v>682</v>
      </c>
      <c r="D785" t="s">
        <v>136</v>
      </c>
      <c r="E785">
        <v>2025</v>
      </c>
      <c r="F785">
        <v>7</v>
      </c>
      <c r="G785">
        <v>19</v>
      </c>
      <c r="H785">
        <v>10148</v>
      </c>
      <c r="I785">
        <v>979</v>
      </c>
      <c r="J785">
        <v>0</v>
      </c>
      <c r="K785">
        <v>169.1</v>
      </c>
      <c r="L785">
        <v>16.3</v>
      </c>
      <c r="M785">
        <v>8.9</v>
      </c>
      <c r="N785">
        <v>152</v>
      </c>
      <c r="O785" s="1" t="s">
        <v>688</v>
      </c>
    </row>
    <row r="786" spans="1:15">
      <c r="A786" t="s">
        <v>686</v>
      </c>
      <c r="B786" t="s">
        <v>687</v>
      </c>
      <c r="C786" t="s">
        <v>682</v>
      </c>
      <c r="D786" t="s">
        <v>136</v>
      </c>
      <c r="E786">
        <v>2025</v>
      </c>
      <c r="F786">
        <v>8</v>
      </c>
      <c r="G786">
        <v>15</v>
      </c>
      <c r="H786">
        <v>7825</v>
      </c>
      <c r="I786">
        <v>829</v>
      </c>
      <c r="J786">
        <v>0</v>
      </c>
      <c r="K786">
        <v>130.4</v>
      </c>
      <c r="L786">
        <v>13.8</v>
      </c>
      <c r="M786">
        <v>8.6999999999999993</v>
      </c>
      <c r="N786">
        <v>120</v>
      </c>
      <c r="O786" s="1" t="s">
        <v>335</v>
      </c>
    </row>
    <row r="787" spans="1:15">
      <c r="A787" t="s">
        <v>689</v>
      </c>
      <c r="B787" t="s">
        <v>690</v>
      </c>
      <c r="C787" t="s">
        <v>691</v>
      </c>
      <c r="D787" t="s">
        <v>20</v>
      </c>
      <c r="E787">
        <v>2025</v>
      </c>
      <c r="F787">
        <v>6</v>
      </c>
      <c r="G787">
        <v>9</v>
      </c>
      <c r="H787">
        <v>2868</v>
      </c>
      <c r="I787">
        <v>0</v>
      </c>
      <c r="J787">
        <v>0</v>
      </c>
      <c r="K787">
        <v>47.8</v>
      </c>
      <c r="L787">
        <v>0</v>
      </c>
      <c r="M787">
        <v>5.3</v>
      </c>
      <c r="N787">
        <v>72</v>
      </c>
      <c r="O787">
        <v>-24.2</v>
      </c>
    </row>
    <row r="788" spans="1:15">
      <c r="A788" t="s">
        <v>689</v>
      </c>
      <c r="B788" t="s">
        <v>690</v>
      </c>
      <c r="C788" t="s">
        <v>691</v>
      </c>
      <c r="D788" t="s">
        <v>20</v>
      </c>
      <c r="E788">
        <v>2025</v>
      </c>
      <c r="F788">
        <v>7</v>
      </c>
      <c r="G788">
        <v>10</v>
      </c>
      <c r="H788">
        <v>3973</v>
      </c>
      <c r="I788">
        <v>43</v>
      </c>
      <c r="J788">
        <v>0</v>
      </c>
      <c r="K788">
        <v>66.2</v>
      </c>
      <c r="L788">
        <v>0.7</v>
      </c>
      <c r="M788">
        <v>6.6</v>
      </c>
      <c r="N788">
        <v>80</v>
      </c>
      <c r="O788">
        <v>-13.8</v>
      </c>
    </row>
    <row r="789" spans="1:15">
      <c r="A789" t="s">
        <v>689</v>
      </c>
      <c r="B789" t="s">
        <v>690</v>
      </c>
      <c r="C789" t="s">
        <v>691</v>
      </c>
      <c r="D789" t="s">
        <v>20</v>
      </c>
      <c r="E789">
        <v>2025</v>
      </c>
      <c r="F789">
        <v>8</v>
      </c>
      <c r="G789">
        <v>6</v>
      </c>
      <c r="H789">
        <v>1827</v>
      </c>
      <c r="I789">
        <v>179</v>
      </c>
      <c r="J789">
        <v>0</v>
      </c>
      <c r="K789">
        <v>30.4</v>
      </c>
      <c r="L789">
        <v>3</v>
      </c>
      <c r="M789">
        <v>5.0999999999999996</v>
      </c>
      <c r="N789">
        <v>48</v>
      </c>
      <c r="O789">
        <v>-17.600000000000001</v>
      </c>
    </row>
    <row r="790" spans="1:15">
      <c r="A790" t="s">
        <v>692</v>
      </c>
      <c r="B790" t="s">
        <v>693</v>
      </c>
      <c r="C790" t="s">
        <v>691</v>
      </c>
      <c r="D790" t="s">
        <v>136</v>
      </c>
      <c r="E790">
        <v>2025</v>
      </c>
      <c r="F790">
        <v>6</v>
      </c>
      <c r="G790">
        <v>15</v>
      </c>
      <c r="H790">
        <v>5008</v>
      </c>
      <c r="I790">
        <v>0</v>
      </c>
      <c r="J790">
        <v>0</v>
      </c>
      <c r="K790">
        <v>83.5</v>
      </c>
      <c r="L790">
        <v>0</v>
      </c>
      <c r="M790">
        <v>5.6</v>
      </c>
      <c r="N790">
        <v>120</v>
      </c>
      <c r="O790">
        <v>-36.5</v>
      </c>
    </row>
    <row r="791" spans="1:15">
      <c r="A791" t="s">
        <v>692</v>
      </c>
      <c r="B791" t="s">
        <v>693</v>
      </c>
      <c r="C791" t="s">
        <v>691</v>
      </c>
      <c r="D791" t="s">
        <v>136</v>
      </c>
      <c r="E791">
        <v>2025</v>
      </c>
      <c r="F791">
        <v>7</v>
      </c>
      <c r="G791">
        <v>15</v>
      </c>
      <c r="H791">
        <v>6019</v>
      </c>
      <c r="I791">
        <v>168</v>
      </c>
      <c r="J791">
        <v>0</v>
      </c>
      <c r="K791">
        <v>100.3</v>
      </c>
      <c r="L791">
        <v>2.8</v>
      </c>
      <c r="M791">
        <v>6.7</v>
      </c>
      <c r="N791">
        <v>120</v>
      </c>
      <c r="O791">
        <v>-19.7</v>
      </c>
    </row>
    <row r="792" spans="1:15">
      <c r="A792" t="s">
        <v>692</v>
      </c>
      <c r="B792" t="s">
        <v>693</v>
      </c>
      <c r="C792" t="s">
        <v>691</v>
      </c>
      <c r="D792" t="s">
        <v>136</v>
      </c>
      <c r="E792">
        <v>2025</v>
      </c>
      <c r="F792">
        <v>8</v>
      </c>
      <c r="G792">
        <v>8</v>
      </c>
      <c r="H792">
        <v>2641</v>
      </c>
      <c r="I792">
        <v>94</v>
      </c>
      <c r="J792">
        <v>0</v>
      </c>
      <c r="K792">
        <v>44</v>
      </c>
      <c r="L792">
        <v>1.6</v>
      </c>
      <c r="M792">
        <v>5.5</v>
      </c>
      <c r="N792">
        <v>64</v>
      </c>
      <c r="O792">
        <v>-20</v>
      </c>
    </row>
    <row r="793" spans="1:15">
      <c r="A793" t="s">
        <v>694</v>
      </c>
      <c r="B793" t="s">
        <v>695</v>
      </c>
      <c r="C793" t="s">
        <v>696</v>
      </c>
      <c r="D793" t="s">
        <v>20</v>
      </c>
      <c r="E793">
        <v>2025</v>
      </c>
      <c r="F793">
        <v>6</v>
      </c>
      <c r="G793">
        <v>13</v>
      </c>
      <c r="H793">
        <v>7541</v>
      </c>
      <c r="I793">
        <v>277</v>
      </c>
      <c r="J793">
        <v>0</v>
      </c>
      <c r="K793">
        <v>125.7</v>
      </c>
      <c r="L793">
        <v>4.5999999999999996</v>
      </c>
      <c r="M793">
        <v>9.6999999999999993</v>
      </c>
      <c r="N793">
        <v>104</v>
      </c>
      <c r="O793" s="1" t="s">
        <v>697</v>
      </c>
    </row>
    <row r="794" spans="1:15">
      <c r="A794" t="s">
        <v>694</v>
      </c>
      <c r="B794" t="s">
        <v>695</v>
      </c>
      <c r="C794" t="s">
        <v>696</v>
      </c>
      <c r="D794" t="s">
        <v>20</v>
      </c>
      <c r="E794">
        <v>2025</v>
      </c>
      <c r="F794">
        <v>7</v>
      </c>
      <c r="G794">
        <v>16</v>
      </c>
      <c r="H794">
        <v>9780</v>
      </c>
      <c r="I794">
        <v>627</v>
      </c>
      <c r="J794">
        <v>0</v>
      </c>
      <c r="K794">
        <v>163</v>
      </c>
      <c r="L794">
        <v>10.4</v>
      </c>
      <c r="M794">
        <v>10.199999999999999</v>
      </c>
      <c r="N794">
        <v>128</v>
      </c>
      <c r="O794">
        <v>35</v>
      </c>
    </row>
    <row r="795" spans="1:15">
      <c r="A795" t="s">
        <v>694</v>
      </c>
      <c r="B795" t="s">
        <v>695</v>
      </c>
      <c r="C795" t="s">
        <v>696</v>
      </c>
      <c r="D795" t="s">
        <v>20</v>
      </c>
      <c r="E795">
        <v>2025</v>
      </c>
      <c r="F795">
        <v>8</v>
      </c>
      <c r="G795">
        <v>4</v>
      </c>
      <c r="H795">
        <v>2071</v>
      </c>
      <c r="I795">
        <v>0</v>
      </c>
      <c r="J795">
        <v>0</v>
      </c>
      <c r="K795">
        <v>34.5</v>
      </c>
      <c r="L795">
        <v>0</v>
      </c>
      <c r="M795">
        <v>8.6</v>
      </c>
      <c r="N795">
        <v>32</v>
      </c>
      <c r="O795">
        <v>2.5</v>
      </c>
    </row>
    <row r="796" spans="1:15">
      <c r="A796" t="s">
        <v>698</v>
      </c>
      <c r="B796" t="s">
        <v>699</v>
      </c>
      <c r="C796" t="s">
        <v>700</v>
      </c>
      <c r="D796" t="s">
        <v>20</v>
      </c>
      <c r="E796">
        <v>2025</v>
      </c>
      <c r="F796">
        <v>6</v>
      </c>
      <c r="G796">
        <v>19</v>
      </c>
      <c r="H796">
        <v>13017</v>
      </c>
      <c r="I796">
        <v>1837</v>
      </c>
      <c r="J796">
        <v>0</v>
      </c>
      <c r="K796">
        <v>217</v>
      </c>
      <c r="L796">
        <v>30.6</v>
      </c>
      <c r="M796">
        <v>11.4</v>
      </c>
      <c r="N796">
        <v>152</v>
      </c>
      <c r="O796">
        <v>65</v>
      </c>
    </row>
    <row r="797" spans="1:15">
      <c r="A797" t="s">
        <v>698</v>
      </c>
      <c r="B797" t="s">
        <v>699</v>
      </c>
      <c r="C797" t="s">
        <v>700</v>
      </c>
      <c r="D797" t="s">
        <v>20</v>
      </c>
      <c r="E797">
        <v>2025</v>
      </c>
      <c r="F797">
        <v>7</v>
      </c>
      <c r="G797">
        <v>19</v>
      </c>
      <c r="H797">
        <v>11988</v>
      </c>
      <c r="I797">
        <v>965</v>
      </c>
      <c r="J797">
        <v>0</v>
      </c>
      <c r="K797">
        <v>199.8</v>
      </c>
      <c r="L797">
        <v>16.100000000000001</v>
      </c>
      <c r="M797">
        <v>10.5</v>
      </c>
      <c r="N797">
        <v>152</v>
      </c>
      <c r="O797" s="1" t="s">
        <v>121</v>
      </c>
    </row>
    <row r="798" spans="1:15">
      <c r="A798" t="s">
        <v>698</v>
      </c>
      <c r="B798" t="s">
        <v>699</v>
      </c>
      <c r="C798" t="s">
        <v>700</v>
      </c>
      <c r="D798" t="s">
        <v>20</v>
      </c>
      <c r="E798">
        <v>2025</v>
      </c>
      <c r="F798">
        <v>8</v>
      </c>
      <c r="G798">
        <v>16</v>
      </c>
      <c r="H798">
        <v>7294</v>
      </c>
      <c r="I798">
        <v>120</v>
      </c>
      <c r="J798">
        <v>0</v>
      </c>
      <c r="K798">
        <v>121.6</v>
      </c>
      <c r="L798">
        <v>2</v>
      </c>
      <c r="M798">
        <v>7.6</v>
      </c>
      <c r="N798">
        <v>128</v>
      </c>
      <c r="O798">
        <v>-6.4</v>
      </c>
    </row>
    <row r="799" spans="1:15">
      <c r="A799" t="s">
        <v>701</v>
      </c>
      <c r="B799" t="s">
        <v>702</v>
      </c>
      <c r="C799" t="s">
        <v>700</v>
      </c>
      <c r="D799" t="s">
        <v>20</v>
      </c>
      <c r="E799">
        <v>2025</v>
      </c>
      <c r="F799">
        <v>6</v>
      </c>
      <c r="G799">
        <v>19</v>
      </c>
      <c r="H799">
        <v>10282</v>
      </c>
      <c r="I799">
        <v>63</v>
      </c>
      <c r="J799">
        <v>2</v>
      </c>
      <c r="K799">
        <v>171.4</v>
      </c>
      <c r="L799">
        <v>1</v>
      </c>
      <c r="M799">
        <v>9</v>
      </c>
      <c r="N799">
        <v>136</v>
      </c>
      <c r="O799" s="1" t="s">
        <v>357</v>
      </c>
    </row>
    <row r="800" spans="1:15">
      <c r="A800" t="s">
        <v>701</v>
      </c>
      <c r="B800" t="s">
        <v>702</v>
      </c>
      <c r="C800" t="s">
        <v>700</v>
      </c>
      <c r="D800" t="s">
        <v>20</v>
      </c>
      <c r="E800">
        <v>2025</v>
      </c>
      <c r="F800">
        <v>7</v>
      </c>
      <c r="G800">
        <v>18</v>
      </c>
      <c r="H800">
        <v>10437</v>
      </c>
      <c r="I800">
        <v>0</v>
      </c>
      <c r="J800">
        <v>0</v>
      </c>
      <c r="K800">
        <v>174</v>
      </c>
      <c r="L800">
        <v>0</v>
      </c>
      <c r="M800">
        <v>9.6999999999999993</v>
      </c>
      <c r="N800">
        <v>144</v>
      </c>
      <c r="O800">
        <v>30</v>
      </c>
    </row>
    <row r="801" spans="1:15">
      <c r="A801" t="s">
        <v>701</v>
      </c>
      <c r="B801" t="s">
        <v>702</v>
      </c>
      <c r="C801" t="s">
        <v>700</v>
      </c>
      <c r="D801" t="s">
        <v>20</v>
      </c>
      <c r="E801">
        <v>2025</v>
      </c>
      <c r="F801">
        <v>8</v>
      </c>
      <c r="G801">
        <v>16</v>
      </c>
      <c r="H801">
        <v>8550</v>
      </c>
      <c r="I801">
        <v>0</v>
      </c>
      <c r="J801">
        <v>0</v>
      </c>
      <c r="K801">
        <v>142.5</v>
      </c>
      <c r="L801">
        <v>0</v>
      </c>
      <c r="M801">
        <v>8.9</v>
      </c>
      <c r="N801">
        <v>128</v>
      </c>
      <c r="O801">
        <v>14.5</v>
      </c>
    </row>
    <row r="802" spans="1:15">
      <c r="A802" t="s">
        <v>703</v>
      </c>
      <c r="B802" t="s">
        <v>704</v>
      </c>
      <c r="C802" t="s">
        <v>705</v>
      </c>
      <c r="D802" t="s">
        <v>20</v>
      </c>
      <c r="E802">
        <v>2025</v>
      </c>
      <c r="F802">
        <v>6</v>
      </c>
      <c r="G802">
        <v>20</v>
      </c>
      <c r="H802">
        <v>13978</v>
      </c>
      <c r="I802">
        <v>687</v>
      </c>
      <c r="J802">
        <v>2</v>
      </c>
      <c r="K802">
        <v>233</v>
      </c>
      <c r="L802">
        <v>11.4</v>
      </c>
      <c r="M802">
        <v>11.6</v>
      </c>
      <c r="N802">
        <v>144</v>
      </c>
      <c r="O802">
        <v>89</v>
      </c>
    </row>
    <row r="803" spans="1:15">
      <c r="A803" t="s">
        <v>703</v>
      </c>
      <c r="B803" t="s">
        <v>704</v>
      </c>
      <c r="C803" t="s">
        <v>705</v>
      </c>
      <c r="D803" t="s">
        <v>20</v>
      </c>
      <c r="E803">
        <v>2025</v>
      </c>
      <c r="F803">
        <v>7</v>
      </c>
      <c r="G803">
        <v>19</v>
      </c>
      <c r="H803">
        <v>14651</v>
      </c>
      <c r="I803">
        <v>657</v>
      </c>
      <c r="J803">
        <v>0</v>
      </c>
      <c r="K803">
        <v>244.2</v>
      </c>
      <c r="L803">
        <v>11</v>
      </c>
      <c r="M803">
        <v>12.9</v>
      </c>
      <c r="N803">
        <v>152</v>
      </c>
      <c r="O803" s="1" t="s">
        <v>706</v>
      </c>
    </row>
    <row r="804" spans="1:15">
      <c r="A804" t="s">
        <v>703</v>
      </c>
      <c r="B804" t="s">
        <v>704</v>
      </c>
      <c r="C804" t="s">
        <v>705</v>
      </c>
      <c r="D804" t="s">
        <v>20</v>
      </c>
      <c r="E804">
        <v>2025</v>
      </c>
      <c r="F804">
        <v>8</v>
      </c>
      <c r="G804">
        <v>16</v>
      </c>
      <c r="H804">
        <v>9117</v>
      </c>
      <c r="I804">
        <v>317</v>
      </c>
      <c r="J804">
        <v>0</v>
      </c>
      <c r="K804">
        <v>152</v>
      </c>
      <c r="L804">
        <v>5.3</v>
      </c>
      <c r="M804">
        <v>9.5</v>
      </c>
      <c r="N804">
        <v>128</v>
      </c>
      <c r="O804">
        <v>24</v>
      </c>
    </row>
    <row r="805" spans="1:15">
      <c r="A805" t="s">
        <v>707</v>
      </c>
      <c r="B805" t="s">
        <v>708</v>
      </c>
      <c r="C805" t="s">
        <v>709</v>
      </c>
      <c r="D805" t="s">
        <v>20</v>
      </c>
      <c r="E805">
        <v>2025</v>
      </c>
      <c r="F805">
        <v>6</v>
      </c>
      <c r="G805">
        <v>18</v>
      </c>
      <c r="H805">
        <v>9274</v>
      </c>
      <c r="I805">
        <v>0</v>
      </c>
      <c r="J805">
        <v>0</v>
      </c>
      <c r="K805">
        <v>154.6</v>
      </c>
      <c r="L805">
        <v>0</v>
      </c>
      <c r="M805">
        <v>8.6</v>
      </c>
      <c r="N805">
        <v>144</v>
      </c>
      <c r="O805" s="1" t="s">
        <v>580</v>
      </c>
    </row>
    <row r="806" spans="1:15">
      <c r="A806" t="s">
        <v>707</v>
      </c>
      <c r="B806" t="s">
        <v>708</v>
      </c>
      <c r="C806" t="s">
        <v>709</v>
      </c>
      <c r="D806" t="s">
        <v>20</v>
      </c>
      <c r="E806">
        <v>2025</v>
      </c>
      <c r="F806">
        <v>7</v>
      </c>
      <c r="G806">
        <v>25</v>
      </c>
      <c r="H806">
        <v>14569</v>
      </c>
      <c r="I806">
        <v>0</v>
      </c>
      <c r="J806">
        <v>3</v>
      </c>
      <c r="K806">
        <v>242.8</v>
      </c>
      <c r="L806">
        <v>0</v>
      </c>
      <c r="M806">
        <v>9.6999999999999993</v>
      </c>
      <c r="N806">
        <v>176</v>
      </c>
      <c r="O806" s="1" t="s">
        <v>710</v>
      </c>
    </row>
    <row r="807" spans="1:15">
      <c r="A807" t="s">
        <v>707</v>
      </c>
      <c r="B807" t="s">
        <v>708</v>
      </c>
      <c r="C807" t="s">
        <v>709</v>
      </c>
      <c r="D807" t="s">
        <v>20</v>
      </c>
      <c r="E807">
        <v>2025</v>
      </c>
      <c r="F807">
        <v>8</v>
      </c>
      <c r="G807">
        <v>13</v>
      </c>
      <c r="H807">
        <v>6861</v>
      </c>
      <c r="I807">
        <v>58</v>
      </c>
      <c r="J807">
        <v>1</v>
      </c>
      <c r="K807">
        <v>114.4</v>
      </c>
      <c r="L807">
        <v>1</v>
      </c>
      <c r="M807">
        <v>8.8000000000000007</v>
      </c>
      <c r="N807">
        <v>96</v>
      </c>
      <c r="O807" s="1" t="s">
        <v>478</v>
      </c>
    </row>
    <row r="808" spans="1:15">
      <c r="A808" t="s">
        <v>711</v>
      </c>
      <c r="B808" t="s">
        <v>712</v>
      </c>
      <c r="C808" t="s">
        <v>713</v>
      </c>
      <c r="D808" t="s">
        <v>20</v>
      </c>
      <c r="E808">
        <v>2025</v>
      </c>
      <c r="F808">
        <v>6</v>
      </c>
      <c r="G808">
        <v>21</v>
      </c>
      <c r="H808">
        <v>11700</v>
      </c>
      <c r="I808">
        <v>0</v>
      </c>
      <c r="J808">
        <v>3</v>
      </c>
      <c r="K808">
        <v>195</v>
      </c>
      <c r="L808">
        <v>0</v>
      </c>
      <c r="M808">
        <v>9.3000000000000007</v>
      </c>
      <c r="N808">
        <v>144</v>
      </c>
      <c r="O808">
        <v>51</v>
      </c>
    </row>
    <row r="809" spans="1:15">
      <c r="A809" t="s">
        <v>711</v>
      </c>
      <c r="B809" t="s">
        <v>712</v>
      </c>
      <c r="C809" t="s">
        <v>713</v>
      </c>
      <c r="D809" t="s">
        <v>20</v>
      </c>
      <c r="E809">
        <v>2025</v>
      </c>
      <c r="F809">
        <v>7</v>
      </c>
      <c r="G809">
        <v>26</v>
      </c>
      <c r="H809">
        <v>14066</v>
      </c>
      <c r="I809">
        <v>0</v>
      </c>
      <c r="J809">
        <v>3</v>
      </c>
      <c r="K809">
        <v>234.4</v>
      </c>
      <c r="L809">
        <v>0</v>
      </c>
      <c r="M809">
        <v>9</v>
      </c>
      <c r="N809">
        <v>184</v>
      </c>
      <c r="O809" s="1" t="s">
        <v>543</v>
      </c>
    </row>
    <row r="810" spans="1:15">
      <c r="A810" t="s">
        <v>711</v>
      </c>
      <c r="B810" t="s">
        <v>712</v>
      </c>
      <c r="C810" t="s">
        <v>713</v>
      </c>
      <c r="D810" t="s">
        <v>20</v>
      </c>
      <c r="E810">
        <v>2025</v>
      </c>
      <c r="F810">
        <v>8</v>
      </c>
      <c r="G810">
        <v>15</v>
      </c>
      <c r="H810">
        <v>8712</v>
      </c>
      <c r="I810">
        <v>0</v>
      </c>
      <c r="J810">
        <v>1</v>
      </c>
      <c r="K810">
        <v>145.19999999999999</v>
      </c>
      <c r="L810">
        <v>0</v>
      </c>
      <c r="M810">
        <v>9.6999999999999993</v>
      </c>
      <c r="N810">
        <v>112</v>
      </c>
      <c r="O810" s="1" t="s">
        <v>714</v>
      </c>
    </row>
    <row r="811" spans="1:15">
      <c r="A811" t="s">
        <v>715</v>
      </c>
      <c r="B811" t="s">
        <v>716</v>
      </c>
      <c r="C811" t="s">
        <v>709</v>
      </c>
      <c r="D811" t="s">
        <v>20</v>
      </c>
      <c r="E811">
        <v>2025</v>
      </c>
      <c r="F811">
        <v>6</v>
      </c>
      <c r="G811">
        <v>22</v>
      </c>
      <c r="H811">
        <v>22802</v>
      </c>
      <c r="I811">
        <v>0</v>
      </c>
      <c r="J811">
        <v>3</v>
      </c>
      <c r="K811">
        <v>380</v>
      </c>
      <c r="L811">
        <v>0</v>
      </c>
      <c r="M811">
        <v>17.3</v>
      </c>
      <c r="N811">
        <v>152</v>
      </c>
      <c r="O811">
        <v>228</v>
      </c>
    </row>
    <row r="812" spans="1:15">
      <c r="A812" t="s">
        <v>715</v>
      </c>
      <c r="B812" t="s">
        <v>716</v>
      </c>
      <c r="C812" t="s">
        <v>709</v>
      </c>
      <c r="D812" t="s">
        <v>20</v>
      </c>
      <c r="E812">
        <v>2025</v>
      </c>
      <c r="F812">
        <v>7</v>
      </c>
      <c r="G812">
        <v>20</v>
      </c>
      <c r="H812">
        <v>13779</v>
      </c>
      <c r="I812">
        <v>0</v>
      </c>
      <c r="J812">
        <v>2</v>
      </c>
      <c r="K812">
        <v>229.6</v>
      </c>
      <c r="L812">
        <v>0</v>
      </c>
      <c r="M812">
        <v>11.5</v>
      </c>
      <c r="N812">
        <v>144</v>
      </c>
      <c r="O812">
        <v>85.6</v>
      </c>
    </row>
    <row r="813" spans="1:15">
      <c r="A813" t="s">
        <v>715</v>
      </c>
      <c r="B813" t="s">
        <v>716</v>
      </c>
      <c r="C813" t="s">
        <v>709</v>
      </c>
      <c r="D813" t="s">
        <v>20</v>
      </c>
      <c r="E813">
        <v>2025</v>
      </c>
      <c r="F813">
        <v>8</v>
      </c>
      <c r="G813">
        <v>17</v>
      </c>
      <c r="H813">
        <v>9343</v>
      </c>
      <c r="I813">
        <v>0</v>
      </c>
      <c r="J813">
        <v>0</v>
      </c>
      <c r="K813">
        <v>155.69999999999999</v>
      </c>
      <c r="L813">
        <v>0</v>
      </c>
      <c r="M813">
        <v>9.1999999999999993</v>
      </c>
      <c r="N813">
        <v>136</v>
      </c>
      <c r="O813" s="1" t="s">
        <v>326</v>
      </c>
    </row>
    <row r="814" spans="1:15">
      <c r="A814" t="s">
        <v>717</v>
      </c>
      <c r="B814" t="s">
        <v>718</v>
      </c>
      <c r="C814" t="s">
        <v>709</v>
      </c>
      <c r="D814" t="s">
        <v>136</v>
      </c>
      <c r="E814">
        <v>2025</v>
      </c>
      <c r="F814">
        <v>6</v>
      </c>
      <c r="G814">
        <v>20</v>
      </c>
      <c r="H814">
        <v>15191</v>
      </c>
      <c r="I814">
        <v>0</v>
      </c>
      <c r="J814">
        <v>0</v>
      </c>
      <c r="K814">
        <v>253.2</v>
      </c>
      <c r="L814">
        <v>0</v>
      </c>
      <c r="M814">
        <v>12.7</v>
      </c>
      <c r="N814">
        <v>160</v>
      </c>
      <c r="O814" s="1" t="s">
        <v>719</v>
      </c>
    </row>
    <row r="815" spans="1:15">
      <c r="A815" t="s">
        <v>717</v>
      </c>
      <c r="B815" t="s">
        <v>718</v>
      </c>
      <c r="C815" t="s">
        <v>709</v>
      </c>
      <c r="D815" t="s">
        <v>136</v>
      </c>
      <c r="E815">
        <v>2025</v>
      </c>
      <c r="F815">
        <v>7</v>
      </c>
      <c r="G815">
        <v>25</v>
      </c>
      <c r="H815">
        <v>15931</v>
      </c>
      <c r="I815">
        <v>0</v>
      </c>
      <c r="J815">
        <v>3</v>
      </c>
      <c r="K815">
        <v>265.5</v>
      </c>
      <c r="L815">
        <v>0</v>
      </c>
      <c r="M815">
        <v>10.6</v>
      </c>
      <c r="N815">
        <v>176</v>
      </c>
      <c r="O815">
        <v>89.5</v>
      </c>
    </row>
    <row r="816" spans="1:15">
      <c r="A816" t="s">
        <v>717</v>
      </c>
      <c r="B816" t="s">
        <v>718</v>
      </c>
      <c r="C816" t="s">
        <v>709</v>
      </c>
      <c r="D816" t="s">
        <v>136</v>
      </c>
      <c r="E816">
        <v>2025</v>
      </c>
      <c r="F816">
        <v>8</v>
      </c>
      <c r="G816">
        <v>16</v>
      </c>
      <c r="H816">
        <v>10895</v>
      </c>
      <c r="I816">
        <v>0</v>
      </c>
      <c r="J816">
        <v>1</v>
      </c>
      <c r="K816">
        <v>181.6</v>
      </c>
      <c r="L816">
        <v>0</v>
      </c>
      <c r="M816">
        <v>11.4</v>
      </c>
      <c r="N816">
        <v>120</v>
      </c>
      <c r="O816" s="1" t="s">
        <v>720</v>
      </c>
    </row>
    <row r="817" spans="1:15">
      <c r="A817" t="s">
        <v>721</v>
      </c>
      <c r="B817" t="s">
        <v>722</v>
      </c>
      <c r="C817" t="s">
        <v>709</v>
      </c>
      <c r="D817" t="s">
        <v>136</v>
      </c>
      <c r="E817">
        <v>2025</v>
      </c>
      <c r="F817">
        <v>6</v>
      </c>
      <c r="G817">
        <v>20</v>
      </c>
      <c r="H817">
        <v>22124</v>
      </c>
      <c r="I817">
        <v>0</v>
      </c>
      <c r="J817">
        <v>3</v>
      </c>
      <c r="K817">
        <v>368.7</v>
      </c>
      <c r="L817">
        <v>0</v>
      </c>
      <c r="M817">
        <v>18.399999999999999</v>
      </c>
      <c r="N817">
        <v>136</v>
      </c>
      <c r="O817">
        <v>232.7</v>
      </c>
    </row>
    <row r="818" spans="1:15">
      <c r="A818" t="s">
        <v>721</v>
      </c>
      <c r="B818" t="s">
        <v>722</v>
      </c>
      <c r="C818" t="s">
        <v>709</v>
      </c>
      <c r="D818" t="s">
        <v>136</v>
      </c>
      <c r="E818">
        <v>2025</v>
      </c>
      <c r="F818">
        <v>7</v>
      </c>
      <c r="G818">
        <v>25</v>
      </c>
      <c r="H818">
        <v>30884</v>
      </c>
      <c r="I818">
        <v>0</v>
      </c>
      <c r="J818">
        <v>5</v>
      </c>
      <c r="K818">
        <v>514.70000000000005</v>
      </c>
      <c r="L818">
        <v>0</v>
      </c>
      <c r="M818">
        <v>20.6</v>
      </c>
      <c r="N818">
        <v>160</v>
      </c>
      <c r="O818" s="1" t="s">
        <v>723</v>
      </c>
    </row>
    <row r="819" spans="1:15">
      <c r="A819" t="s">
        <v>721</v>
      </c>
      <c r="B819" t="s">
        <v>722</v>
      </c>
      <c r="C819" t="s">
        <v>709</v>
      </c>
      <c r="D819" t="s">
        <v>136</v>
      </c>
      <c r="E819">
        <v>2025</v>
      </c>
      <c r="F819">
        <v>8</v>
      </c>
      <c r="G819">
        <v>16</v>
      </c>
      <c r="H819">
        <v>21824</v>
      </c>
      <c r="I819">
        <v>0</v>
      </c>
      <c r="J819">
        <v>4</v>
      </c>
      <c r="K819">
        <v>363.7</v>
      </c>
      <c r="L819">
        <v>0</v>
      </c>
      <c r="M819">
        <v>22.7</v>
      </c>
      <c r="N819">
        <v>96</v>
      </c>
      <c r="O819">
        <v>267.7</v>
      </c>
    </row>
    <row r="820" spans="1:15">
      <c r="A820" t="s">
        <v>724</v>
      </c>
      <c r="B820" t="s">
        <v>725</v>
      </c>
      <c r="C820" t="s">
        <v>726</v>
      </c>
      <c r="D820" t="s">
        <v>20</v>
      </c>
      <c r="E820">
        <v>2025</v>
      </c>
      <c r="F820">
        <v>6</v>
      </c>
      <c r="G820">
        <v>19</v>
      </c>
      <c r="H820">
        <v>11377</v>
      </c>
      <c r="I820">
        <v>1139</v>
      </c>
      <c r="J820">
        <v>0</v>
      </c>
      <c r="K820">
        <v>189.6</v>
      </c>
      <c r="L820">
        <v>19</v>
      </c>
      <c r="M820">
        <v>10</v>
      </c>
      <c r="N820">
        <v>152</v>
      </c>
      <c r="O820" s="1" t="s">
        <v>727</v>
      </c>
    </row>
    <row r="821" spans="1:15">
      <c r="A821" t="s">
        <v>724</v>
      </c>
      <c r="B821" t="s">
        <v>725</v>
      </c>
      <c r="C821" t="s">
        <v>726</v>
      </c>
      <c r="D821" t="s">
        <v>20</v>
      </c>
      <c r="E821">
        <v>2025</v>
      </c>
      <c r="F821">
        <v>7</v>
      </c>
      <c r="G821">
        <v>18</v>
      </c>
      <c r="H821">
        <v>11349</v>
      </c>
      <c r="I821">
        <v>972</v>
      </c>
      <c r="J821">
        <v>0</v>
      </c>
      <c r="K821">
        <v>189.2</v>
      </c>
      <c r="L821">
        <v>16.2</v>
      </c>
      <c r="M821">
        <v>10.5</v>
      </c>
      <c r="N821">
        <v>144</v>
      </c>
      <c r="O821" s="1" t="s">
        <v>462</v>
      </c>
    </row>
    <row r="822" spans="1:15">
      <c r="A822" t="s">
        <v>724</v>
      </c>
      <c r="B822" t="s">
        <v>725</v>
      </c>
      <c r="C822" t="s">
        <v>726</v>
      </c>
      <c r="D822" t="s">
        <v>20</v>
      </c>
      <c r="E822">
        <v>2025</v>
      </c>
      <c r="F822">
        <v>8</v>
      </c>
      <c r="G822">
        <v>16</v>
      </c>
      <c r="H822">
        <v>9824</v>
      </c>
      <c r="I822">
        <v>921</v>
      </c>
      <c r="J822">
        <v>0</v>
      </c>
      <c r="K822">
        <v>163.69999999999999</v>
      </c>
      <c r="L822">
        <v>15.4</v>
      </c>
      <c r="M822">
        <v>10.199999999999999</v>
      </c>
      <c r="N822">
        <v>128</v>
      </c>
      <c r="O822" s="1" t="s">
        <v>69</v>
      </c>
    </row>
    <row r="823" spans="1:15">
      <c r="A823" t="s">
        <v>728</v>
      </c>
      <c r="B823" t="s">
        <v>729</v>
      </c>
      <c r="C823" t="s">
        <v>730</v>
      </c>
      <c r="D823" t="s">
        <v>20</v>
      </c>
      <c r="E823">
        <v>2025</v>
      </c>
      <c r="F823">
        <v>6</v>
      </c>
      <c r="G823">
        <v>12</v>
      </c>
      <c r="H823">
        <v>6354</v>
      </c>
      <c r="I823">
        <v>0</v>
      </c>
      <c r="J823">
        <v>0</v>
      </c>
      <c r="K823">
        <v>105.9</v>
      </c>
      <c r="L823">
        <v>0</v>
      </c>
      <c r="M823">
        <v>8.8000000000000007</v>
      </c>
      <c r="N823">
        <v>96</v>
      </c>
      <c r="O823" s="1" t="s">
        <v>514</v>
      </c>
    </row>
    <row r="824" spans="1:15">
      <c r="A824" t="s">
        <v>728</v>
      </c>
      <c r="B824" t="s">
        <v>729</v>
      </c>
      <c r="C824" t="s">
        <v>730</v>
      </c>
      <c r="D824" t="s">
        <v>20</v>
      </c>
      <c r="E824">
        <v>2025</v>
      </c>
      <c r="F824">
        <v>7</v>
      </c>
      <c r="G824">
        <v>21</v>
      </c>
      <c r="H824">
        <v>11225</v>
      </c>
      <c r="I824">
        <v>449</v>
      </c>
      <c r="J824">
        <v>0</v>
      </c>
      <c r="K824">
        <v>187.1</v>
      </c>
      <c r="L824">
        <v>7.5</v>
      </c>
      <c r="M824">
        <v>8.9</v>
      </c>
      <c r="N824">
        <v>168</v>
      </c>
      <c r="O824" s="1" t="s">
        <v>247</v>
      </c>
    </row>
    <row r="825" spans="1:15">
      <c r="A825" t="s">
        <v>728</v>
      </c>
      <c r="B825" t="s">
        <v>729</v>
      </c>
      <c r="C825" t="s">
        <v>730</v>
      </c>
      <c r="D825" t="s">
        <v>20</v>
      </c>
      <c r="E825">
        <v>2025</v>
      </c>
      <c r="F825">
        <v>8</v>
      </c>
      <c r="G825">
        <v>13</v>
      </c>
      <c r="H825">
        <v>6578</v>
      </c>
      <c r="I825">
        <v>0</v>
      </c>
      <c r="J825">
        <v>0</v>
      </c>
      <c r="K825">
        <v>109.6</v>
      </c>
      <c r="L825">
        <v>0</v>
      </c>
      <c r="M825">
        <v>8.4</v>
      </c>
      <c r="N825">
        <v>104</v>
      </c>
      <c r="O825" s="1" t="s">
        <v>303</v>
      </c>
    </row>
    <row r="826" spans="1:15">
      <c r="A826" t="s">
        <v>731</v>
      </c>
      <c r="B826" t="s">
        <v>732</v>
      </c>
      <c r="C826" t="s">
        <v>733</v>
      </c>
      <c r="D826" t="s">
        <v>20</v>
      </c>
      <c r="E826">
        <v>2025</v>
      </c>
      <c r="F826">
        <v>6</v>
      </c>
      <c r="G826">
        <v>18</v>
      </c>
      <c r="H826">
        <v>9855</v>
      </c>
      <c r="I826">
        <v>70</v>
      </c>
      <c r="J826">
        <v>0</v>
      </c>
      <c r="K826">
        <v>164.2</v>
      </c>
      <c r="L826">
        <v>1.2</v>
      </c>
      <c r="M826">
        <v>9.1</v>
      </c>
      <c r="N826">
        <v>144</v>
      </c>
      <c r="O826" s="1" t="s">
        <v>734</v>
      </c>
    </row>
    <row r="827" spans="1:15">
      <c r="A827" t="s">
        <v>731</v>
      </c>
      <c r="B827" t="s">
        <v>732</v>
      </c>
      <c r="C827" t="s">
        <v>733</v>
      </c>
      <c r="D827" t="s">
        <v>20</v>
      </c>
      <c r="E827">
        <v>2025</v>
      </c>
      <c r="F827">
        <v>7</v>
      </c>
      <c r="G827">
        <v>21</v>
      </c>
      <c r="H827">
        <v>10100</v>
      </c>
      <c r="I827">
        <v>28</v>
      </c>
      <c r="J827">
        <v>0</v>
      </c>
      <c r="K827">
        <v>168.3</v>
      </c>
      <c r="L827">
        <v>0.5</v>
      </c>
      <c r="M827">
        <v>8</v>
      </c>
      <c r="N827">
        <v>168</v>
      </c>
      <c r="O827" s="1" t="s">
        <v>735</v>
      </c>
    </row>
    <row r="828" spans="1:15">
      <c r="A828" t="s">
        <v>731</v>
      </c>
      <c r="B828" t="s">
        <v>732</v>
      </c>
      <c r="C828" t="s">
        <v>733</v>
      </c>
      <c r="D828" t="s">
        <v>20</v>
      </c>
      <c r="E828">
        <v>2025</v>
      </c>
      <c r="F828">
        <v>8</v>
      </c>
      <c r="G828">
        <v>16</v>
      </c>
      <c r="H828">
        <v>8147</v>
      </c>
      <c r="I828">
        <v>12</v>
      </c>
      <c r="J828">
        <v>0</v>
      </c>
      <c r="K828">
        <v>135.80000000000001</v>
      </c>
      <c r="L828">
        <v>0.2</v>
      </c>
      <c r="M828">
        <v>8.5</v>
      </c>
      <c r="N828">
        <v>128</v>
      </c>
      <c r="O828" s="1" t="s">
        <v>736</v>
      </c>
    </row>
    <row r="829" spans="1:15">
      <c r="A829" t="s">
        <v>737</v>
      </c>
      <c r="B829" t="s">
        <v>738</v>
      </c>
      <c r="C829" t="s">
        <v>733</v>
      </c>
      <c r="D829" t="s">
        <v>136</v>
      </c>
      <c r="E829">
        <v>2025</v>
      </c>
      <c r="F829">
        <v>6</v>
      </c>
      <c r="G829">
        <v>18</v>
      </c>
      <c r="H829">
        <v>9640</v>
      </c>
      <c r="I829">
        <v>0</v>
      </c>
      <c r="J829">
        <v>0</v>
      </c>
      <c r="K829">
        <v>160.69999999999999</v>
      </c>
      <c r="L829">
        <v>0</v>
      </c>
      <c r="M829">
        <v>8.9</v>
      </c>
      <c r="N829">
        <v>144</v>
      </c>
      <c r="O829" s="1" t="s">
        <v>468</v>
      </c>
    </row>
    <row r="830" spans="1:15">
      <c r="A830" t="s">
        <v>737</v>
      </c>
      <c r="B830" t="s">
        <v>738</v>
      </c>
      <c r="C830" t="s">
        <v>733</v>
      </c>
      <c r="D830" t="s">
        <v>136</v>
      </c>
      <c r="E830">
        <v>2025</v>
      </c>
      <c r="F830">
        <v>7</v>
      </c>
      <c r="G830">
        <v>22</v>
      </c>
      <c r="H830">
        <v>12160</v>
      </c>
      <c r="I830">
        <v>90</v>
      </c>
      <c r="J830">
        <v>0</v>
      </c>
      <c r="K830">
        <v>202.7</v>
      </c>
      <c r="L830">
        <v>1.5</v>
      </c>
      <c r="M830">
        <v>9.1999999999999993</v>
      </c>
      <c r="N830">
        <v>176</v>
      </c>
      <c r="O830" s="1" t="s">
        <v>244</v>
      </c>
    </row>
    <row r="831" spans="1:15">
      <c r="A831" t="s">
        <v>737</v>
      </c>
      <c r="B831" t="s">
        <v>738</v>
      </c>
      <c r="C831" t="s">
        <v>733</v>
      </c>
      <c r="D831" t="s">
        <v>136</v>
      </c>
      <c r="E831">
        <v>2025</v>
      </c>
      <c r="F831">
        <v>8</v>
      </c>
      <c r="G831">
        <v>15</v>
      </c>
      <c r="H831">
        <v>7518</v>
      </c>
      <c r="I831">
        <v>0</v>
      </c>
      <c r="J831">
        <v>0</v>
      </c>
      <c r="K831">
        <v>125.3</v>
      </c>
      <c r="L831">
        <v>0</v>
      </c>
      <c r="M831">
        <v>8.4</v>
      </c>
      <c r="N831">
        <v>120</v>
      </c>
      <c r="O831" s="1" t="s">
        <v>739</v>
      </c>
    </row>
    <row r="832" spans="1:15">
      <c r="A832" t="s">
        <v>740</v>
      </c>
      <c r="B832" t="s">
        <v>741</v>
      </c>
      <c r="C832" t="s">
        <v>726</v>
      </c>
      <c r="D832" t="s">
        <v>136</v>
      </c>
      <c r="E832">
        <v>2025</v>
      </c>
      <c r="F832">
        <v>6</v>
      </c>
      <c r="G832">
        <v>18</v>
      </c>
      <c r="H832">
        <v>10395</v>
      </c>
      <c r="I832">
        <v>981</v>
      </c>
      <c r="J832">
        <v>0</v>
      </c>
      <c r="K832">
        <v>173.2</v>
      </c>
      <c r="L832">
        <v>16.399999999999999</v>
      </c>
      <c r="M832">
        <v>9.6</v>
      </c>
      <c r="N832">
        <v>144</v>
      </c>
      <c r="O832" s="1" t="s">
        <v>127</v>
      </c>
    </row>
    <row r="833" spans="1:15">
      <c r="A833" t="s">
        <v>740</v>
      </c>
      <c r="B833" t="s">
        <v>741</v>
      </c>
      <c r="C833" t="s">
        <v>726</v>
      </c>
      <c r="D833" t="s">
        <v>136</v>
      </c>
      <c r="E833">
        <v>2025</v>
      </c>
      <c r="F833">
        <v>7</v>
      </c>
      <c r="G833">
        <v>18</v>
      </c>
      <c r="H833">
        <v>10940</v>
      </c>
      <c r="I833">
        <v>735</v>
      </c>
      <c r="J833">
        <v>0</v>
      </c>
      <c r="K833">
        <v>182.3</v>
      </c>
      <c r="L833">
        <v>12.2</v>
      </c>
      <c r="M833">
        <v>10.1</v>
      </c>
      <c r="N833">
        <v>144</v>
      </c>
      <c r="O833" s="1" t="s">
        <v>306</v>
      </c>
    </row>
    <row r="834" spans="1:15">
      <c r="A834" t="s">
        <v>740</v>
      </c>
      <c r="B834" t="s">
        <v>741</v>
      </c>
      <c r="C834" t="s">
        <v>726</v>
      </c>
      <c r="D834" t="s">
        <v>136</v>
      </c>
      <c r="E834">
        <v>2025</v>
      </c>
      <c r="F834">
        <v>8</v>
      </c>
      <c r="G834">
        <v>14</v>
      </c>
      <c r="H834">
        <v>7065</v>
      </c>
      <c r="I834">
        <v>491</v>
      </c>
      <c r="J834">
        <v>0</v>
      </c>
      <c r="K834">
        <v>117.8</v>
      </c>
      <c r="L834">
        <v>8.1999999999999993</v>
      </c>
      <c r="M834">
        <v>8.4</v>
      </c>
      <c r="N834">
        <v>112</v>
      </c>
      <c r="O834" s="1" t="s">
        <v>742</v>
      </c>
    </row>
    <row r="835" spans="1:15">
      <c r="A835" t="s">
        <v>743</v>
      </c>
      <c r="B835" t="s">
        <v>744</v>
      </c>
      <c r="C835" t="s">
        <v>682</v>
      </c>
      <c r="D835" t="s">
        <v>136</v>
      </c>
      <c r="E835">
        <v>2025</v>
      </c>
      <c r="F835">
        <v>6</v>
      </c>
      <c r="G835">
        <v>17</v>
      </c>
      <c r="H835">
        <v>10411</v>
      </c>
      <c r="I835">
        <v>1014</v>
      </c>
      <c r="J835">
        <v>0</v>
      </c>
      <c r="K835">
        <v>173.5</v>
      </c>
      <c r="L835">
        <v>16.899999999999999</v>
      </c>
      <c r="M835">
        <v>10.199999999999999</v>
      </c>
      <c r="N835">
        <v>136</v>
      </c>
      <c r="O835">
        <v>37.5</v>
      </c>
    </row>
    <row r="836" spans="1:15">
      <c r="A836" t="s">
        <v>743</v>
      </c>
      <c r="B836" t="s">
        <v>744</v>
      </c>
      <c r="C836" t="s">
        <v>682</v>
      </c>
      <c r="D836" t="s">
        <v>136</v>
      </c>
      <c r="E836">
        <v>2025</v>
      </c>
      <c r="F836">
        <v>7</v>
      </c>
      <c r="G836">
        <v>16</v>
      </c>
      <c r="H836">
        <v>9122</v>
      </c>
      <c r="I836">
        <v>795</v>
      </c>
      <c r="J836">
        <v>0</v>
      </c>
      <c r="K836">
        <v>152</v>
      </c>
      <c r="L836">
        <v>13.2</v>
      </c>
      <c r="M836">
        <v>9.5</v>
      </c>
      <c r="N836">
        <v>128</v>
      </c>
      <c r="O836">
        <v>24</v>
      </c>
    </row>
    <row r="837" spans="1:15">
      <c r="A837" t="s">
        <v>743</v>
      </c>
      <c r="B837" t="s">
        <v>744</v>
      </c>
      <c r="C837" t="s">
        <v>682</v>
      </c>
      <c r="D837" t="s">
        <v>136</v>
      </c>
      <c r="E837">
        <v>2025</v>
      </c>
      <c r="F837">
        <v>8</v>
      </c>
      <c r="G837">
        <v>14</v>
      </c>
      <c r="H837">
        <v>7148</v>
      </c>
      <c r="I837">
        <v>0</v>
      </c>
      <c r="J837">
        <v>0</v>
      </c>
      <c r="K837">
        <v>119.1</v>
      </c>
      <c r="L837">
        <v>0</v>
      </c>
      <c r="M837">
        <v>8.5</v>
      </c>
      <c r="N837">
        <v>112</v>
      </c>
      <c r="O837" s="1" t="s">
        <v>745</v>
      </c>
    </row>
    <row r="838" spans="1:15">
      <c r="A838" t="s">
        <v>746</v>
      </c>
      <c r="B838" t="s">
        <v>747</v>
      </c>
      <c r="C838" t="s">
        <v>733</v>
      </c>
      <c r="D838" t="s">
        <v>20</v>
      </c>
      <c r="E838">
        <v>2025</v>
      </c>
      <c r="F838">
        <v>6</v>
      </c>
      <c r="G838">
        <v>13</v>
      </c>
      <c r="H838">
        <v>8099</v>
      </c>
      <c r="I838">
        <v>404</v>
      </c>
      <c r="J838">
        <v>0</v>
      </c>
      <c r="K838">
        <v>135</v>
      </c>
      <c r="L838">
        <v>6.7</v>
      </c>
      <c r="M838">
        <v>10.4</v>
      </c>
      <c r="N838">
        <v>104</v>
      </c>
      <c r="O838">
        <v>31</v>
      </c>
    </row>
    <row r="839" spans="1:15">
      <c r="A839" t="s">
        <v>746</v>
      </c>
      <c r="B839" t="s">
        <v>747</v>
      </c>
      <c r="C839" t="s">
        <v>733</v>
      </c>
      <c r="D839" t="s">
        <v>20</v>
      </c>
      <c r="E839">
        <v>2025</v>
      </c>
      <c r="F839">
        <v>7</v>
      </c>
      <c r="G839">
        <v>18</v>
      </c>
      <c r="H839">
        <v>10977</v>
      </c>
      <c r="I839">
        <v>351</v>
      </c>
      <c r="J839">
        <v>0</v>
      </c>
      <c r="K839">
        <v>183</v>
      </c>
      <c r="L839">
        <v>5.8</v>
      </c>
      <c r="M839">
        <v>10.199999999999999</v>
      </c>
      <c r="N839">
        <v>144</v>
      </c>
      <c r="O839">
        <v>39</v>
      </c>
    </row>
    <row r="840" spans="1:15">
      <c r="A840" t="s">
        <v>746</v>
      </c>
      <c r="B840" t="s">
        <v>747</v>
      </c>
      <c r="C840" t="s">
        <v>733</v>
      </c>
      <c r="D840" t="s">
        <v>20</v>
      </c>
      <c r="E840">
        <v>2025</v>
      </c>
      <c r="F840">
        <v>8</v>
      </c>
      <c r="G840">
        <v>17</v>
      </c>
      <c r="H840">
        <v>9540</v>
      </c>
      <c r="I840">
        <v>392</v>
      </c>
      <c r="J840">
        <v>0</v>
      </c>
      <c r="K840">
        <v>159</v>
      </c>
      <c r="L840">
        <v>6.5</v>
      </c>
      <c r="M840">
        <v>9.4</v>
      </c>
      <c r="N840">
        <v>136</v>
      </c>
      <c r="O840">
        <v>23</v>
      </c>
    </row>
    <row r="841" spans="1:15">
      <c r="A841" t="s">
        <v>748</v>
      </c>
      <c r="B841" t="s">
        <v>749</v>
      </c>
      <c r="C841" t="s">
        <v>730</v>
      </c>
      <c r="D841" t="s">
        <v>20</v>
      </c>
      <c r="E841">
        <v>2025</v>
      </c>
      <c r="F841">
        <v>6</v>
      </c>
      <c r="G841">
        <v>24</v>
      </c>
      <c r="H841">
        <v>12478</v>
      </c>
      <c r="I841">
        <v>1100</v>
      </c>
      <c r="J841">
        <v>4</v>
      </c>
      <c r="K841">
        <v>208</v>
      </c>
      <c r="L841">
        <v>18.3</v>
      </c>
      <c r="M841">
        <v>8.6999999999999993</v>
      </c>
      <c r="N841">
        <v>160</v>
      </c>
      <c r="O841">
        <v>48</v>
      </c>
    </row>
    <row r="842" spans="1:15">
      <c r="A842" t="s">
        <v>748</v>
      </c>
      <c r="B842" t="s">
        <v>749</v>
      </c>
      <c r="C842" t="s">
        <v>730</v>
      </c>
      <c r="D842" t="s">
        <v>20</v>
      </c>
      <c r="E842">
        <v>2025</v>
      </c>
      <c r="F842">
        <v>7</v>
      </c>
      <c r="G842">
        <v>24</v>
      </c>
      <c r="H842">
        <v>12582</v>
      </c>
      <c r="I842">
        <v>524</v>
      </c>
      <c r="J842">
        <v>3</v>
      </c>
      <c r="K842">
        <v>209.7</v>
      </c>
      <c r="L842">
        <v>8.6999999999999993</v>
      </c>
      <c r="M842">
        <v>8.6999999999999993</v>
      </c>
      <c r="N842">
        <v>168</v>
      </c>
      <c r="O842" s="1" t="s">
        <v>609</v>
      </c>
    </row>
    <row r="843" spans="1:15">
      <c r="A843" t="s">
        <v>748</v>
      </c>
      <c r="B843" t="s">
        <v>749</v>
      </c>
      <c r="C843" t="s">
        <v>730</v>
      </c>
      <c r="D843" t="s">
        <v>20</v>
      </c>
      <c r="E843">
        <v>2025</v>
      </c>
      <c r="F843">
        <v>8</v>
      </c>
      <c r="G843">
        <v>18</v>
      </c>
      <c r="H843">
        <v>9165</v>
      </c>
      <c r="I843">
        <v>393</v>
      </c>
      <c r="J843">
        <v>3</v>
      </c>
      <c r="K843">
        <v>152.80000000000001</v>
      </c>
      <c r="L843">
        <v>6.6</v>
      </c>
      <c r="M843">
        <v>8.5</v>
      </c>
      <c r="N843">
        <v>120</v>
      </c>
      <c r="O843" s="1" t="s">
        <v>541</v>
      </c>
    </row>
    <row r="844" spans="1:15">
      <c r="A844" t="s">
        <v>750</v>
      </c>
      <c r="B844" t="s">
        <v>751</v>
      </c>
      <c r="C844" t="s">
        <v>733</v>
      </c>
      <c r="D844" t="s">
        <v>136</v>
      </c>
      <c r="E844">
        <v>2025</v>
      </c>
      <c r="F844">
        <v>6</v>
      </c>
      <c r="G844">
        <v>17</v>
      </c>
      <c r="H844">
        <v>9424</v>
      </c>
      <c r="I844">
        <v>0</v>
      </c>
      <c r="J844">
        <v>0</v>
      </c>
      <c r="K844">
        <v>157.1</v>
      </c>
      <c r="L844">
        <v>0</v>
      </c>
      <c r="M844">
        <v>9.1999999999999993</v>
      </c>
      <c r="N844">
        <v>136</v>
      </c>
      <c r="O844" s="1" t="s">
        <v>752</v>
      </c>
    </row>
    <row r="845" spans="1:15">
      <c r="A845" t="s">
        <v>750</v>
      </c>
      <c r="B845" t="s">
        <v>751</v>
      </c>
      <c r="C845" t="s">
        <v>733</v>
      </c>
      <c r="D845" t="s">
        <v>136</v>
      </c>
      <c r="E845">
        <v>2025</v>
      </c>
      <c r="F845">
        <v>7</v>
      </c>
      <c r="G845">
        <v>22</v>
      </c>
      <c r="H845">
        <v>12474</v>
      </c>
      <c r="I845">
        <v>38</v>
      </c>
      <c r="J845">
        <v>0</v>
      </c>
      <c r="K845">
        <v>207.9</v>
      </c>
      <c r="L845">
        <v>0.6</v>
      </c>
      <c r="M845">
        <v>9.5</v>
      </c>
      <c r="N845">
        <v>176</v>
      </c>
      <c r="O845" s="1" t="s">
        <v>552</v>
      </c>
    </row>
    <row r="846" spans="1:15">
      <c r="A846" t="s">
        <v>750</v>
      </c>
      <c r="B846" t="s">
        <v>751</v>
      </c>
      <c r="C846" t="s">
        <v>733</v>
      </c>
      <c r="D846" t="s">
        <v>136</v>
      </c>
      <c r="E846">
        <v>2025</v>
      </c>
      <c r="F846">
        <v>8</v>
      </c>
      <c r="G846">
        <v>17</v>
      </c>
      <c r="H846">
        <v>8425</v>
      </c>
      <c r="I846">
        <v>0</v>
      </c>
      <c r="J846">
        <v>0</v>
      </c>
      <c r="K846">
        <v>140.4</v>
      </c>
      <c r="L846">
        <v>0</v>
      </c>
      <c r="M846">
        <v>8.3000000000000007</v>
      </c>
      <c r="N846">
        <v>136</v>
      </c>
      <c r="O846" s="1" t="s">
        <v>354</v>
      </c>
    </row>
    <row r="847" spans="1:15">
      <c r="A847" t="s">
        <v>753</v>
      </c>
      <c r="B847" t="s">
        <v>754</v>
      </c>
      <c r="C847" t="s">
        <v>730</v>
      </c>
      <c r="D847" t="s">
        <v>136</v>
      </c>
      <c r="E847">
        <v>2025</v>
      </c>
      <c r="F847">
        <v>6</v>
      </c>
      <c r="G847">
        <v>18</v>
      </c>
      <c r="H847">
        <v>11043</v>
      </c>
      <c r="I847">
        <v>54</v>
      </c>
      <c r="J847">
        <v>0</v>
      </c>
      <c r="K847">
        <v>184</v>
      </c>
      <c r="L847">
        <v>0.9</v>
      </c>
      <c r="M847">
        <v>10.199999999999999</v>
      </c>
      <c r="N847">
        <v>144</v>
      </c>
      <c r="O847">
        <v>40</v>
      </c>
    </row>
    <row r="848" spans="1:15">
      <c r="A848" t="s">
        <v>753</v>
      </c>
      <c r="B848" t="s">
        <v>754</v>
      </c>
      <c r="C848" t="s">
        <v>730</v>
      </c>
      <c r="D848" t="s">
        <v>136</v>
      </c>
      <c r="E848">
        <v>2025</v>
      </c>
      <c r="F848">
        <v>7</v>
      </c>
      <c r="G848">
        <v>20</v>
      </c>
      <c r="H848">
        <v>10588</v>
      </c>
      <c r="I848">
        <v>0</v>
      </c>
      <c r="J848">
        <v>1</v>
      </c>
      <c r="K848">
        <v>176.5</v>
      </c>
      <c r="L848">
        <v>0</v>
      </c>
      <c r="M848">
        <v>8.8000000000000007</v>
      </c>
      <c r="N848">
        <v>152</v>
      </c>
      <c r="O848">
        <v>24.5</v>
      </c>
    </row>
    <row r="849" spans="1:15">
      <c r="A849" t="s">
        <v>753</v>
      </c>
      <c r="B849" t="s">
        <v>754</v>
      </c>
      <c r="C849" t="s">
        <v>730</v>
      </c>
      <c r="D849" t="s">
        <v>136</v>
      </c>
      <c r="E849">
        <v>2025</v>
      </c>
      <c r="F849">
        <v>8</v>
      </c>
      <c r="G849">
        <v>15</v>
      </c>
      <c r="H849">
        <v>8163</v>
      </c>
      <c r="I849">
        <v>58</v>
      </c>
      <c r="J849">
        <v>0</v>
      </c>
      <c r="K849">
        <v>136</v>
      </c>
      <c r="L849">
        <v>1</v>
      </c>
      <c r="M849">
        <v>9.1</v>
      </c>
      <c r="N849">
        <v>120</v>
      </c>
      <c r="O849">
        <v>16</v>
      </c>
    </row>
    <row r="850" spans="1:15">
      <c r="A850" t="s">
        <v>755</v>
      </c>
      <c r="B850" t="s">
        <v>756</v>
      </c>
      <c r="C850" t="s">
        <v>757</v>
      </c>
      <c r="D850" t="s">
        <v>20</v>
      </c>
      <c r="E850">
        <v>2025</v>
      </c>
      <c r="F850">
        <v>6</v>
      </c>
      <c r="G850">
        <v>15</v>
      </c>
      <c r="H850">
        <v>9366</v>
      </c>
      <c r="I850">
        <v>0</v>
      </c>
      <c r="J850">
        <v>0</v>
      </c>
      <c r="K850">
        <v>156.1</v>
      </c>
      <c r="L850">
        <v>0</v>
      </c>
      <c r="M850">
        <v>10.4</v>
      </c>
      <c r="N850">
        <v>120</v>
      </c>
      <c r="O850" s="1" t="s">
        <v>100</v>
      </c>
    </row>
    <row r="851" spans="1:15">
      <c r="A851" t="s">
        <v>755</v>
      </c>
      <c r="B851" t="s">
        <v>756</v>
      </c>
      <c r="C851" t="s">
        <v>757</v>
      </c>
      <c r="D851" t="s">
        <v>20</v>
      </c>
      <c r="E851">
        <v>2025</v>
      </c>
      <c r="F851">
        <v>7</v>
      </c>
      <c r="G851">
        <v>21</v>
      </c>
      <c r="H851">
        <v>12376</v>
      </c>
      <c r="I851">
        <v>0</v>
      </c>
      <c r="J851">
        <v>0</v>
      </c>
      <c r="K851">
        <v>206.3</v>
      </c>
      <c r="L851">
        <v>0</v>
      </c>
      <c r="M851">
        <v>9.8000000000000007</v>
      </c>
      <c r="N851">
        <v>168</v>
      </c>
      <c r="O851" s="1" t="s">
        <v>306</v>
      </c>
    </row>
    <row r="852" spans="1:15">
      <c r="A852" t="s">
        <v>755</v>
      </c>
      <c r="B852" t="s">
        <v>756</v>
      </c>
      <c r="C852" t="s">
        <v>757</v>
      </c>
      <c r="D852" t="s">
        <v>20</v>
      </c>
      <c r="E852">
        <v>2025</v>
      </c>
      <c r="F852">
        <v>8</v>
      </c>
      <c r="G852">
        <v>16</v>
      </c>
      <c r="H852">
        <v>8291</v>
      </c>
      <c r="I852">
        <v>0</v>
      </c>
      <c r="J852">
        <v>0</v>
      </c>
      <c r="K852">
        <v>138.19999999999999</v>
      </c>
      <c r="L852">
        <v>0</v>
      </c>
      <c r="M852">
        <v>8.6</v>
      </c>
      <c r="N852">
        <v>128</v>
      </c>
      <c r="O852" s="1" t="s">
        <v>458</v>
      </c>
    </row>
    <row r="853" spans="1:15">
      <c r="A853" t="s">
        <v>758</v>
      </c>
      <c r="B853" t="s">
        <v>759</v>
      </c>
      <c r="C853" t="s">
        <v>757</v>
      </c>
      <c r="D853" t="s">
        <v>136</v>
      </c>
      <c r="E853">
        <v>2025</v>
      </c>
      <c r="F853">
        <v>6</v>
      </c>
      <c r="G853">
        <v>16</v>
      </c>
      <c r="H853">
        <v>10014</v>
      </c>
      <c r="I853">
        <v>439</v>
      </c>
      <c r="J853">
        <v>0</v>
      </c>
      <c r="K853">
        <v>166.9</v>
      </c>
      <c r="L853">
        <v>7.3</v>
      </c>
      <c r="M853">
        <v>10.4</v>
      </c>
      <c r="N853">
        <v>128</v>
      </c>
      <c r="O853" s="1" t="s">
        <v>204</v>
      </c>
    </row>
    <row r="854" spans="1:15">
      <c r="A854" t="s">
        <v>758</v>
      </c>
      <c r="B854" t="s">
        <v>759</v>
      </c>
      <c r="C854" t="s">
        <v>757</v>
      </c>
      <c r="D854" t="s">
        <v>136</v>
      </c>
      <c r="E854">
        <v>2025</v>
      </c>
      <c r="F854">
        <v>7</v>
      </c>
      <c r="G854">
        <v>22</v>
      </c>
      <c r="H854">
        <v>12755</v>
      </c>
      <c r="I854">
        <v>85</v>
      </c>
      <c r="J854">
        <v>0</v>
      </c>
      <c r="K854">
        <v>212.6</v>
      </c>
      <c r="L854">
        <v>1.4</v>
      </c>
      <c r="M854">
        <v>9.6999999999999993</v>
      </c>
      <c r="N854">
        <v>176</v>
      </c>
      <c r="O854" s="1" t="s">
        <v>760</v>
      </c>
    </row>
    <row r="855" spans="1:15">
      <c r="A855" t="s">
        <v>758</v>
      </c>
      <c r="B855" t="s">
        <v>759</v>
      </c>
      <c r="C855" t="s">
        <v>757</v>
      </c>
      <c r="D855" t="s">
        <v>136</v>
      </c>
      <c r="E855">
        <v>2025</v>
      </c>
      <c r="F855">
        <v>8</v>
      </c>
      <c r="G855">
        <v>14</v>
      </c>
      <c r="H855">
        <v>6358</v>
      </c>
      <c r="I855">
        <v>486</v>
      </c>
      <c r="J855">
        <v>0</v>
      </c>
      <c r="K855">
        <v>106</v>
      </c>
      <c r="L855">
        <v>8.1</v>
      </c>
      <c r="M855">
        <v>7.6</v>
      </c>
      <c r="N855">
        <v>112</v>
      </c>
      <c r="O855">
        <v>-6</v>
      </c>
    </row>
    <row r="856" spans="1:15">
      <c r="A856" t="s">
        <v>761</v>
      </c>
      <c r="B856" t="s">
        <v>762</v>
      </c>
      <c r="C856" t="s">
        <v>763</v>
      </c>
      <c r="D856" t="s">
        <v>136</v>
      </c>
      <c r="E856">
        <v>2025</v>
      </c>
      <c r="F856">
        <v>6</v>
      </c>
      <c r="G856">
        <v>16</v>
      </c>
      <c r="H856">
        <v>8713</v>
      </c>
      <c r="I856">
        <v>467</v>
      </c>
      <c r="J856">
        <v>0</v>
      </c>
      <c r="K856">
        <v>145.19999999999999</v>
      </c>
      <c r="L856">
        <v>7.8</v>
      </c>
      <c r="M856">
        <v>9.1</v>
      </c>
      <c r="N856">
        <v>128</v>
      </c>
      <c r="O856" s="1" t="s">
        <v>192</v>
      </c>
    </row>
    <row r="857" spans="1:15">
      <c r="A857" t="s">
        <v>761</v>
      </c>
      <c r="B857" t="s">
        <v>762</v>
      </c>
      <c r="C857" t="s">
        <v>763</v>
      </c>
      <c r="D857" t="s">
        <v>136</v>
      </c>
      <c r="E857">
        <v>2025</v>
      </c>
      <c r="F857">
        <v>7</v>
      </c>
      <c r="G857">
        <v>22</v>
      </c>
      <c r="H857">
        <v>11674</v>
      </c>
      <c r="I857">
        <v>73</v>
      </c>
      <c r="J857">
        <v>0</v>
      </c>
      <c r="K857">
        <v>194.6</v>
      </c>
      <c r="L857">
        <v>1.2</v>
      </c>
      <c r="M857">
        <v>8.8000000000000007</v>
      </c>
      <c r="N857">
        <v>176</v>
      </c>
      <c r="O857" s="1" t="s">
        <v>46</v>
      </c>
    </row>
    <row r="858" spans="1:15">
      <c r="A858" t="s">
        <v>761</v>
      </c>
      <c r="B858" t="s">
        <v>762</v>
      </c>
      <c r="C858" t="s">
        <v>763</v>
      </c>
      <c r="D858" t="s">
        <v>136</v>
      </c>
      <c r="E858">
        <v>2025</v>
      </c>
      <c r="F858">
        <v>8</v>
      </c>
      <c r="G858">
        <v>15</v>
      </c>
      <c r="H858">
        <v>5884</v>
      </c>
      <c r="I858">
        <v>81</v>
      </c>
      <c r="J858">
        <v>0</v>
      </c>
      <c r="K858">
        <v>98.1</v>
      </c>
      <c r="L858">
        <v>1.4</v>
      </c>
      <c r="M858">
        <v>6.5</v>
      </c>
      <c r="N858">
        <v>120</v>
      </c>
      <c r="O858">
        <v>-21.9</v>
      </c>
    </row>
    <row r="859" spans="1:15">
      <c r="A859" t="s">
        <v>764</v>
      </c>
      <c r="B859" t="s">
        <v>765</v>
      </c>
      <c r="C859" t="s">
        <v>726</v>
      </c>
      <c r="D859" t="s">
        <v>136</v>
      </c>
      <c r="E859">
        <v>2025</v>
      </c>
      <c r="F859">
        <v>6</v>
      </c>
      <c r="G859">
        <v>17</v>
      </c>
      <c r="H859">
        <v>9426</v>
      </c>
      <c r="I859">
        <v>120</v>
      </c>
      <c r="J859">
        <v>0</v>
      </c>
      <c r="K859">
        <v>157.1</v>
      </c>
      <c r="L859">
        <v>2</v>
      </c>
      <c r="M859">
        <v>9.1999999999999993</v>
      </c>
      <c r="N859">
        <v>136</v>
      </c>
      <c r="O859" s="1" t="s">
        <v>752</v>
      </c>
    </row>
    <row r="860" spans="1:15">
      <c r="A860" t="s">
        <v>764</v>
      </c>
      <c r="B860" t="s">
        <v>765</v>
      </c>
      <c r="C860" t="s">
        <v>726</v>
      </c>
      <c r="D860" t="s">
        <v>136</v>
      </c>
      <c r="E860">
        <v>2025</v>
      </c>
      <c r="F860">
        <v>7</v>
      </c>
      <c r="G860">
        <v>21</v>
      </c>
      <c r="H860">
        <v>10404</v>
      </c>
      <c r="I860">
        <v>24</v>
      </c>
      <c r="J860">
        <v>0</v>
      </c>
      <c r="K860">
        <v>173.4</v>
      </c>
      <c r="L860">
        <v>0.4</v>
      </c>
      <c r="M860">
        <v>8.3000000000000007</v>
      </c>
      <c r="N860">
        <v>168</v>
      </c>
      <c r="O860" s="1" t="s">
        <v>419</v>
      </c>
    </row>
    <row r="861" spans="1:15">
      <c r="A861" t="s">
        <v>764</v>
      </c>
      <c r="B861" t="s">
        <v>765</v>
      </c>
      <c r="C861" t="s">
        <v>726</v>
      </c>
      <c r="D861" t="s">
        <v>136</v>
      </c>
      <c r="E861">
        <v>2025</v>
      </c>
      <c r="F861">
        <v>8</v>
      </c>
      <c r="G861">
        <v>14</v>
      </c>
      <c r="H861">
        <v>6765</v>
      </c>
      <c r="I861">
        <v>63</v>
      </c>
      <c r="J861">
        <v>0</v>
      </c>
      <c r="K861">
        <v>112.8</v>
      </c>
      <c r="L861">
        <v>1</v>
      </c>
      <c r="M861">
        <v>8.1</v>
      </c>
      <c r="N861">
        <v>112</v>
      </c>
      <c r="O861" s="1" t="s">
        <v>440</v>
      </c>
    </row>
    <row r="862" spans="1:15">
      <c r="A862" t="s">
        <v>766</v>
      </c>
      <c r="B862" t="s">
        <v>767</v>
      </c>
      <c r="C862" t="s">
        <v>757</v>
      </c>
      <c r="D862" t="s">
        <v>20</v>
      </c>
      <c r="E862">
        <v>2025</v>
      </c>
      <c r="F862">
        <v>6</v>
      </c>
      <c r="G862">
        <v>1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8</v>
      </c>
      <c r="O862">
        <v>-8</v>
      </c>
    </row>
    <row r="863" spans="1:15">
      <c r="A863" t="s">
        <v>766</v>
      </c>
      <c r="B863" t="s">
        <v>767</v>
      </c>
      <c r="C863" t="s">
        <v>757</v>
      </c>
      <c r="D863" t="s">
        <v>20</v>
      </c>
      <c r="E863">
        <v>2025</v>
      </c>
      <c r="F863">
        <v>7</v>
      </c>
      <c r="G863">
        <v>3</v>
      </c>
      <c r="H863">
        <v>16</v>
      </c>
      <c r="I863">
        <v>0</v>
      </c>
      <c r="J863">
        <v>0</v>
      </c>
      <c r="K863">
        <v>0.3</v>
      </c>
      <c r="L863">
        <v>0</v>
      </c>
      <c r="M863">
        <v>0.1</v>
      </c>
      <c r="N863">
        <v>24</v>
      </c>
      <c r="O863">
        <v>-23.7</v>
      </c>
    </row>
    <row r="864" spans="1:15">
      <c r="A864" t="s">
        <v>768</v>
      </c>
      <c r="B864" t="s">
        <v>769</v>
      </c>
      <c r="C864" t="s">
        <v>757</v>
      </c>
      <c r="D864" t="s">
        <v>136</v>
      </c>
      <c r="E864">
        <v>2025</v>
      </c>
      <c r="F864">
        <v>6</v>
      </c>
      <c r="G864">
        <v>16</v>
      </c>
      <c r="H864">
        <v>10395</v>
      </c>
      <c r="I864">
        <v>1486</v>
      </c>
      <c r="J864">
        <v>0</v>
      </c>
      <c r="K864">
        <v>173.2</v>
      </c>
      <c r="L864">
        <v>24.8</v>
      </c>
      <c r="M864">
        <v>10.8</v>
      </c>
      <c r="N864">
        <v>128</v>
      </c>
      <c r="O864" s="1" t="s">
        <v>462</v>
      </c>
    </row>
    <row r="865" spans="1:15">
      <c r="A865" t="s">
        <v>768</v>
      </c>
      <c r="B865" t="s">
        <v>769</v>
      </c>
      <c r="C865" t="s">
        <v>757</v>
      </c>
      <c r="D865" t="s">
        <v>136</v>
      </c>
      <c r="E865">
        <v>2025</v>
      </c>
      <c r="F865">
        <v>7</v>
      </c>
      <c r="G865">
        <v>21</v>
      </c>
      <c r="H865">
        <v>12600</v>
      </c>
      <c r="I865">
        <v>1239</v>
      </c>
      <c r="J865">
        <v>0</v>
      </c>
      <c r="K865">
        <v>210</v>
      </c>
      <c r="L865">
        <v>20.6</v>
      </c>
      <c r="M865">
        <v>10</v>
      </c>
      <c r="N865">
        <v>168</v>
      </c>
      <c r="O865">
        <v>42</v>
      </c>
    </row>
    <row r="866" spans="1:15">
      <c r="A866" t="s">
        <v>768</v>
      </c>
      <c r="B866" t="s">
        <v>769</v>
      </c>
      <c r="C866" t="s">
        <v>757</v>
      </c>
      <c r="D866" t="s">
        <v>136</v>
      </c>
      <c r="E866">
        <v>2025</v>
      </c>
      <c r="F866">
        <v>8</v>
      </c>
      <c r="G866">
        <v>11</v>
      </c>
      <c r="H866">
        <v>6649</v>
      </c>
      <c r="I866">
        <v>823</v>
      </c>
      <c r="J866">
        <v>0</v>
      </c>
      <c r="K866">
        <v>110.8</v>
      </c>
      <c r="L866">
        <v>13.7</v>
      </c>
      <c r="M866">
        <v>10.1</v>
      </c>
      <c r="N866">
        <v>88</v>
      </c>
      <c r="O866" s="1" t="s">
        <v>770</v>
      </c>
    </row>
    <row r="867" spans="1:15">
      <c r="A867" t="s">
        <v>771</v>
      </c>
      <c r="B867" t="s">
        <v>772</v>
      </c>
      <c r="C867" t="s">
        <v>773</v>
      </c>
      <c r="D867" t="s">
        <v>20</v>
      </c>
      <c r="E867">
        <v>2025</v>
      </c>
      <c r="F867">
        <v>6</v>
      </c>
      <c r="G867">
        <v>15</v>
      </c>
      <c r="H867">
        <v>8594</v>
      </c>
      <c r="I867">
        <v>0</v>
      </c>
      <c r="J867">
        <v>0</v>
      </c>
      <c r="K867">
        <v>143.19999999999999</v>
      </c>
      <c r="L867">
        <v>0</v>
      </c>
      <c r="M867">
        <v>9.5</v>
      </c>
      <c r="N867">
        <v>120</v>
      </c>
      <c r="O867" s="1" t="s">
        <v>133</v>
      </c>
    </row>
    <row r="868" spans="1:15">
      <c r="A868" t="s">
        <v>771</v>
      </c>
      <c r="B868" t="s">
        <v>772</v>
      </c>
      <c r="C868" t="s">
        <v>773</v>
      </c>
      <c r="D868" t="s">
        <v>20</v>
      </c>
      <c r="E868">
        <v>2025</v>
      </c>
      <c r="F868">
        <v>7</v>
      </c>
      <c r="G868">
        <v>19</v>
      </c>
      <c r="H868">
        <v>10837</v>
      </c>
      <c r="I868">
        <v>0</v>
      </c>
      <c r="J868">
        <v>0</v>
      </c>
      <c r="K868">
        <v>180.6</v>
      </c>
      <c r="L868">
        <v>0</v>
      </c>
      <c r="M868">
        <v>9.5</v>
      </c>
      <c r="N868">
        <v>152</v>
      </c>
      <c r="O868" s="1" t="s">
        <v>74</v>
      </c>
    </row>
    <row r="869" spans="1:15">
      <c r="A869" t="s">
        <v>771</v>
      </c>
      <c r="B869" t="s">
        <v>772</v>
      </c>
      <c r="C869" t="s">
        <v>773</v>
      </c>
      <c r="D869" t="s">
        <v>20</v>
      </c>
      <c r="E869">
        <v>2025</v>
      </c>
      <c r="F869">
        <v>8</v>
      </c>
      <c r="G869">
        <v>16</v>
      </c>
      <c r="H869">
        <v>8459</v>
      </c>
      <c r="I869">
        <v>0</v>
      </c>
      <c r="J869">
        <v>0</v>
      </c>
      <c r="K869">
        <v>141</v>
      </c>
      <c r="L869">
        <v>0</v>
      </c>
      <c r="M869">
        <v>8.8000000000000007</v>
      </c>
      <c r="N869">
        <v>128</v>
      </c>
      <c r="O869">
        <v>13</v>
      </c>
    </row>
    <row r="870" spans="1:15">
      <c r="A870" t="s">
        <v>774</v>
      </c>
      <c r="B870" t="s">
        <v>775</v>
      </c>
      <c r="C870" t="s">
        <v>773</v>
      </c>
      <c r="D870" t="s">
        <v>20</v>
      </c>
      <c r="E870">
        <v>2025</v>
      </c>
      <c r="F870">
        <v>6</v>
      </c>
      <c r="G870">
        <v>19</v>
      </c>
      <c r="H870">
        <v>11657</v>
      </c>
      <c r="I870">
        <v>1593</v>
      </c>
      <c r="J870">
        <v>0</v>
      </c>
      <c r="K870">
        <v>194.3</v>
      </c>
      <c r="L870">
        <v>26.6</v>
      </c>
      <c r="M870">
        <v>10.199999999999999</v>
      </c>
      <c r="N870">
        <v>152</v>
      </c>
      <c r="O870" s="1" t="s">
        <v>29</v>
      </c>
    </row>
    <row r="871" spans="1:15">
      <c r="A871" t="s">
        <v>774</v>
      </c>
      <c r="B871" t="s">
        <v>775</v>
      </c>
      <c r="C871" t="s">
        <v>773</v>
      </c>
      <c r="D871" t="s">
        <v>20</v>
      </c>
      <c r="E871">
        <v>2025</v>
      </c>
      <c r="F871">
        <v>7</v>
      </c>
      <c r="G871">
        <v>19</v>
      </c>
      <c r="H871">
        <v>10128</v>
      </c>
      <c r="I871">
        <v>173</v>
      </c>
      <c r="J871">
        <v>0</v>
      </c>
      <c r="K871">
        <v>168.8</v>
      </c>
      <c r="L871">
        <v>2.9</v>
      </c>
      <c r="M871">
        <v>8.9</v>
      </c>
      <c r="N871">
        <v>152</v>
      </c>
      <c r="O871" s="1" t="s">
        <v>134</v>
      </c>
    </row>
    <row r="872" spans="1:15">
      <c r="A872" t="s">
        <v>774</v>
      </c>
      <c r="B872" t="s">
        <v>775</v>
      </c>
      <c r="C872" t="s">
        <v>773</v>
      </c>
      <c r="D872" t="s">
        <v>20</v>
      </c>
      <c r="E872">
        <v>2025</v>
      </c>
      <c r="F872">
        <v>8</v>
      </c>
      <c r="G872">
        <v>14</v>
      </c>
      <c r="H872">
        <v>7851</v>
      </c>
      <c r="I872">
        <v>49</v>
      </c>
      <c r="J872">
        <v>0</v>
      </c>
      <c r="K872">
        <v>130.80000000000001</v>
      </c>
      <c r="L872">
        <v>0.8</v>
      </c>
      <c r="M872">
        <v>9.3000000000000007</v>
      </c>
      <c r="N872">
        <v>112</v>
      </c>
      <c r="O872" s="1" t="s">
        <v>81</v>
      </c>
    </row>
    <row r="873" spans="1:15">
      <c r="A873" t="s">
        <v>776</v>
      </c>
      <c r="B873" t="s">
        <v>777</v>
      </c>
      <c r="C873" t="s">
        <v>664</v>
      </c>
      <c r="D873" t="s">
        <v>136</v>
      </c>
      <c r="E873">
        <v>2025</v>
      </c>
      <c r="F873">
        <v>6</v>
      </c>
      <c r="G873">
        <v>21</v>
      </c>
      <c r="H873">
        <v>12890</v>
      </c>
      <c r="I873">
        <v>0</v>
      </c>
      <c r="J873">
        <v>1</v>
      </c>
      <c r="K873">
        <v>214.8</v>
      </c>
      <c r="L873">
        <v>0</v>
      </c>
      <c r="M873">
        <v>10.199999999999999</v>
      </c>
      <c r="N873">
        <v>160</v>
      </c>
      <c r="O873" s="1" t="s">
        <v>778</v>
      </c>
    </row>
    <row r="874" spans="1:15">
      <c r="A874" t="s">
        <v>776</v>
      </c>
      <c r="B874" t="s">
        <v>777</v>
      </c>
      <c r="C874" t="s">
        <v>664</v>
      </c>
      <c r="D874" t="s">
        <v>136</v>
      </c>
      <c r="E874">
        <v>2025</v>
      </c>
      <c r="F874">
        <v>7</v>
      </c>
      <c r="G874">
        <v>23</v>
      </c>
      <c r="H874">
        <v>12395</v>
      </c>
      <c r="I874">
        <v>0</v>
      </c>
      <c r="J874">
        <v>0</v>
      </c>
      <c r="K874">
        <v>206.6</v>
      </c>
      <c r="L874">
        <v>0</v>
      </c>
      <c r="M874">
        <v>9</v>
      </c>
      <c r="N874">
        <v>184</v>
      </c>
      <c r="O874" s="1" t="s">
        <v>80</v>
      </c>
    </row>
    <row r="875" spans="1:15">
      <c r="A875" t="s">
        <v>776</v>
      </c>
      <c r="B875" t="s">
        <v>777</v>
      </c>
      <c r="C875" t="s">
        <v>664</v>
      </c>
      <c r="D875" t="s">
        <v>136</v>
      </c>
      <c r="E875">
        <v>2025</v>
      </c>
      <c r="F875">
        <v>8</v>
      </c>
      <c r="G875">
        <v>17</v>
      </c>
      <c r="H875">
        <v>8728</v>
      </c>
      <c r="I875">
        <v>4</v>
      </c>
      <c r="J875">
        <v>0</v>
      </c>
      <c r="K875">
        <v>145.5</v>
      </c>
      <c r="L875">
        <v>0.1</v>
      </c>
      <c r="M875">
        <v>8.6</v>
      </c>
      <c r="N875">
        <v>136</v>
      </c>
      <c r="O875">
        <v>9.5</v>
      </c>
    </row>
    <row r="876" spans="1:15">
      <c r="A876" t="s">
        <v>779</v>
      </c>
      <c r="B876" t="s">
        <v>780</v>
      </c>
      <c r="C876" t="s">
        <v>781</v>
      </c>
      <c r="D876" t="s">
        <v>136</v>
      </c>
      <c r="E876">
        <v>2025</v>
      </c>
      <c r="F876">
        <v>6</v>
      </c>
      <c r="G876">
        <v>19</v>
      </c>
      <c r="H876">
        <v>10597</v>
      </c>
      <c r="I876">
        <v>1250</v>
      </c>
      <c r="J876">
        <v>2</v>
      </c>
      <c r="K876">
        <v>176.6</v>
      </c>
      <c r="L876">
        <v>20.8</v>
      </c>
      <c r="M876">
        <v>9.3000000000000007</v>
      </c>
      <c r="N876">
        <v>136</v>
      </c>
      <c r="O876" s="1" t="s">
        <v>782</v>
      </c>
    </row>
    <row r="877" spans="1:15">
      <c r="A877" t="s">
        <v>779</v>
      </c>
      <c r="B877" t="s">
        <v>780</v>
      </c>
      <c r="C877" t="s">
        <v>781</v>
      </c>
      <c r="D877" t="s">
        <v>136</v>
      </c>
      <c r="E877">
        <v>2025</v>
      </c>
      <c r="F877">
        <v>7</v>
      </c>
      <c r="G877">
        <v>19</v>
      </c>
      <c r="H877">
        <v>11412</v>
      </c>
      <c r="I877">
        <v>1059</v>
      </c>
      <c r="J877">
        <v>0</v>
      </c>
      <c r="K877">
        <v>190.2</v>
      </c>
      <c r="L877">
        <v>17.600000000000001</v>
      </c>
      <c r="M877">
        <v>10</v>
      </c>
      <c r="N877">
        <v>152</v>
      </c>
      <c r="O877" s="1" t="s">
        <v>783</v>
      </c>
    </row>
    <row r="878" spans="1:15">
      <c r="A878" t="s">
        <v>779</v>
      </c>
      <c r="B878" t="s">
        <v>780</v>
      </c>
      <c r="C878" t="s">
        <v>781</v>
      </c>
      <c r="D878" t="s">
        <v>136</v>
      </c>
      <c r="E878">
        <v>2025</v>
      </c>
      <c r="F878">
        <v>8</v>
      </c>
      <c r="G878">
        <v>16</v>
      </c>
      <c r="H878">
        <v>10076</v>
      </c>
      <c r="I878">
        <v>1765</v>
      </c>
      <c r="J878">
        <v>0</v>
      </c>
      <c r="K878">
        <v>167.9</v>
      </c>
      <c r="L878">
        <v>29.4</v>
      </c>
      <c r="M878">
        <v>10.5</v>
      </c>
      <c r="N878">
        <v>128</v>
      </c>
      <c r="O878" s="1" t="s">
        <v>214</v>
      </c>
    </row>
    <row r="879" spans="1:15">
      <c r="A879" t="s">
        <v>784</v>
      </c>
      <c r="B879" t="s">
        <v>785</v>
      </c>
      <c r="C879" t="s">
        <v>625</v>
      </c>
      <c r="D879" t="s">
        <v>136</v>
      </c>
      <c r="E879">
        <v>2025</v>
      </c>
      <c r="F879">
        <v>6</v>
      </c>
      <c r="G879">
        <v>17</v>
      </c>
      <c r="H879">
        <v>9275</v>
      </c>
      <c r="I879">
        <v>0</v>
      </c>
      <c r="J879">
        <v>2</v>
      </c>
      <c r="K879">
        <v>154.6</v>
      </c>
      <c r="L879">
        <v>0</v>
      </c>
      <c r="M879">
        <v>9.1</v>
      </c>
      <c r="N879">
        <v>120</v>
      </c>
      <c r="O879" s="1" t="s">
        <v>786</v>
      </c>
    </row>
    <row r="880" spans="1:15">
      <c r="A880" t="s">
        <v>784</v>
      </c>
      <c r="B880" t="s">
        <v>785</v>
      </c>
      <c r="C880" t="s">
        <v>625</v>
      </c>
      <c r="D880" t="s">
        <v>136</v>
      </c>
      <c r="E880">
        <v>2025</v>
      </c>
      <c r="F880">
        <v>7</v>
      </c>
      <c r="G880">
        <v>21</v>
      </c>
      <c r="H880">
        <v>12807</v>
      </c>
      <c r="I880">
        <v>0</v>
      </c>
      <c r="J880">
        <v>0</v>
      </c>
      <c r="K880">
        <v>213.4</v>
      </c>
      <c r="L880">
        <v>0</v>
      </c>
      <c r="M880">
        <v>10.199999999999999</v>
      </c>
      <c r="N880">
        <v>168</v>
      </c>
      <c r="O880" s="1" t="s">
        <v>787</v>
      </c>
    </row>
    <row r="881" spans="1:15">
      <c r="A881" t="s">
        <v>784</v>
      </c>
      <c r="B881" t="s">
        <v>785</v>
      </c>
      <c r="C881" t="s">
        <v>625</v>
      </c>
      <c r="D881" t="s">
        <v>136</v>
      </c>
      <c r="E881">
        <v>2025</v>
      </c>
      <c r="F881">
        <v>8</v>
      </c>
      <c r="G881">
        <v>18</v>
      </c>
      <c r="H881">
        <v>10676</v>
      </c>
      <c r="I881">
        <v>0</v>
      </c>
      <c r="J881">
        <v>2</v>
      </c>
      <c r="K881">
        <v>177.9</v>
      </c>
      <c r="L881">
        <v>0</v>
      </c>
      <c r="M881">
        <v>9.9</v>
      </c>
      <c r="N881">
        <v>128</v>
      </c>
      <c r="O881" s="1" t="s">
        <v>206</v>
      </c>
    </row>
    <row r="882" spans="1:15">
      <c r="A882" t="s">
        <v>788</v>
      </c>
      <c r="B882" t="s">
        <v>789</v>
      </c>
      <c r="C882" t="s">
        <v>664</v>
      </c>
      <c r="D882" t="s">
        <v>194</v>
      </c>
      <c r="E882">
        <v>2025</v>
      </c>
      <c r="F882">
        <v>6</v>
      </c>
      <c r="G882">
        <v>21</v>
      </c>
      <c r="H882">
        <v>16261</v>
      </c>
      <c r="I882">
        <v>0</v>
      </c>
      <c r="J882">
        <v>3</v>
      </c>
      <c r="K882">
        <v>271</v>
      </c>
      <c r="L882">
        <v>0</v>
      </c>
      <c r="M882">
        <v>12.9</v>
      </c>
      <c r="N882">
        <v>144</v>
      </c>
      <c r="O882">
        <v>127</v>
      </c>
    </row>
    <row r="883" spans="1:15">
      <c r="A883" t="s">
        <v>788</v>
      </c>
      <c r="B883" t="s">
        <v>789</v>
      </c>
      <c r="C883" t="s">
        <v>664</v>
      </c>
      <c r="D883" t="s">
        <v>194</v>
      </c>
      <c r="E883">
        <v>2025</v>
      </c>
      <c r="F883">
        <v>7</v>
      </c>
      <c r="G883">
        <v>26</v>
      </c>
      <c r="H883">
        <v>20330</v>
      </c>
      <c r="I883">
        <v>0</v>
      </c>
      <c r="J883">
        <v>4</v>
      </c>
      <c r="K883">
        <v>338.8</v>
      </c>
      <c r="L883">
        <v>0</v>
      </c>
      <c r="M883">
        <v>13</v>
      </c>
      <c r="N883">
        <v>176</v>
      </c>
      <c r="O883">
        <v>162.80000000000001</v>
      </c>
    </row>
    <row r="884" spans="1:15">
      <c r="A884" t="s">
        <v>788</v>
      </c>
      <c r="B884" t="s">
        <v>789</v>
      </c>
      <c r="C884" t="s">
        <v>664</v>
      </c>
      <c r="D884" t="s">
        <v>194</v>
      </c>
      <c r="E884">
        <v>2025</v>
      </c>
      <c r="F884">
        <v>8</v>
      </c>
      <c r="G884">
        <v>23</v>
      </c>
      <c r="H884">
        <v>20451</v>
      </c>
      <c r="I884">
        <v>0</v>
      </c>
      <c r="J884">
        <v>5</v>
      </c>
      <c r="K884">
        <v>340.8</v>
      </c>
      <c r="L884">
        <v>0</v>
      </c>
      <c r="M884">
        <v>14.8</v>
      </c>
      <c r="N884">
        <v>144</v>
      </c>
      <c r="O884">
        <v>196.8</v>
      </c>
    </row>
    <row r="885" spans="1:15">
      <c r="A885" t="s">
        <v>790</v>
      </c>
      <c r="B885" t="s">
        <v>791</v>
      </c>
      <c r="C885" t="s">
        <v>705</v>
      </c>
      <c r="D885" t="s">
        <v>20</v>
      </c>
      <c r="E885">
        <v>2025</v>
      </c>
      <c r="F885">
        <v>6</v>
      </c>
      <c r="G885">
        <v>19</v>
      </c>
      <c r="H885">
        <v>11428</v>
      </c>
      <c r="I885">
        <v>300</v>
      </c>
      <c r="J885">
        <v>0</v>
      </c>
      <c r="K885">
        <v>190.5</v>
      </c>
      <c r="L885">
        <v>5</v>
      </c>
      <c r="M885">
        <v>10</v>
      </c>
      <c r="N885">
        <v>152</v>
      </c>
      <c r="O885">
        <v>38.5</v>
      </c>
    </row>
    <row r="886" spans="1:15">
      <c r="A886" t="s">
        <v>790</v>
      </c>
      <c r="B886" t="s">
        <v>791</v>
      </c>
      <c r="C886" t="s">
        <v>705</v>
      </c>
      <c r="D886" t="s">
        <v>20</v>
      </c>
      <c r="E886">
        <v>2025</v>
      </c>
      <c r="F886">
        <v>7</v>
      </c>
      <c r="G886">
        <v>19</v>
      </c>
      <c r="H886">
        <v>11474</v>
      </c>
      <c r="I886">
        <v>240</v>
      </c>
      <c r="J886">
        <v>0</v>
      </c>
      <c r="K886">
        <v>191.2</v>
      </c>
      <c r="L886">
        <v>4</v>
      </c>
      <c r="M886">
        <v>10.1</v>
      </c>
      <c r="N886">
        <v>152</v>
      </c>
      <c r="O886" s="1" t="s">
        <v>792</v>
      </c>
    </row>
    <row r="887" spans="1:15">
      <c r="A887" t="s">
        <v>790</v>
      </c>
      <c r="B887" t="s">
        <v>791</v>
      </c>
      <c r="C887" t="s">
        <v>705</v>
      </c>
      <c r="D887" t="s">
        <v>20</v>
      </c>
      <c r="E887">
        <v>2025</v>
      </c>
      <c r="F887">
        <v>8</v>
      </c>
      <c r="G887">
        <v>16</v>
      </c>
      <c r="H887">
        <v>8851</v>
      </c>
      <c r="I887">
        <v>59</v>
      </c>
      <c r="J887">
        <v>0</v>
      </c>
      <c r="K887">
        <v>147.5</v>
      </c>
      <c r="L887">
        <v>1</v>
      </c>
      <c r="M887">
        <v>9.1999999999999993</v>
      </c>
      <c r="N887">
        <v>128</v>
      </c>
      <c r="O887">
        <v>19.5</v>
      </c>
    </row>
    <row r="888" spans="1:15">
      <c r="A888" t="s">
        <v>793</v>
      </c>
      <c r="B888" t="s">
        <v>794</v>
      </c>
      <c r="C888" t="s">
        <v>795</v>
      </c>
      <c r="D888" t="s">
        <v>20</v>
      </c>
      <c r="E888">
        <v>2025</v>
      </c>
      <c r="F888">
        <v>6</v>
      </c>
      <c r="G888">
        <v>19</v>
      </c>
      <c r="H888">
        <v>12096</v>
      </c>
      <c r="I888">
        <v>1024</v>
      </c>
      <c r="J888">
        <v>0</v>
      </c>
      <c r="K888">
        <v>201.6</v>
      </c>
      <c r="L888">
        <v>17.100000000000001</v>
      </c>
      <c r="M888">
        <v>10.6</v>
      </c>
      <c r="N888">
        <v>152</v>
      </c>
      <c r="O888" s="1" t="s">
        <v>661</v>
      </c>
    </row>
    <row r="889" spans="1:15">
      <c r="A889" t="s">
        <v>793</v>
      </c>
      <c r="B889" t="s">
        <v>794</v>
      </c>
      <c r="C889" t="s">
        <v>795</v>
      </c>
      <c r="D889" t="s">
        <v>20</v>
      </c>
      <c r="E889">
        <v>2025</v>
      </c>
      <c r="F889">
        <v>7</v>
      </c>
      <c r="G889">
        <v>19</v>
      </c>
      <c r="H889">
        <v>11907</v>
      </c>
      <c r="I889">
        <v>612</v>
      </c>
      <c r="J889">
        <v>0</v>
      </c>
      <c r="K889">
        <v>198.4</v>
      </c>
      <c r="L889">
        <v>10.199999999999999</v>
      </c>
      <c r="M889">
        <v>10.4</v>
      </c>
      <c r="N889">
        <v>152</v>
      </c>
      <c r="O889" s="1" t="s">
        <v>796</v>
      </c>
    </row>
    <row r="890" spans="1:15">
      <c r="A890" t="s">
        <v>793</v>
      </c>
      <c r="B890" t="s">
        <v>794</v>
      </c>
      <c r="C890" t="s">
        <v>795</v>
      </c>
      <c r="D890" t="s">
        <v>20</v>
      </c>
      <c r="E890">
        <v>2025</v>
      </c>
      <c r="F890">
        <v>8</v>
      </c>
      <c r="G890">
        <v>16</v>
      </c>
      <c r="H890">
        <v>10071</v>
      </c>
      <c r="I890">
        <v>942</v>
      </c>
      <c r="J890">
        <v>0</v>
      </c>
      <c r="K890">
        <v>167.8</v>
      </c>
      <c r="L890">
        <v>15.7</v>
      </c>
      <c r="M890">
        <v>10.5</v>
      </c>
      <c r="N890">
        <v>128</v>
      </c>
      <c r="O890" s="1" t="s">
        <v>797</v>
      </c>
    </row>
    <row r="891" spans="1:15">
      <c r="A891" t="s">
        <v>798</v>
      </c>
      <c r="B891" t="s">
        <v>799</v>
      </c>
      <c r="C891" t="s">
        <v>795</v>
      </c>
      <c r="D891" t="s">
        <v>20</v>
      </c>
      <c r="E891">
        <v>2025</v>
      </c>
      <c r="F891">
        <v>6</v>
      </c>
      <c r="G891">
        <v>12</v>
      </c>
      <c r="H891">
        <v>8476</v>
      </c>
      <c r="I891">
        <v>1526</v>
      </c>
      <c r="J891">
        <v>0</v>
      </c>
      <c r="K891">
        <v>141.30000000000001</v>
      </c>
      <c r="L891">
        <v>25.4</v>
      </c>
      <c r="M891">
        <v>11.8</v>
      </c>
      <c r="N891">
        <v>96</v>
      </c>
      <c r="O891" s="1" t="s">
        <v>800</v>
      </c>
    </row>
    <row r="892" spans="1:15">
      <c r="A892" t="s">
        <v>798</v>
      </c>
      <c r="B892" t="s">
        <v>799</v>
      </c>
      <c r="C892" t="s">
        <v>795</v>
      </c>
      <c r="D892" t="s">
        <v>20</v>
      </c>
      <c r="E892">
        <v>2025</v>
      </c>
      <c r="F892">
        <v>7</v>
      </c>
      <c r="G892">
        <v>18</v>
      </c>
      <c r="H892">
        <v>11719</v>
      </c>
      <c r="I892">
        <v>1419</v>
      </c>
      <c r="J892">
        <v>0</v>
      </c>
      <c r="K892">
        <v>195.3</v>
      </c>
      <c r="L892">
        <v>23.6</v>
      </c>
      <c r="M892">
        <v>10.9</v>
      </c>
      <c r="N892">
        <v>144</v>
      </c>
      <c r="O892" s="1" t="s">
        <v>801</v>
      </c>
    </row>
    <row r="893" spans="1:15">
      <c r="A893" t="s">
        <v>798</v>
      </c>
      <c r="B893" t="s">
        <v>799</v>
      </c>
      <c r="C893" t="s">
        <v>795</v>
      </c>
      <c r="D893" t="s">
        <v>20</v>
      </c>
      <c r="E893">
        <v>2025</v>
      </c>
      <c r="F893">
        <v>8</v>
      </c>
      <c r="G893">
        <v>14</v>
      </c>
      <c r="H893">
        <v>9335</v>
      </c>
      <c r="I893">
        <v>1370</v>
      </c>
      <c r="J893">
        <v>0</v>
      </c>
      <c r="K893">
        <v>155.6</v>
      </c>
      <c r="L893">
        <v>22.8</v>
      </c>
      <c r="M893">
        <v>11.1</v>
      </c>
      <c r="N893">
        <v>112</v>
      </c>
      <c r="O893" s="1" t="s">
        <v>243</v>
      </c>
    </row>
    <row r="894" spans="1:15">
      <c r="A894" t="s">
        <v>802</v>
      </c>
      <c r="B894" t="s">
        <v>803</v>
      </c>
      <c r="C894" t="s">
        <v>795</v>
      </c>
      <c r="D894" t="s">
        <v>20</v>
      </c>
      <c r="E894">
        <v>2025</v>
      </c>
      <c r="F894">
        <v>6</v>
      </c>
      <c r="G894">
        <v>19</v>
      </c>
      <c r="H894">
        <v>12080</v>
      </c>
      <c r="I894">
        <v>1422</v>
      </c>
      <c r="J894">
        <v>0</v>
      </c>
      <c r="K894">
        <v>201.3</v>
      </c>
      <c r="L894">
        <v>23.7</v>
      </c>
      <c r="M894">
        <v>10.6</v>
      </c>
      <c r="N894">
        <v>152</v>
      </c>
      <c r="O894" s="1" t="s">
        <v>804</v>
      </c>
    </row>
    <row r="895" spans="1:15">
      <c r="A895" t="s">
        <v>802</v>
      </c>
      <c r="B895" t="s">
        <v>803</v>
      </c>
      <c r="C895" t="s">
        <v>795</v>
      </c>
      <c r="D895" t="s">
        <v>20</v>
      </c>
      <c r="E895">
        <v>2025</v>
      </c>
      <c r="F895">
        <v>7</v>
      </c>
      <c r="G895">
        <v>19</v>
      </c>
      <c r="H895">
        <v>11338</v>
      </c>
      <c r="I895">
        <v>632</v>
      </c>
      <c r="J895">
        <v>0</v>
      </c>
      <c r="K895">
        <v>189</v>
      </c>
      <c r="L895">
        <v>10.5</v>
      </c>
      <c r="M895">
        <v>9.9</v>
      </c>
      <c r="N895">
        <v>152</v>
      </c>
      <c r="O895">
        <v>37</v>
      </c>
    </row>
    <row r="896" spans="1:15">
      <c r="A896" t="s">
        <v>802</v>
      </c>
      <c r="B896" t="s">
        <v>803</v>
      </c>
      <c r="C896" t="s">
        <v>795</v>
      </c>
      <c r="D896" t="s">
        <v>20</v>
      </c>
      <c r="E896">
        <v>2025</v>
      </c>
      <c r="F896">
        <v>8</v>
      </c>
      <c r="G896">
        <v>15</v>
      </c>
      <c r="H896">
        <v>9755</v>
      </c>
      <c r="I896">
        <v>1671</v>
      </c>
      <c r="J896">
        <v>0</v>
      </c>
      <c r="K896">
        <v>162.6</v>
      </c>
      <c r="L896">
        <v>27.8</v>
      </c>
      <c r="M896">
        <v>10.8</v>
      </c>
      <c r="N896">
        <v>120</v>
      </c>
      <c r="O896" s="1" t="s">
        <v>234</v>
      </c>
    </row>
    <row r="897" spans="1:15">
      <c r="A897" t="s">
        <v>805</v>
      </c>
      <c r="B897" t="s">
        <v>806</v>
      </c>
      <c r="C897" t="s">
        <v>795</v>
      </c>
      <c r="D897" t="s">
        <v>136</v>
      </c>
      <c r="E897">
        <v>2025</v>
      </c>
      <c r="F897">
        <v>6</v>
      </c>
      <c r="G897">
        <v>18</v>
      </c>
      <c r="H897">
        <v>10338</v>
      </c>
      <c r="I897">
        <v>360</v>
      </c>
      <c r="J897">
        <v>0</v>
      </c>
      <c r="K897">
        <v>172.3</v>
      </c>
      <c r="L897">
        <v>6</v>
      </c>
      <c r="M897">
        <v>9.6</v>
      </c>
      <c r="N897">
        <v>144</v>
      </c>
      <c r="O897" s="1" t="s">
        <v>184</v>
      </c>
    </row>
    <row r="898" spans="1:15">
      <c r="A898" t="s">
        <v>805</v>
      </c>
      <c r="B898" t="s">
        <v>806</v>
      </c>
      <c r="C898" t="s">
        <v>795</v>
      </c>
      <c r="D898" t="s">
        <v>136</v>
      </c>
      <c r="E898">
        <v>2025</v>
      </c>
      <c r="F898">
        <v>7</v>
      </c>
      <c r="G898">
        <v>18</v>
      </c>
      <c r="H898">
        <v>10529</v>
      </c>
      <c r="I898">
        <v>40</v>
      </c>
      <c r="J898">
        <v>0</v>
      </c>
      <c r="K898">
        <v>175.5</v>
      </c>
      <c r="L898">
        <v>0.7</v>
      </c>
      <c r="M898">
        <v>9.8000000000000007</v>
      </c>
      <c r="N898">
        <v>144</v>
      </c>
      <c r="O898">
        <v>31.5</v>
      </c>
    </row>
    <row r="899" spans="1:15">
      <c r="A899" t="s">
        <v>805</v>
      </c>
      <c r="B899" t="s">
        <v>806</v>
      </c>
      <c r="C899" t="s">
        <v>795</v>
      </c>
      <c r="D899" t="s">
        <v>136</v>
      </c>
      <c r="E899">
        <v>2025</v>
      </c>
      <c r="F899">
        <v>8</v>
      </c>
      <c r="G899">
        <v>15</v>
      </c>
      <c r="H899">
        <v>8156</v>
      </c>
      <c r="I899">
        <v>139</v>
      </c>
      <c r="J899">
        <v>0</v>
      </c>
      <c r="K899">
        <v>135.9</v>
      </c>
      <c r="L899">
        <v>2.2999999999999998</v>
      </c>
      <c r="M899">
        <v>9.1</v>
      </c>
      <c r="N899">
        <v>120</v>
      </c>
      <c r="O899" s="1" t="s">
        <v>333</v>
      </c>
    </row>
    <row r="900" spans="1:15">
      <c r="A900" t="s">
        <v>807</v>
      </c>
      <c r="B900" t="s">
        <v>808</v>
      </c>
      <c r="C900" t="s">
        <v>763</v>
      </c>
      <c r="D900" t="s">
        <v>136</v>
      </c>
      <c r="E900">
        <v>2025</v>
      </c>
      <c r="F900">
        <v>6</v>
      </c>
      <c r="G900">
        <v>17</v>
      </c>
      <c r="H900">
        <v>9283</v>
      </c>
      <c r="I900">
        <v>947</v>
      </c>
      <c r="J900">
        <v>1</v>
      </c>
      <c r="K900">
        <v>154.69999999999999</v>
      </c>
      <c r="L900">
        <v>15.8</v>
      </c>
      <c r="M900">
        <v>9.1</v>
      </c>
      <c r="N900">
        <v>128</v>
      </c>
      <c r="O900" s="1" t="s">
        <v>244</v>
      </c>
    </row>
    <row r="901" spans="1:15">
      <c r="A901" t="s">
        <v>807</v>
      </c>
      <c r="B901" t="s">
        <v>808</v>
      </c>
      <c r="C901" t="s">
        <v>763</v>
      </c>
      <c r="D901" t="s">
        <v>136</v>
      </c>
      <c r="E901">
        <v>2025</v>
      </c>
      <c r="F901">
        <v>7</v>
      </c>
      <c r="G901">
        <v>16</v>
      </c>
      <c r="H901">
        <v>8283</v>
      </c>
      <c r="I901">
        <v>367</v>
      </c>
      <c r="J901">
        <v>0</v>
      </c>
      <c r="K901">
        <v>138</v>
      </c>
      <c r="L901">
        <v>6.1</v>
      </c>
      <c r="M901">
        <v>8.6</v>
      </c>
      <c r="N901">
        <v>128</v>
      </c>
      <c r="O901">
        <v>10</v>
      </c>
    </row>
    <row r="902" spans="1:15">
      <c r="A902" t="s">
        <v>807</v>
      </c>
      <c r="B902" t="s">
        <v>808</v>
      </c>
      <c r="C902" t="s">
        <v>763</v>
      </c>
      <c r="D902" t="s">
        <v>136</v>
      </c>
      <c r="E902">
        <v>2025</v>
      </c>
      <c r="F902">
        <v>8</v>
      </c>
      <c r="G902">
        <v>17</v>
      </c>
      <c r="H902">
        <v>8800</v>
      </c>
      <c r="I902">
        <v>197</v>
      </c>
      <c r="J902">
        <v>0</v>
      </c>
      <c r="K902">
        <v>146.69999999999999</v>
      </c>
      <c r="L902">
        <v>3.3</v>
      </c>
      <c r="M902">
        <v>8.6</v>
      </c>
      <c r="N902">
        <v>136</v>
      </c>
      <c r="O902" s="1" t="s">
        <v>256</v>
      </c>
    </row>
    <row r="903" spans="1:15">
      <c r="A903" t="s">
        <v>809</v>
      </c>
      <c r="B903" t="s">
        <v>810</v>
      </c>
      <c r="C903" t="s">
        <v>654</v>
      </c>
      <c r="D903" t="s">
        <v>136</v>
      </c>
      <c r="E903">
        <v>2025</v>
      </c>
      <c r="F903">
        <v>6</v>
      </c>
      <c r="G903">
        <v>19</v>
      </c>
      <c r="H903">
        <v>11534</v>
      </c>
      <c r="I903">
        <v>1139</v>
      </c>
      <c r="J903">
        <v>0</v>
      </c>
      <c r="K903">
        <v>192.2</v>
      </c>
      <c r="L903">
        <v>19</v>
      </c>
      <c r="M903">
        <v>10.1</v>
      </c>
      <c r="N903">
        <v>152</v>
      </c>
      <c r="O903" s="1" t="s">
        <v>811</v>
      </c>
    </row>
    <row r="904" spans="1:15">
      <c r="A904" t="s">
        <v>809</v>
      </c>
      <c r="B904" t="s">
        <v>810</v>
      </c>
      <c r="C904" t="s">
        <v>654</v>
      </c>
      <c r="D904" t="s">
        <v>136</v>
      </c>
      <c r="E904">
        <v>2025</v>
      </c>
      <c r="F904">
        <v>7</v>
      </c>
      <c r="G904">
        <v>21</v>
      </c>
      <c r="H904">
        <v>12287</v>
      </c>
      <c r="I904">
        <v>0</v>
      </c>
      <c r="J904">
        <v>0</v>
      </c>
      <c r="K904">
        <v>204.8</v>
      </c>
      <c r="L904">
        <v>0</v>
      </c>
      <c r="M904">
        <v>9.8000000000000007</v>
      </c>
      <c r="N904">
        <v>168</v>
      </c>
      <c r="O904" s="1" t="s">
        <v>812</v>
      </c>
    </row>
    <row r="905" spans="1:15">
      <c r="A905" t="s">
        <v>809</v>
      </c>
      <c r="B905" t="s">
        <v>810</v>
      </c>
      <c r="C905" t="s">
        <v>654</v>
      </c>
      <c r="D905" t="s">
        <v>136</v>
      </c>
      <c r="E905">
        <v>2025</v>
      </c>
      <c r="F905">
        <v>8</v>
      </c>
      <c r="G905">
        <v>18</v>
      </c>
      <c r="H905">
        <v>10590</v>
      </c>
      <c r="I905">
        <v>203</v>
      </c>
      <c r="J905">
        <v>1</v>
      </c>
      <c r="K905">
        <v>176.5</v>
      </c>
      <c r="L905">
        <v>3.4</v>
      </c>
      <c r="M905">
        <v>9.8000000000000007</v>
      </c>
      <c r="N905">
        <v>136</v>
      </c>
      <c r="O905">
        <v>40.5</v>
      </c>
    </row>
    <row r="906" spans="1:15">
      <c r="A906" t="s">
        <v>813</v>
      </c>
      <c r="B906" t="s">
        <v>814</v>
      </c>
      <c r="C906" t="s">
        <v>709</v>
      </c>
      <c r="D906" t="s">
        <v>194</v>
      </c>
      <c r="E906">
        <v>2025</v>
      </c>
      <c r="F906">
        <v>6</v>
      </c>
      <c r="G906">
        <v>18</v>
      </c>
      <c r="H906">
        <v>9923</v>
      </c>
      <c r="I906">
        <v>0</v>
      </c>
      <c r="J906">
        <v>0</v>
      </c>
      <c r="K906">
        <v>165.4</v>
      </c>
      <c r="L906">
        <v>0</v>
      </c>
      <c r="M906">
        <v>9.1999999999999993</v>
      </c>
      <c r="N906">
        <v>144</v>
      </c>
      <c r="O906" s="1" t="s">
        <v>33</v>
      </c>
    </row>
    <row r="907" spans="1:15">
      <c r="A907" t="s">
        <v>813</v>
      </c>
      <c r="B907" t="s">
        <v>814</v>
      </c>
      <c r="C907" t="s">
        <v>709</v>
      </c>
      <c r="D907" t="s">
        <v>194</v>
      </c>
      <c r="E907">
        <v>2025</v>
      </c>
      <c r="F907">
        <v>7</v>
      </c>
      <c r="G907">
        <v>20</v>
      </c>
      <c r="H907">
        <v>10344</v>
      </c>
      <c r="I907">
        <v>0</v>
      </c>
      <c r="J907">
        <v>0</v>
      </c>
      <c r="K907">
        <v>172.4</v>
      </c>
      <c r="L907">
        <v>0</v>
      </c>
      <c r="M907">
        <v>8.6</v>
      </c>
      <c r="N907">
        <v>160</v>
      </c>
      <c r="O907" s="1" t="s">
        <v>274</v>
      </c>
    </row>
    <row r="908" spans="1:15">
      <c r="A908" t="s">
        <v>813</v>
      </c>
      <c r="B908" t="s">
        <v>814</v>
      </c>
      <c r="C908" t="s">
        <v>709</v>
      </c>
      <c r="D908" t="s">
        <v>194</v>
      </c>
      <c r="E908">
        <v>2025</v>
      </c>
      <c r="F908">
        <v>8</v>
      </c>
      <c r="G908">
        <v>12</v>
      </c>
      <c r="H908">
        <v>6042</v>
      </c>
      <c r="I908">
        <v>0</v>
      </c>
      <c r="J908">
        <v>0</v>
      </c>
      <c r="K908">
        <v>100.7</v>
      </c>
      <c r="L908">
        <v>0</v>
      </c>
      <c r="M908">
        <v>8.4</v>
      </c>
      <c r="N908">
        <v>96</v>
      </c>
      <c r="O908" s="1" t="s">
        <v>815</v>
      </c>
    </row>
    <row r="909" spans="1:15">
      <c r="A909" t="s">
        <v>816</v>
      </c>
      <c r="B909" t="s">
        <v>817</v>
      </c>
      <c r="C909" t="s">
        <v>709</v>
      </c>
      <c r="D909" t="s">
        <v>194</v>
      </c>
      <c r="E909">
        <v>2025</v>
      </c>
      <c r="F909">
        <v>6</v>
      </c>
      <c r="G909">
        <v>19</v>
      </c>
      <c r="H909">
        <v>10191</v>
      </c>
      <c r="I909">
        <v>0</v>
      </c>
      <c r="J909">
        <v>0</v>
      </c>
      <c r="K909">
        <v>169.8</v>
      </c>
      <c r="L909">
        <v>0</v>
      </c>
      <c r="M909">
        <v>8.9</v>
      </c>
      <c r="N909">
        <v>152</v>
      </c>
      <c r="O909" s="1" t="s">
        <v>818</v>
      </c>
    </row>
    <row r="910" spans="1:15">
      <c r="A910" t="s">
        <v>816</v>
      </c>
      <c r="B910" t="s">
        <v>817</v>
      </c>
      <c r="C910" t="s">
        <v>709</v>
      </c>
      <c r="D910" t="s">
        <v>194</v>
      </c>
      <c r="E910">
        <v>2025</v>
      </c>
      <c r="F910">
        <v>7</v>
      </c>
      <c r="G910">
        <v>18</v>
      </c>
      <c r="H910">
        <v>10034</v>
      </c>
      <c r="I910">
        <v>0</v>
      </c>
      <c r="J910">
        <v>1</v>
      </c>
      <c r="K910">
        <v>167.2</v>
      </c>
      <c r="L910">
        <v>0</v>
      </c>
      <c r="M910">
        <v>9.3000000000000007</v>
      </c>
      <c r="N910">
        <v>136</v>
      </c>
      <c r="O910" s="1" t="s">
        <v>62</v>
      </c>
    </row>
    <row r="911" spans="1:15">
      <c r="A911" t="s">
        <v>816</v>
      </c>
      <c r="B911" t="s">
        <v>817</v>
      </c>
      <c r="C911" t="s">
        <v>709</v>
      </c>
      <c r="D911" t="s">
        <v>194</v>
      </c>
      <c r="E911">
        <v>2025</v>
      </c>
      <c r="F911">
        <v>8</v>
      </c>
      <c r="G911">
        <v>15</v>
      </c>
      <c r="H911">
        <v>8111</v>
      </c>
      <c r="I911">
        <v>0</v>
      </c>
      <c r="J911">
        <v>0</v>
      </c>
      <c r="K911">
        <v>135.19999999999999</v>
      </c>
      <c r="L911">
        <v>0</v>
      </c>
      <c r="M911">
        <v>9</v>
      </c>
      <c r="N911">
        <v>120</v>
      </c>
      <c r="O911" s="1" t="s">
        <v>463</v>
      </c>
    </row>
    <row r="912" spans="1:15">
      <c r="A912" t="s">
        <v>819</v>
      </c>
      <c r="B912" t="s">
        <v>820</v>
      </c>
      <c r="C912" t="s">
        <v>682</v>
      </c>
      <c r="D912" t="s">
        <v>20</v>
      </c>
      <c r="E912">
        <v>2025</v>
      </c>
      <c r="F912">
        <v>6</v>
      </c>
      <c r="G912">
        <v>13</v>
      </c>
      <c r="H912">
        <v>6626</v>
      </c>
      <c r="I912">
        <v>0</v>
      </c>
      <c r="J912">
        <v>0</v>
      </c>
      <c r="K912">
        <v>110.4</v>
      </c>
      <c r="L912">
        <v>0</v>
      </c>
      <c r="M912">
        <v>8.5</v>
      </c>
      <c r="N912">
        <v>104</v>
      </c>
      <c r="O912" s="1" t="s">
        <v>129</v>
      </c>
    </row>
    <row r="913" spans="1:15">
      <c r="A913" t="s">
        <v>819</v>
      </c>
      <c r="B913" t="s">
        <v>820</v>
      </c>
      <c r="C913" t="s">
        <v>682</v>
      </c>
      <c r="D913" t="s">
        <v>20</v>
      </c>
      <c r="E913">
        <v>2025</v>
      </c>
      <c r="F913">
        <v>7</v>
      </c>
      <c r="G913">
        <v>19</v>
      </c>
      <c r="H913">
        <v>10189</v>
      </c>
      <c r="I913">
        <v>0</v>
      </c>
      <c r="J913">
        <v>0</v>
      </c>
      <c r="K913">
        <v>169.8</v>
      </c>
      <c r="L913">
        <v>0</v>
      </c>
      <c r="M913">
        <v>8.9</v>
      </c>
      <c r="N913">
        <v>152</v>
      </c>
      <c r="O913" s="1" t="s">
        <v>818</v>
      </c>
    </row>
    <row r="914" spans="1:15">
      <c r="A914" t="s">
        <v>819</v>
      </c>
      <c r="B914" t="s">
        <v>820</v>
      </c>
      <c r="C914" t="s">
        <v>682</v>
      </c>
      <c r="D914" t="s">
        <v>20</v>
      </c>
      <c r="E914">
        <v>2025</v>
      </c>
      <c r="F914">
        <v>8</v>
      </c>
      <c r="G914">
        <v>10</v>
      </c>
      <c r="H914">
        <v>4815</v>
      </c>
      <c r="I914">
        <v>0</v>
      </c>
      <c r="J914">
        <v>0</v>
      </c>
      <c r="K914">
        <v>80.2</v>
      </c>
      <c r="L914">
        <v>0</v>
      </c>
      <c r="M914">
        <v>8</v>
      </c>
      <c r="N914">
        <v>80</v>
      </c>
      <c r="O914" s="1" t="s">
        <v>821</v>
      </c>
    </row>
    <row r="915" spans="1:15">
      <c r="A915" t="s">
        <v>822</v>
      </c>
      <c r="B915" t="s">
        <v>823</v>
      </c>
      <c r="C915" t="s">
        <v>664</v>
      </c>
      <c r="D915" t="s">
        <v>136</v>
      </c>
      <c r="E915">
        <v>2025</v>
      </c>
      <c r="F915">
        <v>6</v>
      </c>
      <c r="G915">
        <v>17</v>
      </c>
      <c r="H915">
        <v>13332</v>
      </c>
      <c r="I915">
        <v>0</v>
      </c>
      <c r="J915">
        <v>0</v>
      </c>
      <c r="K915">
        <v>222.2</v>
      </c>
      <c r="L915">
        <v>0</v>
      </c>
      <c r="M915">
        <v>13.1</v>
      </c>
      <c r="N915">
        <v>136</v>
      </c>
      <c r="O915" s="1" t="s">
        <v>824</v>
      </c>
    </row>
    <row r="916" spans="1:15">
      <c r="A916" t="s">
        <v>822</v>
      </c>
      <c r="B916" t="s">
        <v>823</v>
      </c>
      <c r="C916" t="s">
        <v>664</v>
      </c>
      <c r="D916" t="s">
        <v>136</v>
      </c>
      <c r="E916">
        <v>2025</v>
      </c>
      <c r="F916">
        <v>7</v>
      </c>
      <c r="G916">
        <v>19</v>
      </c>
      <c r="H916">
        <v>13596</v>
      </c>
      <c r="I916">
        <v>0</v>
      </c>
      <c r="J916">
        <v>2</v>
      </c>
      <c r="K916">
        <v>226.6</v>
      </c>
      <c r="L916">
        <v>0</v>
      </c>
      <c r="M916">
        <v>11.9</v>
      </c>
      <c r="N916">
        <v>136</v>
      </c>
      <c r="O916">
        <v>90.6</v>
      </c>
    </row>
    <row r="917" spans="1:15">
      <c r="A917" t="s">
        <v>822</v>
      </c>
      <c r="B917" t="s">
        <v>823</v>
      </c>
      <c r="C917" t="s">
        <v>664</v>
      </c>
      <c r="D917" t="s">
        <v>136</v>
      </c>
      <c r="E917">
        <v>2025</v>
      </c>
      <c r="F917">
        <v>8</v>
      </c>
      <c r="G917">
        <v>21</v>
      </c>
      <c r="H917">
        <v>18759</v>
      </c>
      <c r="I917">
        <v>0</v>
      </c>
      <c r="J917">
        <v>4</v>
      </c>
      <c r="K917">
        <v>312.60000000000002</v>
      </c>
      <c r="L917">
        <v>0</v>
      </c>
      <c r="M917">
        <v>14.9</v>
      </c>
      <c r="N917">
        <v>136</v>
      </c>
      <c r="O917" s="1" t="s">
        <v>825</v>
      </c>
    </row>
    <row r="918" spans="1:15">
      <c r="A918" t="s">
        <v>826</v>
      </c>
      <c r="B918" t="s">
        <v>827</v>
      </c>
      <c r="C918" t="s">
        <v>664</v>
      </c>
      <c r="D918" t="s">
        <v>194</v>
      </c>
      <c r="E918">
        <v>2025</v>
      </c>
      <c r="F918">
        <v>6</v>
      </c>
      <c r="G918">
        <v>19</v>
      </c>
      <c r="H918">
        <v>14613</v>
      </c>
      <c r="I918">
        <v>0</v>
      </c>
      <c r="J918">
        <v>1</v>
      </c>
      <c r="K918">
        <v>243.6</v>
      </c>
      <c r="L918">
        <v>0</v>
      </c>
      <c r="M918">
        <v>12.8</v>
      </c>
      <c r="N918">
        <v>144</v>
      </c>
      <c r="O918">
        <v>99.6</v>
      </c>
    </row>
    <row r="919" spans="1:15">
      <c r="A919" t="s">
        <v>826</v>
      </c>
      <c r="B919" t="s">
        <v>827</v>
      </c>
      <c r="C919" t="s">
        <v>664</v>
      </c>
      <c r="D919" t="s">
        <v>194</v>
      </c>
      <c r="E919">
        <v>2025</v>
      </c>
      <c r="F919">
        <v>7</v>
      </c>
      <c r="G919">
        <v>20</v>
      </c>
      <c r="H919">
        <v>17065</v>
      </c>
      <c r="I919">
        <v>0</v>
      </c>
      <c r="J919">
        <v>2</v>
      </c>
      <c r="K919">
        <v>284.39999999999998</v>
      </c>
      <c r="L919">
        <v>0</v>
      </c>
      <c r="M919">
        <v>14.2</v>
      </c>
      <c r="N919">
        <v>144</v>
      </c>
      <c r="O919" s="1" t="s">
        <v>828</v>
      </c>
    </row>
    <row r="920" spans="1:15">
      <c r="A920" t="s">
        <v>826</v>
      </c>
      <c r="B920" t="s">
        <v>827</v>
      </c>
      <c r="C920" t="s">
        <v>664</v>
      </c>
      <c r="D920" t="s">
        <v>194</v>
      </c>
      <c r="E920">
        <v>2025</v>
      </c>
      <c r="F920">
        <v>8</v>
      </c>
      <c r="G920">
        <v>18</v>
      </c>
      <c r="H920">
        <v>16044</v>
      </c>
      <c r="I920">
        <v>0</v>
      </c>
      <c r="J920">
        <v>2</v>
      </c>
      <c r="K920">
        <v>267.39999999999998</v>
      </c>
      <c r="L920">
        <v>0</v>
      </c>
      <c r="M920">
        <v>14.9</v>
      </c>
      <c r="N920">
        <v>128</v>
      </c>
      <c r="O920" s="1" t="s">
        <v>829</v>
      </c>
    </row>
    <row r="921" spans="1:15">
      <c r="A921" t="s">
        <v>830</v>
      </c>
      <c r="B921" t="s">
        <v>831</v>
      </c>
      <c r="C921" t="s">
        <v>730</v>
      </c>
      <c r="D921" t="s">
        <v>136</v>
      </c>
      <c r="E921">
        <v>2025</v>
      </c>
      <c r="F921">
        <v>6</v>
      </c>
      <c r="G921">
        <v>15</v>
      </c>
      <c r="H921">
        <v>6808</v>
      </c>
      <c r="I921">
        <v>80</v>
      </c>
      <c r="J921">
        <v>0</v>
      </c>
      <c r="K921">
        <v>113.5</v>
      </c>
      <c r="L921">
        <v>1.3</v>
      </c>
      <c r="M921">
        <v>7.6</v>
      </c>
      <c r="N921">
        <v>120</v>
      </c>
      <c r="O921">
        <v>-6.5</v>
      </c>
    </row>
    <row r="922" spans="1:15">
      <c r="A922" t="s">
        <v>830</v>
      </c>
      <c r="B922" t="s">
        <v>831</v>
      </c>
      <c r="C922" t="s">
        <v>730</v>
      </c>
      <c r="D922" t="s">
        <v>136</v>
      </c>
      <c r="E922">
        <v>2025</v>
      </c>
      <c r="F922">
        <v>7</v>
      </c>
      <c r="G922">
        <v>18</v>
      </c>
      <c r="H922">
        <v>9573</v>
      </c>
      <c r="I922">
        <v>266</v>
      </c>
      <c r="J922">
        <v>0</v>
      </c>
      <c r="K922">
        <v>159.6</v>
      </c>
      <c r="L922">
        <v>4.4000000000000004</v>
      </c>
      <c r="M922">
        <v>8.9</v>
      </c>
      <c r="N922">
        <v>144</v>
      </c>
      <c r="O922" s="1" t="s">
        <v>832</v>
      </c>
    </row>
    <row r="923" spans="1:15">
      <c r="A923" t="s">
        <v>830</v>
      </c>
      <c r="B923" t="s">
        <v>831</v>
      </c>
      <c r="C923" t="s">
        <v>730</v>
      </c>
      <c r="D923" t="s">
        <v>136</v>
      </c>
      <c r="E923">
        <v>2025</v>
      </c>
      <c r="F923">
        <v>8</v>
      </c>
      <c r="G923">
        <v>13</v>
      </c>
      <c r="H923">
        <v>5168</v>
      </c>
      <c r="I923">
        <v>352</v>
      </c>
      <c r="J923">
        <v>1</v>
      </c>
      <c r="K923">
        <v>86.1</v>
      </c>
      <c r="L923">
        <v>5.9</v>
      </c>
      <c r="M923">
        <v>6.6</v>
      </c>
      <c r="N923">
        <v>96</v>
      </c>
      <c r="O923">
        <v>-9.9</v>
      </c>
    </row>
    <row r="924" spans="1:15">
      <c r="A924" t="s">
        <v>833</v>
      </c>
      <c r="B924" t="s">
        <v>834</v>
      </c>
      <c r="C924" t="s">
        <v>773</v>
      </c>
      <c r="D924" t="s">
        <v>194</v>
      </c>
      <c r="E924">
        <v>2025</v>
      </c>
      <c r="F924">
        <v>6</v>
      </c>
      <c r="G924">
        <v>22</v>
      </c>
      <c r="H924">
        <v>10858</v>
      </c>
      <c r="I924">
        <v>0</v>
      </c>
      <c r="J924">
        <v>3</v>
      </c>
      <c r="K924">
        <v>181</v>
      </c>
      <c r="L924">
        <v>0</v>
      </c>
      <c r="M924">
        <v>8.1999999999999993</v>
      </c>
      <c r="N924">
        <v>152</v>
      </c>
      <c r="O924">
        <v>29</v>
      </c>
    </row>
    <row r="925" spans="1:15">
      <c r="A925" t="s">
        <v>833</v>
      </c>
      <c r="B925" t="s">
        <v>834</v>
      </c>
      <c r="C925" t="s">
        <v>773</v>
      </c>
      <c r="D925" t="s">
        <v>194</v>
      </c>
      <c r="E925">
        <v>2025</v>
      </c>
      <c r="F925">
        <v>7</v>
      </c>
      <c r="G925">
        <v>18</v>
      </c>
      <c r="H925">
        <v>10200</v>
      </c>
      <c r="I925">
        <v>0</v>
      </c>
      <c r="J925">
        <v>0</v>
      </c>
      <c r="K925">
        <v>170</v>
      </c>
      <c r="L925">
        <v>0</v>
      </c>
      <c r="M925">
        <v>9.4</v>
      </c>
      <c r="N925">
        <v>144</v>
      </c>
      <c r="O925">
        <v>26</v>
      </c>
    </row>
    <row r="926" spans="1:15">
      <c r="A926" t="s">
        <v>833</v>
      </c>
      <c r="B926" t="s">
        <v>834</v>
      </c>
      <c r="C926" t="s">
        <v>773</v>
      </c>
      <c r="D926" t="s">
        <v>194</v>
      </c>
      <c r="E926">
        <v>2025</v>
      </c>
      <c r="F926">
        <v>8</v>
      </c>
      <c r="G926">
        <v>16</v>
      </c>
      <c r="H926">
        <v>7725</v>
      </c>
      <c r="I926">
        <v>0</v>
      </c>
      <c r="J926">
        <v>0</v>
      </c>
      <c r="K926">
        <v>128.80000000000001</v>
      </c>
      <c r="L926">
        <v>0</v>
      </c>
      <c r="M926">
        <v>8</v>
      </c>
      <c r="N926">
        <v>128</v>
      </c>
      <c r="O926" s="1" t="s">
        <v>835</v>
      </c>
    </row>
    <row r="927" spans="1:15">
      <c r="A927" t="s">
        <v>836</v>
      </c>
      <c r="B927" t="s">
        <v>837</v>
      </c>
      <c r="C927" t="s">
        <v>668</v>
      </c>
      <c r="D927" t="s">
        <v>194</v>
      </c>
      <c r="E927">
        <v>2025</v>
      </c>
      <c r="F927">
        <v>6</v>
      </c>
      <c r="G927">
        <v>20</v>
      </c>
      <c r="H927">
        <v>11083</v>
      </c>
      <c r="I927">
        <v>130</v>
      </c>
      <c r="J927">
        <v>1</v>
      </c>
      <c r="K927">
        <v>184.7</v>
      </c>
      <c r="L927">
        <v>2.2000000000000002</v>
      </c>
      <c r="M927">
        <v>9.1999999999999993</v>
      </c>
      <c r="N927">
        <v>152</v>
      </c>
      <c r="O927" s="1" t="s">
        <v>838</v>
      </c>
    </row>
    <row r="928" spans="1:15">
      <c r="A928" t="s">
        <v>836</v>
      </c>
      <c r="B928" t="s">
        <v>837</v>
      </c>
      <c r="C928" t="s">
        <v>668</v>
      </c>
      <c r="D928" t="s">
        <v>194</v>
      </c>
      <c r="E928">
        <v>2025</v>
      </c>
      <c r="F928">
        <v>7</v>
      </c>
      <c r="G928">
        <v>20</v>
      </c>
      <c r="H928">
        <v>9875</v>
      </c>
      <c r="I928">
        <v>55</v>
      </c>
      <c r="J928">
        <v>2</v>
      </c>
      <c r="K928">
        <v>164.6</v>
      </c>
      <c r="L928">
        <v>0.9</v>
      </c>
      <c r="M928">
        <v>8.1999999999999993</v>
      </c>
      <c r="N928">
        <v>144</v>
      </c>
      <c r="O928" s="1" t="s">
        <v>171</v>
      </c>
    </row>
    <row r="929" spans="1:15">
      <c r="A929" t="s">
        <v>836</v>
      </c>
      <c r="B929" t="s">
        <v>837</v>
      </c>
      <c r="C929" t="s">
        <v>668</v>
      </c>
      <c r="D929" t="s">
        <v>194</v>
      </c>
      <c r="E929">
        <v>2025</v>
      </c>
      <c r="F929">
        <v>8</v>
      </c>
      <c r="G929">
        <v>15</v>
      </c>
      <c r="H929">
        <v>8041</v>
      </c>
      <c r="I929">
        <v>120</v>
      </c>
      <c r="J929">
        <v>0</v>
      </c>
      <c r="K929">
        <v>134</v>
      </c>
      <c r="L929">
        <v>2</v>
      </c>
      <c r="M929">
        <v>8.9</v>
      </c>
      <c r="N929">
        <v>120</v>
      </c>
      <c r="O929">
        <v>14</v>
      </c>
    </row>
    <row r="930" spans="1:15">
      <c r="A930" t="s">
        <v>839</v>
      </c>
      <c r="B930" t="s">
        <v>376</v>
      </c>
      <c r="C930" t="s">
        <v>733</v>
      </c>
      <c r="D930" t="s">
        <v>194</v>
      </c>
      <c r="E930">
        <v>2025</v>
      </c>
      <c r="F930">
        <v>6</v>
      </c>
      <c r="G930">
        <v>16</v>
      </c>
      <c r="H930">
        <v>9061</v>
      </c>
      <c r="I930">
        <v>57</v>
      </c>
      <c r="J930">
        <v>0</v>
      </c>
      <c r="K930">
        <v>151</v>
      </c>
      <c r="L930">
        <v>1</v>
      </c>
      <c r="M930">
        <v>9.4</v>
      </c>
      <c r="N930">
        <v>128</v>
      </c>
      <c r="O930">
        <v>23</v>
      </c>
    </row>
    <row r="931" spans="1:15">
      <c r="A931" t="s">
        <v>839</v>
      </c>
      <c r="B931" t="s">
        <v>376</v>
      </c>
      <c r="C931" t="s">
        <v>733</v>
      </c>
      <c r="D931" t="s">
        <v>194</v>
      </c>
      <c r="E931">
        <v>2025</v>
      </c>
      <c r="F931">
        <v>7</v>
      </c>
      <c r="G931">
        <v>21</v>
      </c>
      <c r="H931">
        <v>11826</v>
      </c>
      <c r="I931">
        <v>65</v>
      </c>
      <c r="J931">
        <v>0</v>
      </c>
      <c r="K931">
        <v>197.1</v>
      </c>
      <c r="L931">
        <v>1.1000000000000001</v>
      </c>
      <c r="M931">
        <v>9.4</v>
      </c>
      <c r="N931">
        <v>168</v>
      </c>
      <c r="O931" s="1" t="s">
        <v>578</v>
      </c>
    </row>
    <row r="932" spans="1:15">
      <c r="A932" t="s">
        <v>839</v>
      </c>
      <c r="B932" t="s">
        <v>376</v>
      </c>
      <c r="C932" t="s">
        <v>733</v>
      </c>
      <c r="D932" t="s">
        <v>194</v>
      </c>
      <c r="E932">
        <v>2025</v>
      </c>
      <c r="F932">
        <v>8</v>
      </c>
      <c r="G932">
        <v>17</v>
      </c>
      <c r="H932">
        <v>8901</v>
      </c>
      <c r="I932">
        <v>0</v>
      </c>
      <c r="J932">
        <v>0</v>
      </c>
      <c r="K932">
        <v>148.4</v>
      </c>
      <c r="L932">
        <v>0</v>
      </c>
      <c r="M932">
        <v>8.6999999999999993</v>
      </c>
      <c r="N932">
        <v>136</v>
      </c>
      <c r="O932" s="1" t="s">
        <v>274</v>
      </c>
    </row>
    <row r="933" spans="1:15">
      <c r="A933" t="s">
        <v>840</v>
      </c>
      <c r="B933" t="s">
        <v>841</v>
      </c>
      <c r="C933" t="s">
        <v>709</v>
      </c>
      <c r="D933" t="s">
        <v>136</v>
      </c>
      <c r="E933">
        <v>2025</v>
      </c>
      <c r="F933">
        <v>6</v>
      </c>
      <c r="G933">
        <v>18</v>
      </c>
      <c r="H933">
        <v>11198</v>
      </c>
      <c r="I933">
        <v>0</v>
      </c>
      <c r="J933">
        <v>0</v>
      </c>
      <c r="K933">
        <v>186.6</v>
      </c>
      <c r="L933">
        <v>0</v>
      </c>
      <c r="M933">
        <v>10.4</v>
      </c>
      <c r="N933">
        <v>144</v>
      </c>
      <c r="O933" s="1" t="s">
        <v>234</v>
      </c>
    </row>
    <row r="934" spans="1:15">
      <c r="A934" t="s">
        <v>840</v>
      </c>
      <c r="B934" t="s">
        <v>841</v>
      </c>
      <c r="C934" t="s">
        <v>709</v>
      </c>
      <c r="D934" t="s">
        <v>136</v>
      </c>
      <c r="E934">
        <v>2025</v>
      </c>
      <c r="F934">
        <v>7</v>
      </c>
      <c r="G934">
        <v>28</v>
      </c>
      <c r="H934">
        <v>17920</v>
      </c>
      <c r="I934">
        <v>0</v>
      </c>
      <c r="J934">
        <v>6</v>
      </c>
      <c r="K934">
        <v>298.7</v>
      </c>
      <c r="L934">
        <v>0</v>
      </c>
      <c r="M934">
        <v>10.7</v>
      </c>
      <c r="N934">
        <v>176</v>
      </c>
      <c r="O934" s="1" t="s">
        <v>842</v>
      </c>
    </row>
    <row r="935" spans="1:15">
      <c r="A935" t="s">
        <v>840</v>
      </c>
      <c r="B935" t="s">
        <v>841</v>
      </c>
      <c r="C935" t="s">
        <v>709</v>
      </c>
      <c r="D935" t="s">
        <v>136</v>
      </c>
      <c r="E935">
        <v>2025</v>
      </c>
      <c r="F935">
        <v>8</v>
      </c>
      <c r="G935">
        <v>17</v>
      </c>
      <c r="H935">
        <v>10439</v>
      </c>
      <c r="I935">
        <v>0</v>
      </c>
      <c r="J935">
        <v>2</v>
      </c>
      <c r="K935">
        <v>174</v>
      </c>
      <c r="L935">
        <v>0</v>
      </c>
      <c r="M935">
        <v>10.199999999999999</v>
      </c>
      <c r="N935">
        <v>120</v>
      </c>
      <c r="O935">
        <v>54</v>
      </c>
    </row>
    <row r="936" spans="1:15">
      <c r="A936" t="s">
        <v>843</v>
      </c>
      <c r="B936" t="s">
        <v>844</v>
      </c>
      <c r="C936" t="s">
        <v>664</v>
      </c>
      <c r="D936" t="s">
        <v>194</v>
      </c>
      <c r="E936">
        <v>2025</v>
      </c>
      <c r="F936">
        <v>6</v>
      </c>
      <c r="G936">
        <v>22</v>
      </c>
      <c r="H936">
        <v>13998</v>
      </c>
      <c r="I936">
        <v>0</v>
      </c>
      <c r="J936">
        <v>2</v>
      </c>
      <c r="K936">
        <v>233.3</v>
      </c>
      <c r="L936">
        <v>0</v>
      </c>
      <c r="M936">
        <v>10.6</v>
      </c>
      <c r="N936">
        <v>160</v>
      </c>
      <c r="O936" s="1" t="s">
        <v>845</v>
      </c>
    </row>
    <row r="937" spans="1:15">
      <c r="A937" t="s">
        <v>843</v>
      </c>
      <c r="B937" t="s">
        <v>844</v>
      </c>
      <c r="C937" t="s">
        <v>664</v>
      </c>
      <c r="D937" t="s">
        <v>194</v>
      </c>
      <c r="E937">
        <v>2025</v>
      </c>
      <c r="F937">
        <v>7</v>
      </c>
      <c r="G937">
        <v>18</v>
      </c>
      <c r="H937">
        <v>9413</v>
      </c>
      <c r="I937">
        <v>0</v>
      </c>
      <c r="J937">
        <v>0</v>
      </c>
      <c r="K937">
        <v>156.9</v>
      </c>
      <c r="L937">
        <v>0</v>
      </c>
      <c r="M937">
        <v>8.6999999999999993</v>
      </c>
      <c r="N937">
        <v>144</v>
      </c>
      <c r="O937" s="1" t="s">
        <v>416</v>
      </c>
    </row>
    <row r="938" spans="1:15">
      <c r="A938" t="s">
        <v>843</v>
      </c>
      <c r="B938" t="s">
        <v>844</v>
      </c>
      <c r="C938" t="s">
        <v>664</v>
      </c>
      <c r="D938" t="s">
        <v>194</v>
      </c>
      <c r="E938">
        <v>2025</v>
      </c>
      <c r="F938">
        <v>8</v>
      </c>
      <c r="G938">
        <v>16</v>
      </c>
      <c r="H938">
        <v>9565</v>
      </c>
      <c r="I938">
        <v>0</v>
      </c>
      <c r="J938">
        <v>0</v>
      </c>
      <c r="K938">
        <v>159.4</v>
      </c>
      <c r="L938">
        <v>0</v>
      </c>
      <c r="M938">
        <v>10</v>
      </c>
      <c r="N938">
        <v>128</v>
      </c>
      <c r="O938" s="1" t="s">
        <v>846</v>
      </c>
    </row>
    <row r="939" spans="1:15">
      <c r="A939" t="s">
        <v>847</v>
      </c>
      <c r="B939" t="s">
        <v>848</v>
      </c>
      <c r="C939" t="s">
        <v>696</v>
      </c>
      <c r="D939" t="s">
        <v>136</v>
      </c>
      <c r="E939">
        <v>2025</v>
      </c>
      <c r="F939">
        <v>6</v>
      </c>
      <c r="G939">
        <v>17</v>
      </c>
      <c r="H939">
        <v>9787</v>
      </c>
      <c r="I939">
        <v>704</v>
      </c>
      <c r="J939">
        <v>0</v>
      </c>
      <c r="K939">
        <v>163.1</v>
      </c>
      <c r="L939">
        <v>11.7</v>
      </c>
      <c r="M939">
        <v>9.6</v>
      </c>
      <c r="N939">
        <v>136</v>
      </c>
      <c r="O939" s="1" t="s">
        <v>276</v>
      </c>
    </row>
    <row r="940" spans="1:15">
      <c r="A940" t="s">
        <v>847</v>
      </c>
      <c r="B940" t="s">
        <v>848</v>
      </c>
      <c r="C940" t="s">
        <v>696</v>
      </c>
      <c r="D940" t="s">
        <v>136</v>
      </c>
      <c r="E940">
        <v>2025</v>
      </c>
      <c r="F940">
        <v>7</v>
      </c>
      <c r="G940">
        <v>29</v>
      </c>
      <c r="H940">
        <v>31892</v>
      </c>
      <c r="I940">
        <v>0</v>
      </c>
      <c r="J940">
        <v>7</v>
      </c>
      <c r="K940">
        <v>531.5</v>
      </c>
      <c r="L940">
        <v>0</v>
      </c>
      <c r="M940">
        <v>18.3</v>
      </c>
      <c r="N940">
        <v>176</v>
      </c>
      <c r="O940">
        <v>355.5</v>
      </c>
    </row>
    <row r="941" spans="1:15">
      <c r="A941" t="s">
        <v>847</v>
      </c>
      <c r="B941" t="s">
        <v>848</v>
      </c>
      <c r="C941" t="s">
        <v>696</v>
      </c>
      <c r="D941" t="s">
        <v>136</v>
      </c>
      <c r="E941">
        <v>2025</v>
      </c>
      <c r="F941">
        <v>8</v>
      </c>
      <c r="G941">
        <v>16</v>
      </c>
      <c r="H941">
        <v>7957</v>
      </c>
      <c r="I941">
        <v>362</v>
      </c>
      <c r="J941">
        <v>0</v>
      </c>
      <c r="K941">
        <v>132.6</v>
      </c>
      <c r="L941">
        <v>6</v>
      </c>
      <c r="M941">
        <v>8.3000000000000007</v>
      </c>
      <c r="N941">
        <v>128</v>
      </c>
      <c r="O941" s="1" t="s">
        <v>849</v>
      </c>
    </row>
    <row r="942" spans="1:15">
      <c r="A942" t="s">
        <v>850</v>
      </c>
      <c r="B942" t="s">
        <v>851</v>
      </c>
      <c r="C942" t="s">
        <v>773</v>
      </c>
      <c r="D942" t="s">
        <v>194</v>
      </c>
      <c r="E942">
        <v>2025</v>
      </c>
      <c r="F942">
        <v>6</v>
      </c>
      <c r="G942">
        <v>18</v>
      </c>
      <c r="H942">
        <v>10178</v>
      </c>
      <c r="I942">
        <v>60</v>
      </c>
      <c r="J942">
        <v>0</v>
      </c>
      <c r="K942">
        <v>169.6</v>
      </c>
      <c r="L942">
        <v>1</v>
      </c>
      <c r="M942">
        <v>9.4</v>
      </c>
      <c r="N942">
        <v>144</v>
      </c>
      <c r="O942" s="1" t="s">
        <v>549</v>
      </c>
    </row>
    <row r="943" spans="1:15">
      <c r="A943" t="s">
        <v>850</v>
      </c>
      <c r="B943" t="s">
        <v>851</v>
      </c>
      <c r="C943" t="s">
        <v>773</v>
      </c>
      <c r="D943" t="s">
        <v>194</v>
      </c>
      <c r="E943">
        <v>2025</v>
      </c>
      <c r="F943">
        <v>7</v>
      </c>
      <c r="G943">
        <v>13</v>
      </c>
      <c r="H943">
        <v>7441</v>
      </c>
      <c r="I943">
        <v>211</v>
      </c>
      <c r="J943">
        <v>0</v>
      </c>
      <c r="K943">
        <v>124</v>
      </c>
      <c r="L943">
        <v>3.5</v>
      </c>
      <c r="M943">
        <v>9.5</v>
      </c>
      <c r="N943">
        <v>104</v>
      </c>
      <c r="O943">
        <v>20</v>
      </c>
    </row>
    <row r="944" spans="1:15">
      <c r="A944" t="s">
        <v>850</v>
      </c>
      <c r="B944" t="s">
        <v>851</v>
      </c>
      <c r="C944" t="s">
        <v>773</v>
      </c>
      <c r="D944" t="s">
        <v>194</v>
      </c>
      <c r="E944">
        <v>2025</v>
      </c>
      <c r="F944">
        <v>8</v>
      </c>
      <c r="G944">
        <v>16</v>
      </c>
      <c r="H944">
        <v>8335</v>
      </c>
      <c r="I944">
        <v>0</v>
      </c>
      <c r="J944">
        <v>0</v>
      </c>
      <c r="K944">
        <v>138.9</v>
      </c>
      <c r="L944">
        <v>0</v>
      </c>
      <c r="M944">
        <v>8.6999999999999993</v>
      </c>
      <c r="N944">
        <v>128</v>
      </c>
      <c r="O944" s="1" t="s">
        <v>297</v>
      </c>
    </row>
    <row r="945" spans="1:15">
      <c r="A945" t="s">
        <v>852</v>
      </c>
      <c r="B945" t="s">
        <v>853</v>
      </c>
      <c r="C945" t="s">
        <v>773</v>
      </c>
      <c r="D945" t="s">
        <v>194</v>
      </c>
      <c r="E945">
        <v>2025</v>
      </c>
      <c r="F945">
        <v>6</v>
      </c>
      <c r="G945">
        <v>18</v>
      </c>
      <c r="H945">
        <v>10226</v>
      </c>
      <c r="I945">
        <v>0</v>
      </c>
      <c r="J945">
        <v>0</v>
      </c>
      <c r="K945">
        <v>170.4</v>
      </c>
      <c r="L945">
        <v>0</v>
      </c>
      <c r="M945">
        <v>9.5</v>
      </c>
      <c r="N945">
        <v>144</v>
      </c>
      <c r="O945" s="1" t="s">
        <v>555</v>
      </c>
    </row>
    <row r="946" spans="1:15">
      <c r="A946" t="s">
        <v>852</v>
      </c>
      <c r="B946" t="s">
        <v>853</v>
      </c>
      <c r="C946" t="s">
        <v>773</v>
      </c>
      <c r="D946" t="s">
        <v>194</v>
      </c>
      <c r="E946">
        <v>2025</v>
      </c>
      <c r="F946">
        <v>7</v>
      </c>
      <c r="G946">
        <v>18</v>
      </c>
      <c r="H946">
        <v>9960</v>
      </c>
      <c r="I946">
        <v>0</v>
      </c>
      <c r="J946">
        <v>0</v>
      </c>
      <c r="K946">
        <v>166</v>
      </c>
      <c r="L946">
        <v>0</v>
      </c>
      <c r="M946">
        <v>9.1999999999999993</v>
      </c>
      <c r="N946">
        <v>144</v>
      </c>
      <c r="O946">
        <v>22</v>
      </c>
    </row>
    <row r="947" spans="1:15">
      <c r="A947" t="s">
        <v>852</v>
      </c>
      <c r="B947" t="s">
        <v>853</v>
      </c>
      <c r="C947" t="s">
        <v>773</v>
      </c>
      <c r="D947" t="s">
        <v>194</v>
      </c>
      <c r="E947">
        <v>2025</v>
      </c>
      <c r="F947">
        <v>8</v>
      </c>
      <c r="G947">
        <v>15</v>
      </c>
      <c r="H947">
        <v>7653</v>
      </c>
      <c r="I947">
        <v>57</v>
      </c>
      <c r="J947">
        <v>0</v>
      </c>
      <c r="K947">
        <v>127.6</v>
      </c>
      <c r="L947">
        <v>1</v>
      </c>
      <c r="M947">
        <v>8.5</v>
      </c>
      <c r="N947">
        <v>120</v>
      </c>
      <c r="O947" s="1" t="s">
        <v>385</v>
      </c>
    </row>
    <row r="948" spans="1:15">
      <c r="A948" t="s">
        <v>854</v>
      </c>
      <c r="B948" t="s">
        <v>855</v>
      </c>
      <c r="C948" t="s">
        <v>856</v>
      </c>
      <c r="D948" t="s">
        <v>20</v>
      </c>
      <c r="E948">
        <v>2025</v>
      </c>
      <c r="F948">
        <v>6</v>
      </c>
      <c r="G948">
        <v>3</v>
      </c>
      <c r="H948">
        <v>633</v>
      </c>
      <c r="I948">
        <v>0</v>
      </c>
      <c r="J948">
        <v>0</v>
      </c>
      <c r="K948">
        <v>10.6</v>
      </c>
      <c r="L948">
        <v>0</v>
      </c>
      <c r="M948">
        <v>3.5</v>
      </c>
      <c r="N948">
        <v>24</v>
      </c>
      <c r="O948">
        <v>-13.4</v>
      </c>
    </row>
    <row r="949" spans="1:15">
      <c r="A949" t="s">
        <v>854</v>
      </c>
      <c r="B949" t="s">
        <v>855</v>
      </c>
      <c r="C949" t="s">
        <v>856</v>
      </c>
      <c r="D949" t="s">
        <v>20</v>
      </c>
      <c r="E949">
        <v>2025</v>
      </c>
      <c r="F949">
        <v>7</v>
      </c>
      <c r="G949">
        <v>3</v>
      </c>
      <c r="H949">
        <v>1180</v>
      </c>
      <c r="I949">
        <v>0</v>
      </c>
      <c r="J949">
        <v>0</v>
      </c>
      <c r="K949">
        <v>19.7</v>
      </c>
      <c r="L949">
        <v>0</v>
      </c>
      <c r="M949">
        <v>6.6</v>
      </c>
      <c r="N949">
        <v>24</v>
      </c>
      <c r="O949">
        <v>-4.3</v>
      </c>
    </row>
    <row r="950" spans="1:15">
      <c r="A950" t="s">
        <v>854</v>
      </c>
      <c r="B950" t="s">
        <v>855</v>
      </c>
      <c r="C950" t="s">
        <v>856</v>
      </c>
      <c r="D950" t="s">
        <v>20</v>
      </c>
      <c r="E950">
        <v>2025</v>
      </c>
      <c r="F950">
        <v>8</v>
      </c>
      <c r="G950">
        <v>12</v>
      </c>
      <c r="H950">
        <v>11743</v>
      </c>
      <c r="I950">
        <v>0</v>
      </c>
      <c r="J950">
        <v>2</v>
      </c>
      <c r="K950">
        <v>195.7</v>
      </c>
      <c r="L950">
        <v>0</v>
      </c>
      <c r="M950">
        <v>16.3</v>
      </c>
      <c r="N950">
        <v>80</v>
      </c>
      <c r="O950" s="1" t="s">
        <v>857</v>
      </c>
    </row>
    <row r="951" spans="1:15">
      <c r="A951" t="s">
        <v>858</v>
      </c>
      <c r="B951" t="s">
        <v>859</v>
      </c>
      <c r="C951" t="s">
        <v>709</v>
      </c>
      <c r="D951" t="s">
        <v>194</v>
      </c>
      <c r="E951">
        <v>2025</v>
      </c>
      <c r="F951">
        <v>6</v>
      </c>
      <c r="G951">
        <v>19</v>
      </c>
      <c r="H951">
        <v>10252</v>
      </c>
      <c r="I951">
        <v>56</v>
      </c>
      <c r="J951">
        <v>0</v>
      </c>
      <c r="K951">
        <v>170.9</v>
      </c>
      <c r="L951">
        <v>0.9</v>
      </c>
      <c r="M951">
        <v>9</v>
      </c>
      <c r="N951">
        <v>152</v>
      </c>
      <c r="O951" s="1" t="s">
        <v>232</v>
      </c>
    </row>
    <row r="952" spans="1:15">
      <c r="A952" t="s">
        <v>858</v>
      </c>
      <c r="B952" t="s">
        <v>859</v>
      </c>
      <c r="C952" t="s">
        <v>709</v>
      </c>
      <c r="D952" t="s">
        <v>194</v>
      </c>
      <c r="E952">
        <v>2025</v>
      </c>
      <c r="F952">
        <v>7</v>
      </c>
      <c r="G952">
        <v>23</v>
      </c>
      <c r="H952">
        <v>12519</v>
      </c>
      <c r="I952">
        <v>0</v>
      </c>
      <c r="J952">
        <v>0</v>
      </c>
      <c r="K952">
        <v>208.6</v>
      </c>
      <c r="L952">
        <v>0</v>
      </c>
      <c r="M952">
        <v>9.1</v>
      </c>
      <c r="N952">
        <v>184</v>
      </c>
      <c r="O952" s="1" t="s">
        <v>371</v>
      </c>
    </row>
    <row r="953" spans="1:15">
      <c r="A953" t="s">
        <v>858</v>
      </c>
      <c r="B953" t="s">
        <v>859</v>
      </c>
      <c r="C953" t="s">
        <v>709</v>
      </c>
      <c r="D953" t="s">
        <v>194</v>
      </c>
      <c r="E953">
        <v>2025</v>
      </c>
      <c r="F953">
        <v>8</v>
      </c>
      <c r="G953">
        <v>17</v>
      </c>
      <c r="H953">
        <v>8795</v>
      </c>
      <c r="I953">
        <v>60</v>
      </c>
      <c r="J953">
        <v>0</v>
      </c>
      <c r="K953">
        <v>146.6</v>
      </c>
      <c r="L953">
        <v>1</v>
      </c>
      <c r="M953">
        <v>8.6</v>
      </c>
      <c r="N953">
        <v>136</v>
      </c>
      <c r="O953" s="1" t="s">
        <v>580</v>
      </c>
    </row>
    <row r="954" spans="1:15">
      <c r="A954" t="s">
        <v>860</v>
      </c>
      <c r="B954" t="s">
        <v>861</v>
      </c>
      <c r="C954" t="s">
        <v>709</v>
      </c>
      <c r="D954" t="s">
        <v>136</v>
      </c>
      <c r="E954">
        <v>2025</v>
      </c>
      <c r="F954">
        <v>6</v>
      </c>
      <c r="G954">
        <v>24</v>
      </c>
      <c r="H954">
        <v>20352</v>
      </c>
      <c r="I954">
        <v>0</v>
      </c>
      <c r="J954">
        <v>4</v>
      </c>
      <c r="K954">
        <v>339.2</v>
      </c>
      <c r="L954">
        <v>0</v>
      </c>
      <c r="M954">
        <v>14.1</v>
      </c>
      <c r="N954">
        <v>160</v>
      </c>
      <c r="O954">
        <v>179.2</v>
      </c>
    </row>
    <row r="955" spans="1:15">
      <c r="A955" t="s">
        <v>860</v>
      </c>
      <c r="B955" t="s">
        <v>861</v>
      </c>
      <c r="C955" t="s">
        <v>709</v>
      </c>
      <c r="D955" t="s">
        <v>136</v>
      </c>
      <c r="E955">
        <v>2025</v>
      </c>
      <c r="F955">
        <v>7</v>
      </c>
      <c r="G955">
        <v>29</v>
      </c>
      <c r="H955">
        <v>25007</v>
      </c>
      <c r="I955">
        <v>0</v>
      </c>
      <c r="J955">
        <v>7</v>
      </c>
      <c r="K955">
        <v>416.8</v>
      </c>
      <c r="L955">
        <v>0</v>
      </c>
      <c r="M955">
        <v>14.4</v>
      </c>
      <c r="N955">
        <v>176</v>
      </c>
      <c r="O955">
        <v>240.8</v>
      </c>
    </row>
    <row r="956" spans="1:15">
      <c r="A956" t="s">
        <v>860</v>
      </c>
      <c r="B956" t="s">
        <v>861</v>
      </c>
      <c r="C956" t="s">
        <v>709</v>
      </c>
      <c r="D956" t="s">
        <v>136</v>
      </c>
      <c r="E956">
        <v>2025</v>
      </c>
      <c r="F956">
        <v>8</v>
      </c>
      <c r="G956">
        <v>18</v>
      </c>
      <c r="H956">
        <v>13063</v>
      </c>
      <c r="I956">
        <v>0</v>
      </c>
      <c r="J956">
        <v>2</v>
      </c>
      <c r="K956">
        <v>217.7</v>
      </c>
      <c r="L956">
        <v>0</v>
      </c>
      <c r="M956">
        <v>12.1</v>
      </c>
      <c r="N956">
        <v>128</v>
      </c>
      <c r="O956" s="1" t="s">
        <v>862</v>
      </c>
    </row>
    <row r="957" spans="1:15">
      <c r="A957" t="s">
        <v>863</v>
      </c>
      <c r="B957" t="s">
        <v>864</v>
      </c>
      <c r="C957" t="s">
        <v>726</v>
      </c>
      <c r="D957" t="s">
        <v>194</v>
      </c>
      <c r="E957">
        <v>2025</v>
      </c>
      <c r="F957">
        <v>6</v>
      </c>
      <c r="G957">
        <v>21</v>
      </c>
      <c r="H957">
        <v>12123</v>
      </c>
      <c r="I957">
        <v>1391</v>
      </c>
      <c r="J957">
        <v>2</v>
      </c>
      <c r="K957">
        <v>202</v>
      </c>
      <c r="L957">
        <v>23.2</v>
      </c>
      <c r="M957">
        <v>9.6</v>
      </c>
      <c r="N957">
        <v>152</v>
      </c>
      <c r="O957">
        <v>50</v>
      </c>
    </row>
    <row r="958" spans="1:15">
      <c r="A958" t="s">
        <v>863</v>
      </c>
      <c r="B958" t="s">
        <v>864</v>
      </c>
      <c r="C958" t="s">
        <v>726</v>
      </c>
      <c r="D958" t="s">
        <v>194</v>
      </c>
      <c r="E958">
        <v>2025</v>
      </c>
      <c r="F958">
        <v>7</v>
      </c>
      <c r="G958">
        <v>21</v>
      </c>
      <c r="H958">
        <v>11863</v>
      </c>
      <c r="I958">
        <v>1613</v>
      </c>
      <c r="J958">
        <v>2</v>
      </c>
      <c r="K958">
        <v>197.7</v>
      </c>
      <c r="L958">
        <v>26.9</v>
      </c>
      <c r="M958">
        <v>9.4</v>
      </c>
      <c r="N958">
        <v>152</v>
      </c>
      <c r="O958" s="1" t="s">
        <v>473</v>
      </c>
    </row>
    <row r="959" spans="1:15">
      <c r="A959" t="s">
        <v>863</v>
      </c>
      <c r="B959" t="s">
        <v>864</v>
      </c>
      <c r="C959" t="s">
        <v>726</v>
      </c>
      <c r="D959" t="s">
        <v>194</v>
      </c>
      <c r="E959">
        <v>2025</v>
      </c>
      <c r="F959">
        <v>8</v>
      </c>
      <c r="G959">
        <v>15</v>
      </c>
      <c r="H959">
        <v>8032</v>
      </c>
      <c r="I959">
        <v>768</v>
      </c>
      <c r="J959">
        <v>0</v>
      </c>
      <c r="K959">
        <v>133.9</v>
      </c>
      <c r="L959">
        <v>12.8</v>
      </c>
      <c r="M959">
        <v>8.9</v>
      </c>
      <c r="N959">
        <v>120</v>
      </c>
      <c r="O959" s="1" t="s">
        <v>584</v>
      </c>
    </row>
    <row r="960" spans="1:15">
      <c r="A960" t="s">
        <v>865</v>
      </c>
      <c r="B960" t="s">
        <v>866</v>
      </c>
      <c r="C960" t="s">
        <v>709</v>
      </c>
      <c r="D960" t="s">
        <v>20</v>
      </c>
      <c r="E960">
        <v>2025</v>
      </c>
      <c r="F960">
        <v>6</v>
      </c>
      <c r="G960">
        <v>18</v>
      </c>
      <c r="H960">
        <v>11346</v>
      </c>
      <c r="I960">
        <v>0</v>
      </c>
      <c r="J960">
        <v>2</v>
      </c>
      <c r="K960">
        <v>189.1</v>
      </c>
      <c r="L960">
        <v>0</v>
      </c>
      <c r="M960">
        <v>10.5</v>
      </c>
      <c r="N960">
        <v>128</v>
      </c>
      <c r="O960" s="1" t="s">
        <v>867</v>
      </c>
    </row>
    <row r="961" spans="1:15">
      <c r="A961" t="s">
        <v>865</v>
      </c>
      <c r="B961" t="s">
        <v>866</v>
      </c>
      <c r="C961" t="s">
        <v>709</v>
      </c>
      <c r="D961" t="s">
        <v>20</v>
      </c>
      <c r="E961">
        <v>2025</v>
      </c>
      <c r="F961">
        <v>7</v>
      </c>
      <c r="G961">
        <v>23</v>
      </c>
      <c r="H961">
        <v>13987</v>
      </c>
      <c r="I961">
        <v>0</v>
      </c>
      <c r="J961">
        <v>2</v>
      </c>
      <c r="K961">
        <v>233.1</v>
      </c>
      <c r="L961">
        <v>0</v>
      </c>
      <c r="M961">
        <v>10.1</v>
      </c>
      <c r="N961">
        <v>168</v>
      </c>
      <c r="O961">
        <v>65.099999999999994</v>
      </c>
    </row>
    <row r="962" spans="1:15">
      <c r="A962" t="s">
        <v>865</v>
      </c>
      <c r="B962" t="s">
        <v>866</v>
      </c>
      <c r="C962" t="s">
        <v>709</v>
      </c>
      <c r="D962" t="s">
        <v>20</v>
      </c>
      <c r="E962">
        <v>2025</v>
      </c>
      <c r="F962">
        <v>8</v>
      </c>
      <c r="G962">
        <v>18</v>
      </c>
      <c r="H962">
        <v>8627</v>
      </c>
      <c r="I962">
        <v>0</v>
      </c>
      <c r="J962">
        <v>2</v>
      </c>
      <c r="K962">
        <v>143.80000000000001</v>
      </c>
      <c r="L962">
        <v>0</v>
      </c>
      <c r="M962">
        <v>8</v>
      </c>
      <c r="N962">
        <v>128</v>
      </c>
      <c r="O962" s="1" t="s">
        <v>411</v>
      </c>
    </row>
    <row r="963" spans="1:15">
      <c r="A963" t="s">
        <v>868</v>
      </c>
      <c r="B963" t="s">
        <v>869</v>
      </c>
      <c r="C963" t="s">
        <v>713</v>
      </c>
      <c r="D963" t="s">
        <v>20</v>
      </c>
      <c r="E963">
        <v>2025</v>
      </c>
      <c r="F963">
        <v>6</v>
      </c>
      <c r="G963">
        <v>23</v>
      </c>
      <c r="H963">
        <v>11829</v>
      </c>
      <c r="I963">
        <v>0</v>
      </c>
      <c r="J963">
        <v>3</v>
      </c>
      <c r="K963">
        <v>197.2</v>
      </c>
      <c r="L963">
        <v>0</v>
      </c>
      <c r="M963">
        <v>8.6</v>
      </c>
      <c r="N963">
        <v>160</v>
      </c>
      <c r="O963" s="1" t="s">
        <v>500</v>
      </c>
    </row>
    <row r="964" spans="1:15">
      <c r="A964" t="s">
        <v>868</v>
      </c>
      <c r="B964" t="s">
        <v>869</v>
      </c>
      <c r="C964" t="s">
        <v>713</v>
      </c>
      <c r="D964" t="s">
        <v>20</v>
      </c>
      <c r="E964">
        <v>2025</v>
      </c>
      <c r="F964">
        <v>7</v>
      </c>
      <c r="G964">
        <v>26</v>
      </c>
      <c r="H964">
        <v>14257</v>
      </c>
      <c r="I964">
        <v>0</v>
      </c>
      <c r="J964">
        <v>3</v>
      </c>
      <c r="K964">
        <v>237.6</v>
      </c>
      <c r="L964">
        <v>0</v>
      </c>
      <c r="M964">
        <v>9.1</v>
      </c>
      <c r="N964">
        <v>184</v>
      </c>
      <c r="O964" s="1" t="s">
        <v>870</v>
      </c>
    </row>
    <row r="965" spans="1:15">
      <c r="A965" t="s">
        <v>868</v>
      </c>
      <c r="B965" t="s">
        <v>869</v>
      </c>
      <c r="C965" t="s">
        <v>713</v>
      </c>
      <c r="D965" t="s">
        <v>20</v>
      </c>
      <c r="E965">
        <v>2025</v>
      </c>
      <c r="F965">
        <v>8</v>
      </c>
      <c r="G965">
        <v>14</v>
      </c>
      <c r="H965">
        <v>6503</v>
      </c>
      <c r="I965">
        <v>0</v>
      </c>
      <c r="J965">
        <v>1</v>
      </c>
      <c r="K965">
        <v>108.4</v>
      </c>
      <c r="L965">
        <v>0</v>
      </c>
      <c r="M965">
        <v>7.7</v>
      </c>
      <c r="N965">
        <v>104</v>
      </c>
      <c r="O965" s="1" t="s">
        <v>354</v>
      </c>
    </row>
    <row r="966" spans="1:15">
      <c r="A966" t="s">
        <v>871</v>
      </c>
      <c r="B966" t="s">
        <v>872</v>
      </c>
      <c r="C966" t="s">
        <v>713</v>
      </c>
      <c r="D966" t="s">
        <v>20</v>
      </c>
      <c r="E966">
        <v>2025</v>
      </c>
      <c r="F966">
        <v>6</v>
      </c>
      <c r="G966">
        <v>16</v>
      </c>
      <c r="H966">
        <v>8754</v>
      </c>
      <c r="I966">
        <v>0</v>
      </c>
      <c r="J966">
        <v>2</v>
      </c>
      <c r="K966">
        <v>145.9</v>
      </c>
      <c r="L966">
        <v>0</v>
      </c>
      <c r="M966">
        <v>9.1</v>
      </c>
      <c r="N966">
        <v>112</v>
      </c>
      <c r="O966" s="1" t="s">
        <v>873</v>
      </c>
    </row>
    <row r="967" spans="1:15">
      <c r="A967" t="s">
        <v>871</v>
      </c>
      <c r="B967" t="s">
        <v>872</v>
      </c>
      <c r="C967" t="s">
        <v>713</v>
      </c>
      <c r="D967" t="s">
        <v>20</v>
      </c>
      <c r="E967">
        <v>2025</v>
      </c>
      <c r="F967">
        <v>7</v>
      </c>
      <c r="G967">
        <v>27</v>
      </c>
      <c r="H967">
        <v>15390</v>
      </c>
      <c r="I967">
        <v>0</v>
      </c>
      <c r="J967">
        <v>4</v>
      </c>
      <c r="K967">
        <v>256.5</v>
      </c>
      <c r="L967">
        <v>0</v>
      </c>
      <c r="M967">
        <v>9.5</v>
      </c>
      <c r="N967">
        <v>184</v>
      </c>
      <c r="O967">
        <v>72.5</v>
      </c>
    </row>
    <row r="968" spans="1:15">
      <c r="A968" t="s">
        <v>871</v>
      </c>
      <c r="B968" t="s">
        <v>872</v>
      </c>
      <c r="C968" t="s">
        <v>713</v>
      </c>
      <c r="D968" t="s">
        <v>20</v>
      </c>
      <c r="E968">
        <v>2025</v>
      </c>
      <c r="F968">
        <v>8</v>
      </c>
      <c r="G968">
        <v>16</v>
      </c>
      <c r="H968">
        <v>9094</v>
      </c>
      <c r="I968">
        <v>0</v>
      </c>
      <c r="J968">
        <v>2</v>
      </c>
      <c r="K968">
        <v>151.6</v>
      </c>
      <c r="L968">
        <v>0</v>
      </c>
      <c r="M968">
        <v>9.5</v>
      </c>
      <c r="N968">
        <v>112</v>
      </c>
      <c r="O968" s="1" t="s">
        <v>285</v>
      </c>
    </row>
    <row r="969" spans="1:15">
      <c r="A969" t="s">
        <v>874</v>
      </c>
      <c r="B969" t="s">
        <v>875</v>
      </c>
      <c r="C969" t="s">
        <v>713</v>
      </c>
      <c r="D969" t="s">
        <v>20</v>
      </c>
      <c r="E969">
        <v>2025</v>
      </c>
      <c r="F969">
        <v>6</v>
      </c>
      <c r="G969">
        <v>25</v>
      </c>
      <c r="H969">
        <v>12373</v>
      </c>
      <c r="I969">
        <v>0</v>
      </c>
      <c r="J969">
        <v>5</v>
      </c>
      <c r="K969">
        <v>206.2</v>
      </c>
      <c r="L969">
        <v>0</v>
      </c>
      <c r="M969">
        <v>8.1999999999999993</v>
      </c>
      <c r="N969">
        <v>160</v>
      </c>
      <c r="O969" s="1" t="s">
        <v>876</v>
      </c>
    </row>
    <row r="970" spans="1:15">
      <c r="A970" t="s">
        <v>874</v>
      </c>
      <c r="B970" t="s">
        <v>875</v>
      </c>
      <c r="C970" t="s">
        <v>713</v>
      </c>
      <c r="D970" t="s">
        <v>20</v>
      </c>
      <c r="E970">
        <v>2025</v>
      </c>
      <c r="F970">
        <v>7</v>
      </c>
      <c r="G970">
        <v>26</v>
      </c>
      <c r="H970">
        <v>14316</v>
      </c>
      <c r="I970">
        <v>0</v>
      </c>
      <c r="J970">
        <v>3</v>
      </c>
      <c r="K970">
        <v>238.6</v>
      </c>
      <c r="L970">
        <v>0</v>
      </c>
      <c r="M970">
        <v>9.1999999999999993</v>
      </c>
      <c r="N970">
        <v>184</v>
      </c>
      <c r="O970" s="1" t="s">
        <v>539</v>
      </c>
    </row>
    <row r="971" spans="1:15">
      <c r="A971" t="s">
        <v>874</v>
      </c>
      <c r="B971" t="s">
        <v>875</v>
      </c>
      <c r="C971" t="s">
        <v>713</v>
      </c>
      <c r="D971" t="s">
        <v>20</v>
      </c>
      <c r="E971">
        <v>2025</v>
      </c>
      <c r="F971">
        <v>8</v>
      </c>
      <c r="G971">
        <v>11</v>
      </c>
      <c r="H971">
        <v>6676</v>
      </c>
      <c r="I971">
        <v>0</v>
      </c>
      <c r="J971">
        <v>1</v>
      </c>
      <c r="K971">
        <v>111.3</v>
      </c>
      <c r="L971">
        <v>0</v>
      </c>
      <c r="M971">
        <v>10.1</v>
      </c>
      <c r="N971">
        <v>80</v>
      </c>
      <c r="O971" s="1" t="s">
        <v>877</v>
      </c>
    </row>
    <row r="972" spans="1:15">
      <c r="A972" t="s">
        <v>878</v>
      </c>
      <c r="B972" t="s">
        <v>879</v>
      </c>
      <c r="C972" t="s">
        <v>730</v>
      </c>
      <c r="D972" t="s">
        <v>194</v>
      </c>
      <c r="E972">
        <v>2025</v>
      </c>
      <c r="F972">
        <v>6</v>
      </c>
      <c r="G972">
        <v>18</v>
      </c>
      <c r="H972">
        <v>10447</v>
      </c>
      <c r="I972">
        <v>240</v>
      </c>
      <c r="J972">
        <v>0</v>
      </c>
      <c r="K972">
        <v>174.1</v>
      </c>
      <c r="L972">
        <v>4</v>
      </c>
      <c r="M972">
        <v>9.6999999999999993</v>
      </c>
      <c r="N972">
        <v>144</v>
      </c>
      <c r="O972" s="1" t="s">
        <v>880</v>
      </c>
    </row>
    <row r="973" spans="1:15">
      <c r="A973" t="s">
        <v>878</v>
      </c>
      <c r="B973" t="s">
        <v>879</v>
      </c>
      <c r="C973" t="s">
        <v>730</v>
      </c>
      <c r="D973" t="s">
        <v>194</v>
      </c>
      <c r="E973">
        <v>2025</v>
      </c>
      <c r="F973">
        <v>7</v>
      </c>
      <c r="G973">
        <v>22</v>
      </c>
      <c r="H973">
        <v>13349</v>
      </c>
      <c r="I973">
        <v>0</v>
      </c>
      <c r="J973">
        <v>0</v>
      </c>
      <c r="K973">
        <v>222.5</v>
      </c>
      <c r="L973">
        <v>0</v>
      </c>
      <c r="M973">
        <v>10.1</v>
      </c>
      <c r="N973">
        <v>176</v>
      </c>
      <c r="O973">
        <v>46.5</v>
      </c>
    </row>
    <row r="974" spans="1:15">
      <c r="A974" t="s">
        <v>878</v>
      </c>
      <c r="B974" t="s">
        <v>879</v>
      </c>
      <c r="C974" t="s">
        <v>730</v>
      </c>
      <c r="D974" t="s">
        <v>194</v>
      </c>
      <c r="E974">
        <v>2025</v>
      </c>
      <c r="F974">
        <v>8</v>
      </c>
      <c r="G974">
        <v>14</v>
      </c>
      <c r="H974">
        <v>6821</v>
      </c>
      <c r="I974">
        <v>64</v>
      </c>
      <c r="J974">
        <v>0</v>
      </c>
      <c r="K974">
        <v>113.7</v>
      </c>
      <c r="L974">
        <v>1.1000000000000001</v>
      </c>
      <c r="M974">
        <v>8.1</v>
      </c>
      <c r="N974">
        <v>112</v>
      </c>
      <c r="O974" s="1" t="s">
        <v>527</v>
      </c>
    </row>
    <row r="975" spans="1:15">
      <c r="A975" t="s">
        <v>881</v>
      </c>
      <c r="B975" t="s">
        <v>882</v>
      </c>
      <c r="C975" t="s">
        <v>709</v>
      </c>
      <c r="D975" t="s">
        <v>136</v>
      </c>
      <c r="E975">
        <v>2025</v>
      </c>
      <c r="F975">
        <v>6</v>
      </c>
      <c r="G975">
        <v>25</v>
      </c>
      <c r="H975">
        <v>28146</v>
      </c>
      <c r="I975">
        <v>0</v>
      </c>
      <c r="J975">
        <v>7</v>
      </c>
      <c r="K975">
        <v>469.1</v>
      </c>
      <c r="L975">
        <v>0</v>
      </c>
      <c r="M975">
        <v>18.8</v>
      </c>
      <c r="N975">
        <v>144</v>
      </c>
      <c r="O975">
        <v>325.10000000000002</v>
      </c>
    </row>
    <row r="976" spans="1:15">
      <c r="A976" t="s">
        <v>881</v>
      </c>
      <c r="B976" t="s">
        <v>882</v>
      </c>
      <c r="C976" t="s">
        <v>709</v>
      </c>
      <c r="D976" t="s">
        <v>136</v>
      </c>
      <c r="E976">
        <v>2025</v>
      </c>
      <c r="F976">
        <v>7</v>
      </c>
      <c r="G976">
        <v>31</v>
      </c>
      <c r="H976">
        <v>43740</v>
      </c>
      <c r="I976">
        <v>60</v>
      </c>
      <c r="J976">
        <v>8</v>
      </c>
      <c r="K976">
        <v>729</v>
      </c>
      <c r="L976">
        <v>1</v>
      </c>
      <c r="M976">
        <v>23.5</v>
      </c>
      <c r="N976">
        <v>184</v>
      </c>
      <c r="O976">
        <v>545</v>
      </c>
    </row>
    <row r="977" spans="1:15">
      <c r="A977" t="s">
        <v>881</v>
      </c>
      <c r="B977" t="s">
        <v>882</v>
      </c>
      <c r="C977" t="s">
        <v>709</v>
      </c>
      <c r="D977" t="s">
        <v>136</v>
      </c>
      <c r="E977">
        <v>2025</v>
      </c>
      <c r="F977">
        <v>8</v>
      </c>
      <c r="G977">
        <v>26</v>
      </c>
      <c r="H977">
        <v>35535</v>
      </c>
      <c r="I977">
        <v>60</v>
      </c>
      <c r="J977">
        <v>8</v>
      </c>
      <c r="K977">
        <v>592.20000000000005</v>
      </c>
      <c r="L977">
        <v>1</v>
      </c>
      <c r="M977">
        <v>22.8</v>
      </c>
      <c r="N977">
        <v>144</v>
      </c>
      <c r="O977" s="1" t="s">
        <v>883</v>
      </c>
    </row>
    <row r="978" spans="1:15">
      <c r="A978" t="s">
        <v>884</v>
      </c>
      <c r="B978" t="s">
        <v>885</v>
      </c>
      <c r="C978" t="s">
        <v>886</v>
      </c>
      <c r="D978" t="s">
        <v>20</v>
      </c>
      <c r="E978">
        <v>2025</v>
      </c>
      <c r="F978">
        <v>6</v>
      </c>
      <c r="G978">
        <v>19</v>
      </c>
      <c r="H978">
        <v>10461</v>
      </c>
      <c r="I978">
        <v>0</v>
      </c>
      <c r="J978">
        <v>0</v>
      </c>
      <c r="K978">
        <v>174.4</v>
      </c>
      <c r="L978">
        <v>0</v>
      </c>
      <c r="M978">
        <v>9.1999999999999993</v>
      </c>
      <c r="N978">
        <v>152</v>
      </c>
      <c r="O978" s="1" t="s">
        <v>373</v>
      </c>
    </row>
    <row r="979" spans="1:15">
      <c r="A979" t="s">
        <v>884</v>
      </c>
      <c r="B979" t="s">
        <v>885</v>
      </c>
      <c r="C979" t="s">
        <v>886</v>
      </c>
      <c r="D979" t="s">
        <v>20</v>
      </c>
      <c r="E979">
        <v>2025</v>
      </c>
      <c r="F979">
        <v>7</v>
      </c>
      <c r="G979">
        <v>18</v>
      </c>
      <c r="H979">
        <v>10148</v>
      </c>
      <c r="I979">
        <v>0</v>
      </c>
      <c r="J979">
        <v>0</v>
      </c>
      <c r="K979">
        <v>169.1</v>
      </c>
      <c r="L979">
        <v>0</v>
      </c>
      <c r="M979">
        <v>9.4</v>
      </c>
      <c r="N979">
        <v>144</v>
      </c>
      <c r="O979" s="1" t="s">
        <v>642</v>
      </c>
    </row>
    <row r="980" spans="1:15">
      <c r="A980" t="s">
        <v>884</v>
      </c>
      <c r="B980" t="s">
        <v>885</v>
      </c>
      <c r="C980" t="s">
        <v>886</v>
      </c>
      <c r="D980" t="s">
        <v>20</v>
      </c>
      <c r="E980">
        <v>2025</v>
      </c>
      <c r="F980">
        <v>8</v>
      </c>
      <c r="G980">
        <v>16</v>
      </c>
      <c r="H980">
        <v>8513</v>
      </c>
      <c r="I980">
        <v>0</v>
      </c>
      <c r="J980">
        <v>0</v>
      </c>
      <c r="K980">
        <v>141.9</v>
      </c>
      <c r="L980">
        <v>0</v>
      </c>
      <c r="M980">
        <v>8.9</v>
      </c>
      <c r="N980">
        <v>128</v>
      </c>
      <c r="O980" s="1" t="s">
        <v>584</v>
      </c>
    </row>
    <row r="981" spans="1:15">
      <c r="A981" t="s">
        <v>887</v>
      </c>
      <c r="B981" t="s">
        <v>888</v>
      </c>
      <c r="C981" t="s">
        <v>886</v>
      </c>
      <c r="D981" t="s">
        <v>136</v>
      </c>
      <c r="E981">
        <v>2025</v>
      </c>
      <c r="F981">
        <v>6</v>
      </c>
      <c r="G981">
        <v>18</v>
      </c>
      <c r="H981">
        <v>8957</v>
      </c>
      <c r="I981">
        <v>0</v>
      </c>
      <c r="J981">
        <v>1</v>
      </c>
      <c r="K981">
        <v>149.30000000000001</v>
      </c>
      <c r="L981">
        <v>0</v>
      </c>
      <c r="M981">
        <v>8.3000000000000007</v>
      </c>
      <c r="N981">
        <v>136</v>
      </c>
      <c r="O981" s="1" t="s">
        <v>889</v>
      </c>
    </row>
    <row r="982" spans="1:15">
      <c r="A982" t="s">
        <v>887</v>
      </c>
      <c r="B982" t="s">
        <v>888</v>
      </c>
      <c r="C982" t="s">
        <v>886</v>
      </c>
      <c r="D982" t="s">
        <v>136</v>
      </c>
      <c r="E982">
        <v>2025</v>
      </c>
      <c r="F982">
        <v>7</v>
      </c>
      <c r="G982">
        <v>18</v>
      </c>
      <c r="H982">
        <v>11408</v>
      </c>
      <c r="I982">
        <v>0</v>
      </c>
      <c r="J982">
        <v>0</v>
      </c>
      <c r="K982">
        <v>190.1</v>
      </c>
      <c r="L982">
        <v>0</v>
      </c>
      <c r="M982">
        <v>10.6</v>
      </c>
      <c r="N982">
        <v>144</v>
      </c>
      <c r="O982" s="1" t="s">
        <v>59</v>
      </c>
    </row>
    <row r="983" spans="1:15">
      <c r="A983" t="s">
        <v>887</v>
      </c>
      <c r="B983" t="s">
        <v>888</v>
      </c>
      <c r="C983" t="s">
        <v>886</v>
      </c>
      <c r="D983" t="s">
        <v>136</v>
      </c>
      <c r="E983">
        <v>2025</v>
      </c>
      <c r="F983">
        <v>8</v>
      </c>
      <c r="G983">
        <v>15</v>
      </c>
      <c r="H983">
        <v>7696</v>
      </c>
      <c r="I983">
        <v>0</v>
      </c>
      <c r="J983">
        <v>0</v>
      </c>
      <c r="K983">
        <v>128.30000000000001</v>
      </c>
      <c r="L983">
        <v>0</v>
      </c>
      <c r="M983">
        <v>8.6</v>
      </c>
      <c r="N983">
        <v>120</v>
      </c>
      <c r="O983" s="1" t="s">
        <v>890</v>
      </c>
    </row>
    <row r="984" spans="1:15">
      <c r="A984" t="s">
        <v>891</v>
      </c>
      <c r="B984" t="s">
        <v>892</v>
      </c>
      <c r="C984" t="s">
        <v>893</v>
      </c>
      <c r="D984" t="s">
        <v>136</v>
      </c>
      <c r="E984">
        <v>2025</v>
      </c>
      <c r="F984">
        <v>6</v>
      </c>
      <c r="G984">
        <v>23</v>
      </c>
      <c r="H984">
        <v>11848</v>
      </c>
      <c r="I984">
        <v>615</v>
      </c>
      <c r="J984">
        <v>3</v>
      </c>
      <c r="K984">
        <v>197.5</v>
      </c>
      <c r="L984">
        <v>10.199999999999999</v>
      </c>
      <c r="M984">
        <v>8.6</v>
      </c>
      <c r="N984">
        <v>160</v>
      </c>
      <c r="O984">
        <v>37.5</v>
      </c>
    </row>
    <row r="985" spans="1:15">
      <c r="A985" t="s">
        <v>891</v>
      </c>
      <c r="B985" t="s">
        <v>892</v>
      </c>
      <c r="C985" t="s">
        <v>893</v>
      </c>
      <c r="D985" t="s">
        <v>136</v>
      </c>
      <c r="E985">
        <v>2025</v>
      </c>
      <c r="F985">
        <v>7</v>
      </c>
      <c r="G985">
        <v>20</v>
      </c>
      <c r="H985">
        <v>10942</v>
      </c>
      <c r="I985">
        <v>489</v>
      </c>
      <c r="J985">
        <v>1</v>
      </c>
      <c r="K985">
        <v>182.4</v>
      </c>
      <c r="L985">
        <v>8.1999999999999993</v>
      </c>
      <c r="M985">
        <v>9.1</v>
      </c>
      <c r="N985">
        <v>152</v>
      </c>
      <c r="O985" s="1" t="s">
        <v>894</v>
      </c>
    </row>
    <row r="986" spans="1:15">
      <c r="A986" t="s">
        <v>891</v>
      </c>
      <c r="B986" t="s">
        <v>892</v>
      </c>
      <c r="C986" t="s">
        <v>893</v>
      </c>
      <c r="D986" t="s">
        <v>136</v>
      </c>
      <c r="E986">
        <v>2025</v>
      </c>
      <c r="F986">
        <v>8</v>
      </c>
      <c r="G986">
        <v>16</v>
      </c>
      <c r="H986">
        <v>8648</v>
      </c>
      <c r="I986">
        <v>115</v>
      </c>
      <c r="J986">
        <v>0</v>
      </c>
      <c r="K986">
        <v>144.1</v>
      </c>
      <c r="L986">
        <v>1.9</v>
      </c>
      <c r="M986">
        <v>9</v>
      </c>
      <c r="N986">
        <v>128</v>
      </c>
      <c r="O986" s="1" t="s">
        <v>57</v>
      </c>
    </row>
    <row r="987" spans="1:15">
      <c r="A987" t="s">
        <v>895</v>
      </c>
      <c r="B987" t="s">
        <v>896</v>
      </c>
      <c r="C987" t="s">
        <v>893</v>
      </c>
      <c r="D987" t="s">
        <v>136</v>
      </c>
      <c r="E987">
        <v>2025</v>
      </c>
      <c r="F987">
        <v>6</v>
      </c>
      <c r="G987">
        <v>18</v>
      </c>
      <c r="H987">
        <v>9683</v>
      </c>
      <c r="I987">
        <v>0</v>
      </c>
      <c r="J987">
        <v>0</v>
      </c>
      <c r="K987">
        <v>161.4</v>
      </c>
      <c r="L987">
        <v>0</v>
      </c>
      <c r="M987">
        <v>9</v>
      </c>
      <c r="N987">
        <v>144</v>
      </c>
      <c r="O987" s="1" t="s">
        <v>105</v>
      </c>
    </row>
    <row r="988" spans="1:15">
      <c r="A988" t="s">
        <v>895</v>
      </c>
      <c r="B988" t="s">
        <v>896</v>
      </c>
      <c r="C988" t="s">
        <v>893</v>
      </c>
      <c r="D988" t="s">
        <v>136</v>
      </c>
      <c r="E988">
        <v>2025</v>
      </c>
      <c r="F988">
        <v>7</v>
      </c>
      <c r="G988">
        <v>16</v>
      </c>
      <c r="H988">
        <v>8489</v>
      </c>
      <c r="I988">
        <v>188</v>
      </c>
      <c r="J988">
        <v>1</v>
      </c>
      <c r="K988">
        <v>141.5</v>
      </c>
      <c r="L988">
        <v>3.1</v>
      </c>
      <c r="M988">
        <v>8.8000000000000007</v>
      </c>
      <c r="N988">
        <v>120</v>
      </c>
      <c r="O988">
        <v>21.5</v>
      </c>
    </row>
    <row r="989" spans="1:15">
      <c r="A989" t="s">
        <v>895</v>
      </c>
      <c r="B989" t="s">
        <v>896</v>
      </c>
      <c r="C989" t="s">
        <v>893</v>
      </c>
      <c r="D989" t="s">
        <v>136</v>
      </c>
      <c r="E989">
        <v>2025</v>
      </c>
      <c r="F989">
        <v>8</v>
      </c>
      <c r="G989">
        <v>16</v>
      </c>
      <c r="H989">
        <v>8040</v>
      </c>
      <c r="I989">
        <v>0</v>
      </c>
      <c r="J989">
        <v>1</v>
      </c>
      <c r="K989">
        <v>134</v>
      </c>
      <c r="L989">
        <v>0</v>
      </c>
      <c r="M989">
        <v>8.4</v>
      </c>
      <c r="N989">
        <v>120</v>
      </c>
      <c r="O989">
        <v>14</v>
      </c>
    </row>
    <row r="990" spans="1:15">
      <c r="A990" t="s">
        <v>897</v>
      </c>
      <c r="B990" t="s">
        <v>898</v>
      </c>
      <c r="C990" t="s">
        <v>886</v>
      </c>
      <c r="D990" t="s">
        <v>136</v>
      </c>
      <c r="E990">
        <v>2025</v>
      </c>
      <c r="F990">
        <v>6</v>
      </c>
      <c r="G990">
        <v>18</v>
      </c>
      <c r="H990">
        <v>9899</v>
      </c>
      <c r="I990">
        <v>0</v>
      </c>
      <c r="J990">
        <v>0</v>
      </c>
      <c r="K990">
        <v>165</v>
      </c>
      <c r="L990">
        <v>0</v>
      </c>
      <c r="M990">
        <v>9.1999999999999993</v>
      </c>
      <c r="N990">
        <v>144</v>
      </c>
      <c r="O990">
        <v>21</v>
      </c>
    </row>
    <row r="991" spans="1:15">
      <c r="A991" t="s">
        <v>897</v>
      </c>
      <c r="B991" t="s">
        <v>898</v>
      </c>
      <c r="C991" t="s">
        <v>886</v>
      </c>
      <c r="D991" t="s">
        <v>136</v>
      </c>
      <c r="E991">
        <v>2025</v>
      </c>
      <c r="F991">
        <v>7</v>
      </c>
      <c r="G991">
        <v>14</v>
      </c>
      <c r="H991">
        <v>7486</v>
      </c>
      <c r="I991">
        <v>77</v>
      </c>
      <c r="J991">
        <v>0</v>
      </c>
      <c r="K991">
        <v>124.8</v>
      </c>
      <c r="L991">
        <v>1.3</v>
      </c>
      <c r="M991">
        <v>8.9</v>
      </c>
      <c r="N991">
        <v>112</v>
      </c>
      <c r="O991" s="1" t="s">
        <v>899</v>
      </c>
    </row>
    <row r="992" spans="1:15">
      <c r="A992" t="s">
        <v>897</v>
      </c>
      <c r="B992" t="s">
        <v>898</v>
      </c>
      <c r="C992" t="s">
        <v>886</v>
      </c>
      <c r="D992" t="s">
        <v>136</v>
      </c>
      <c r="E992">
        <v>2025</v>
      </c>
      <c r="F992">
        <v>8</v>
      </c>
      <c r="G992">
        <v>15</v>
      </c>
      <c r="H992">
        <v>7654</v>
      </c>
      <c r="I992">
        <v>0</v>
      </c>
      <c r="J992">
        <v>0</v>
      </c>
      <c r="K992">
        <v>127.6</v>
      </c>
      <c r="L992">
        <v>0</v>
      </c>
      <c r="M992">
        <v>8.5</v>
      </c>
      <c r="N992">
        <v>120</v>
      </c>
      <c r="O992" s="1" t="s">
        <v>385</v>
      </c>
    </row>
    <row r="993" spans="1:15">
      <c r="A993" t="s">
        <v>900</v>
      </c>
      <c r="B993" t="s">
        <v>901</v>
      </c>
      <c r="C993" t="s">
        <v>886</v>
      </c>
      <c r="D993" t="s">
        <v>194</v>
      </c>
      <c r="E993">
        <v>2025</v>
      </c>
      <c r="F993">
        <v>6</v>
      </c>
      <c r="G993">
        <v>16</v>
      </c>
      <c r="H993">
        <v>8876</v>
      </c>
      <c r="I993">
        <v>0</v>
      </c>
      <c r="J993">
        <v>0</v>
      </c>
      <c r="K993">
        <v>147.9</v>
      </c>
      <c r="L993">
        <v>0</v>
      </c>
      <c r="M993">
        <v>9.1999999999999993</v>
      </c>
      <c r="N993">
        <v>128</v>
      </c>
      <c r="O993" s="1" t="s">
        <v>119</v>
      </c>
    </row>
    <row r="994" spans="1:15">
      <c r="A994" t="s">
        <v>900</v>
      </c>
      <c r="B994" t="s">
        <v>901</v>
      </c>
      <c r="C994" t="s">
        <v>886</v>
      </c>
      <c r="D994" t="s">
        <v>194</v>
      </c>
      <c r="E994">
        <v>2025</v>
      </c>
      <c r="F994">
        <v>7</v>
      </c>
      <c r="G994">
        <v>19</v>
      </c>
      <c r="H994">
        <v>9281</v>
      </c>
      <c r="I994">
        <v>328</v>
      </c>
      <c r="J994">
        <v>2</v>
      </c>
      <c r="K994">
        <v>154.69999999999999</v>
      </c>
      <c r="L994">
        <v>5.5</v>
      </c>
      <c r="M994">
        <v>8.1</v>
      </c>
      <c r="N994">
        <v>136</v>
      </c>
      <c r="O994" s="1" t="s">
        <v>489</v>
      </c>
    </row>
    <row r="995" spans="1:15">
      <c r="A995" t="s">
        <v>900</v>
      </c>
      <c r="B995" t="s">
        <v>901</v>
      </c>
      <c r="C995" t="s">
        <v>886</v>
      </c>
      <c r="D995" t="s">
        <v>194</v>
      </c>
      <c r="E995">
        <v>2025</v>
      </c>
      <c r="F995">
        <v>8</v>
      </c>
      <c r="G995">
        <v>15</v>
      </c>
      <c r="H995">
        <v>8179</v>
      </c>
      <c r="I995">
        <v>136</v>
      </c>
      <c r="J995">
        <v>0</v>
      </c>
      <c r="K995">
        <v>136.30000000000001</v>
      </c>
      <c r="L995">
        <v>2.2999999999999998</v>
      </c>
      <c r="M995">
        <v>9.1</v>
      </c>
      <c r="N995">
        <v>120</v>
      </c>
      <c r="O995" s="1" t="s">
        <v>902</v>
      </c>
    </row>
    <row r="996" spans="1:15">
      <c r="A996" t="s">
        <v>903</v>
      </c>
      <c r="B996" t="s">
        <v>904</v>
      </c>
      <c r="C996" t="s">
        <v>905</v>
      </c>
      <c r="D996" t="s">
        <v>20</v>
      </c>
      <c r="E996">
        <v>2025</v>
      </c>
      <c r="F996">
        <v>6</v>
      </c>
      <c r="G996">
        <v>17</v>
      </c>
      <c r="H996">
        <v>9973</v>
      </c>
      <c r="I996">
        <v>180</v>
      </c>
      <c r="J996">
        <v>0</v>
      </c>
      <c r="K996">
        <v>166.2</v>
      </c>
      <c r="L996">
        <v>3</v>
      </c>
      <c r="M996">
        <v>9.8000000000000007</v>
      </c>
      <c r="N996">
        <v>136</v>
      </c>
      <c r="O996" s="1" t="s">
        <v>906</v>
      </c>
    </row>
    <row r="997" spans="1:15">
      <c r="A997" t="s">
        <v>903</v>
      </c>
      <c r="B997" t="s">
        <v>904</v>
      </c>
      <c r="C997" t="s">
        <v>905</v>
      </c>
      <c r="D997" t="s">
        <v>20</v>
      </c>
      <c r="E997">
        <v>2025</v>
      </c>
      <c r="F997">
        <v>7</v>
      </c>
      <c r="G997">
        <v>16</v>
      </c>
      <c r="H997">
        <v>9554</v>
      </c>
      <c r="I997">
        <v>120</v>
      </c>
      <c r="J997">
        <v>0</v>
      </c>
      <c r="K997">
        <v>159.19999999999999</v>
      </c>
      <c r="L997">
        <v>2</v>
      </c>
      <c r="M997">
        <v>10</v>
      </c>
      <c r="N997">
        <v>128</v>
      </c>
      <c r="O997" s="1" t="s">
        <v>62</v>
      </c>
    </row>
    <row r="998" spans="1:15">
      <c r="A998" t="s">
        <v>903</v>
      </c>
      <c r="B998" t="s">
        <v>904</v>
      </c>
      <c r="C998" t="s">
        <v>905</v>
      </c>
      <c r="D998" t="s">
        <v>20</v>
      </c>
      <c r="E998">
        <v>2025</v>
      </c>
      <c r="F998">
        <v>8</v>
      </c>
      <c r="G998">
        <v>14</v>
      </c>
      <c r="H998">
        <v>7569</v>
      </c>
      <c r="I998">
        <v>0</v>
      </c>
      <c r="J998">
        <v>0</v>
      </c>
      <c r="K998">
        <v>126.2</v>
      </c>
      <c r="L998">
        <v>0</v>
      </c>
      <c r="M998">
        <v>9</v>
      </c>
      <c r="N998">
        <v>112</v>
      </c>
      <c r="O998" s="1" t="s">
        <v>907</v>
      </c>
    </row>
    <row r="999" spans="1:15">
      <c r="A999" t="s">
        <v>908</v>
      </c>
      <c r="B999" t="s">
        <v>909</v>
      </c>
      <c r="C999" t="s">
        <v>905</v>
      </c>
      <c r="D999" t="s">
        <v>136</v>
      </c>
      <c r="E999">
        <v>2025</v>
      </c>
      <c r="F999">
        <v>6</v>
      </c>
      <c r="G999">
        <v>19</v>
      </c>
      <c r="H999">
        <v>11620</v>
      </c>
      <c r="I999">
        <v>0</v>
      </c>
      <c r="J999">
        <v>0</v>
      </c>
      <c r="K999">
        <v>193.7</v>
      </c>
      <c r="L999">
        <v>0</v>
      </c>
      <c r="M999">
        <v>10.199999999999999</v>
      </c>
      <c r="N999">
        <v>152</v>
      </c>
      <c r="O999" s="1" t="s">
        <v>609</v>
      </c>
    </row>
    <row r="1000" spans="1:15">
      <c r="A1000" t="s">
        <v>908</v>
      </c>
      <c r="B1000" t="s">
        <v>909</v>
      </c>
      <c r="C1000" t="s">
        <v>905</v>
      </c>
      <c r="D1000" t="s">
        <v>136</v>
      </c>
      <c r="E1000">
        <v>2025</v>
      </c>
      <c r="F1000">
        <v>7</v>
      </c>
      <c r="G1000">
        <v>18</v>
      </c>
      <c r="H1000">
        <v>10055</v>
      </c>
      <c r="I1000">
        <v>0</v>
      </c>
      <c r="J1000">
        <v>0</v>
      </c>
      <c r="K1000">
        <v>167.6</v>
      </c>
      <c r="L1000">
        <v>0</v>
      </c>
      <c r="M1000">
        <v>9.3000000000000007</v>
      </c>
      <c r="N1000">
        <v>144</v>
      </c>
      <c r="O1000" s="1" t="s">
        <v>672</v>
      </c>
    </row>
    <row r="1001" spans="1:15">
      <c r="A1001" t="s">
        <v>908</v>
      </c>
      <c r="B1001" t="s">
        <v>909</v>
      </c>
      <c r="C1001" t="s">
        <v>905</v>
      </c>
      <c r="D1001" t="s">
        <v>136</v>
      </c>
      <c r="E1001">
        <v>2025</v>
      </c>
      <c r="F1001">
        <v>8</v>
      </c>
      <c r="G1001">
        <v>16</v>
      </c>
      <c r="H1001">
        <v>8503</v>
      </c>
      <c r="I1001">
        <v>0</v>
      </c>
      <c r="J1001">
        <v>0</v>
      </c>
      <c r="K1001">
        <v>141.69999999999999</v>
      </c>
      <c r="L1001">
        <v>0</v>
      </c>
      <c r="M1001">
        <v>8.9</v>
      </c>
      <c r="N1001">
        <v>128</v>
      </c>
      <c r="O1001" s="1" t="s">
        <v>337</v>
      </c>
    </row>
    <row r="1002" spans="1:15">
      <c r="A1002" t="s">
        <v>910</v>
      </c>
      <c r="B1002" t="s">
        <v>911</v>
      </c>
      <c r="C1002" t="s">
        <v>912</v>
      </c>
      <c r="D1002" t="s">
        <v>194</v>
      </c>
      <c r="E1002">
        <v>2025</v>
      </c>
      <c r="F1002">
        <v>6</v>
      </c>
      <c r="G1002">
        <v>19</v>
      </c>
      <c r="H1002">
        <v>9146</v>
      </c>
      <c r="I1002">
        <v>0</v>
      </c>
      <c r="J1002">
        <v>0</v>
      </c>
      <c r="K1002">
        <v>152.4</v>
      </c>
      <c r="L1002">
        <v>0</v>
      </c>
      <c r="M1002">
        <v>8</v>
      </c>
      <c r="N1002">
        <v>152</v>
      </c>
      <c r="O1002" s="1" t="s">
        <v>425</v>
      </c>
    </row>
    <row r="1003" spans="1:15">
      <c r="A1003" t="s">
        <v>910</v>
      </c>
      <c r="B1003" t="s">
        <v>911</v>
      </c>
      <c r="C1003" t="s">
        <v>912</v>
      </c>
      <c r="D1003" t="s">
        <v>194</v>
      </c>
      <c r="E1003">
        <v>2025</v>
      </c>
      <c r="F1003">
        <v>7</v>
      </c>
      <c r="G1003">
        <v>18</v>
      </c>
      <c r="H1003">
        <v>9058</v>
      </c>
      <c r="I1003">
        <v>0</v>
      </c>
      <c r="J1003">
        <v>0</v>
      </c>
      <c r="K1003">
        <v>151</v>
      </c>
      <c r="L1003">
        <v>0</v>
      </c>
      <c r="M1003">
        <v>8.4</v>
      </c>
      <c r="N1003">
        <v>144</v>
      </c>
      <c r="O1003">
        <v>7</v>
      </c>
    </row>
    <row r="1004" spans="1:15">
      <c r="A1004" t="s">
        <v>910</v>
      </c>
      <c r="B1004" t="s">
        <v>911</v>
      </c>
      <c r="C1004" t="s">
        <v>912</v>
      </c>
      <c r="D1004" t="s">
        <v>194</v>
      </c>
      <c r="E1004">
        <v>2025</v>
      </c>
      <c r="F1004">
        <v>8</v>
      </c>
      <c r="G1004">
        <v>15</v>
      </c>
      <c r="H1004">
        <v>7568</v>
      </c>
      <c r="I1004">
        <v>0</v>
      </c>
      <c r="J1004">
        <v>0</v>
      </c>
      <c r="K1004">
        <v>126.1</v>
      </c>
      <c r="L1004">
        <v>0</v>
      </c>
      <c r="M1004">
        <v>8.4</v>
      </c>
      <c r="N1004">
        <v>120</v>
      </c>
      <c r="O1004" s="1" t="s">
        <v>605</v>
      </c>
    </row>
    <row r="1005" spans="1:15">
      <c r="A1005" t="s">
        <v>913</v>
      </c>
      <c r="B1005" t="s">
        <v>914</v>
      </c>
      <c r="C1005" t="s">
        <v>915</v>
      </c>
      <c r="D1005" t="s">
        <v>20</v>
      </c>
      <c r="E1005">
        <v>2025</v>
      </c>
      <c r="F1005">
        <v>6</v>
      </c>
      <c r="G1005">
        <v>19</v>
      </c>
      <c r="H1005">
        <v>12485</v>
      </c>
      <c r="I1005">
        <v>1863</v>
      </c>
      <c r="J1005">
        <v>0</v>
      </c>
      <c r="K1005">
        <v>208.1</v>
      </c>
      <c r="L1005">
        <v>31</v>
      </c>
      <c r="M1005">
        <v>11</v>
      </c>
      <c r="N1005">
        <v>152</v>
      </c>
      <c r="O1005" s="1" t="s">
        <v>586</v>
      </c>
    </row>
    <row r="1006" spans="1:15">
      <c r="A1006" t="s">
        <v>913</v>
      </c>
      <c r="B1006" t="s">
        <v>914</v>
      </c>
      <c r="C1006" t="s">
        <v>915</v>
      </c>
      <c r="D1006" t="s">
        <v>20</v>
      </c>
      <c r="E1006">
        <v>2025</v>
      </c>
      <c r="F1006">
        <v>7</v>
      </c>
      <c r="G1006">
        <v>21</v>
      </c>
      <c r="H1006">
        <v>14637</v>
      </c>
      <c r="I1006">
        <v>2598</v>
      </c>
      <c r="J1006">
        <v>2</v>
      </c>
      <c r="K1006">
        <v>244</v>
      </c>
      <c r="L1006">
        <v>43.3</v>
      </c>
      <c r="M1006">
        <v>11.6</v>
      </c>
      <c r="N1006">
        <v>152</v>
      </c>
      <c r="O1006">
        <v>92</v>
      </c>
    </row>
    <row r="1007" spans="1:15">
      <c r="A1007" t="s">
        <v>913</v>
      </c>
      <c r="B1007" t="s">
        <v>914</v>
      </c>
      <c r="C1007" t="s">
        <v>915</v>
      </c>
      <c r="D1007" t="s">
        <v>20</v>
      </c>
      <c r="E1007">
        <v>2025</v>
      </c>
      <c r="F1007">
        <v>8</v>
      </c>
      <c r="G1007">
        <v>13</v>
      </c>
      <c r="H1007">
        <v>7376</v>
      </c>
      <c r="I1007">
        <v>641</v>
      </c>
      <c r="J1007">
        <v>0</v>
      </c>
      <c r="K1007">
        <v>122.9</v>
      </c>
      <c r="L1007">
        <v>10.7</v>
      </c>
      <c r="M1007">
        <v>9.5</v>
      </c>
      <c r="N1007">
        <v>104</v>
      </c>
      <c r="O1007" s="1" t="s">
        <v>232</v>
      </c>
    </row>
    <row r="1008" spans="1:15">
      <c r="A1008" t="s">
        <v>916</v>
      </c>
      <c r="B1008" t="s">
        <v>917</v>
      </c>
      <c r="C1008" t="s">
        <v>915</v>
      </c>
      <c r="D1008" t="s">
        <v>20</v>
      </c>
      <c r="E1008">
        <v>2025</v>
      </c>
      <c r="F1008">
        <v>6</v>
      </c>
      <c r="G1008">
        <v>16</v>
      </c>
      <c r="H1008">
        <v>11134</v>
      </c>
      <c r="I1008">
        <v>2030</v>
      </c>
      <c r="J1008">
        <v>0</v>
      </c>
      <c r="K1008">
        <v>185.6</v>
      </c>
      <c r="L1008">
        <v>33.799999999999997</v>
      </c>
      <c r="M1008">
        <v>11.6</v>
      </c>
      <c r="N1008">
        <v>128</v>
      </c>
      <c r="O1008" s="1" t="s">
        <v>918</v>
      </c>
    </row>
    <row r="1009" spans="1:15">
      <c r="A1009" t="s">
        <v>916</v>
      </c>
      <c r="B1009" t="s">
        <v>917</v>
      </c>
      <c r="C1009" t="s">
        <v>915</v>
      </c>
      <c r="D1009" t="s">
        <v>20</v>
      </c>
      <c r="E1009">
        <v>2025</v>
      </c>
      <c r="F1009">
        <v>7</v>
      </c>
      <c r="G1009">
        <v>22</v>
      </c>
      <c r="H1009">
        <v>15330</v>
      </c>
      <c r="I1009">
        <v>2878</v>
      </c>
      <c r="J1009">
        <v>1</v>
      </c>
      <c r="K1009">
        <v>255.5</v>
      </c>
      <c r="L1009">
        <v>48</v>
      </c>
      <c r="M1009">
        <v>11.6</v>
      </c>
      <c r="N1009">
        <v>168</v>
      </c>
      <c r="O1009">
        <v>87.5</v>
      </c>
    </row>
    <row r="1010" spans="1:15">
      <c r="A1010" t="s">
        <v>916</v>
      </c>
      <c r="B1010" t="s">
        <v>917</v>
      </c>
      <c r="C1010" t="s">
        <v>915</v>
      </c>
      <c r="D1010" t="s">
        <v>20</v>
      </c>
      <c r="E1010">
        <v>2025</v>
      </c>
      <c r="F1010">
        <v>8</v>
      </c>
      <c r="G1010">
        <v>16</v>
      </c>
      <c r="H1010">
        <v>10608</v>
      </c>
      <c r="I1010">
        <v>2486</v>
      </c>
      <c r="J1010">
        <v>0</v>
      </c>
      <c r="K1010">
        <v>176.8</v>
      </c>
      <c r="L1010">
        <v>41.4</v>
      </c>
      <c r="M1010">
        <v>11</v>
      </c>
      <c r="N1010">
        <v>128</v>
      </c>
      <c r="O1010" s="1" t="s">
        <v>919</v>
      </c>
    </row>
    <row r="1011" spans="1:15">
      <c r="A1011" t="s">
        <v>920</v>
      </c>
      <c r="B1011" t="s">
        <v>921</v>
      </c>
      <c r="C1011" t="s">
        <v>915</v>
      </c>
      <c r="D1011" t="s">
        <v>20</v>
      </c>
      <c r="E1011">
        <v>2025</v>
      </c>
      <c r="F1011">
        <v>6</v>
      </c>
      <c r="G1011">
        <v>19</v>
      </c>
      <c r="H1011">
        <v>10611</v>
      </c>
      <c r="I1011">
        <v>569</v>
      </c>
      <c r="J1011">
        <v>0</v>
      </c>
      <c r="K1011">
        <v>176.8</v>
      </c>
      <c r="L1011">
        <v>9.5</v>
      </c>
      <c r="M1011">
        <v>9.3000000000000007</v>
      </c>
      <c r="N1011">
        <v>152</v>
      </c>
      <c r="O1011" s="1" t="s">
        <v>63</v>
      </c>
    </row>
    <row r="1012" spans="1:15">
      <c r="A1012" t="s">
        <v>920</v>
      </c>
      <c r="B1012" t="s">
        <v>921</v>
      </c>
      <c r="C1012" t="s">
        <v>915</v>
      </c>
      <c r="D1012" t="s">
        <v>20</v>
      </c>
      <c r="E1012">
        <v>2025</v>
      </c>
      <c r="F1012">
        <v>7</v>
      </c>
      <c r="G1012">
        <v>17</v>
      </c>
      <c r="H1012">
        <v>8672</v>
      </c>
      <c r="I1012">
        <v>875</v>
      </c>
      <c r="J1012">
        <v>0</v>
      </c>
      <c r="K1012">
        <v>144.5</v>
      </c>
      <c r="L1012">
        <v>14.6</v>
      </c>
      <c r="M1012">
        <v>8.5</v>
      </c>
      <c r="N1012">
        <v>136</v>
      </c>
      <c r="O1012">
        <v>8.5</v>
      </c>
    </row>
    <row r="1013" spans="1:15">
      <c r="A1013" t="s">
        <v>920</v>
      </c>
      <c r="B1013" t="s">
        <v>921</v>
      </c>
      <c r="C1013" t="s">
        <v>915</v>
      </c>
      <c r="D1013" t="s">
        <v>20</v>
      </c>
      <c r="E1013">
        <v>2025</v>
      </c>
      <c r="F1013">
        <v>8</v>
      </c>
      <c r="G1013">
        <v>15</v>
      </c>
      <c r="H1013">
        <v>8161</v>
      </c>
      <c r="I1013">
        <v>256</v>
      </c>
      <c r="J1013">
        <v>0</v>
      </c>
      <c r="K1013">
        <v>136</v>
      </c>
      <c r="L1013">
        <v>4.3</v>
      </c>
      <c r="M1013">
        <v>9.1</v>
      </c>
      <c r="N1013">
        <v>120</v>
      </c>
      <c r="O1013">
        <v>16</v>
      </c>
    </row>
    <row r="1014" spans="1:15">
      <c r="A1014" t="s">
        <v>922</v>
      </c>
      <c r="B1014" t="s">
        <v>923</v>
      </c>
      <c r="C1014" t="s">
        <v>915</v>
      </c>
      <c r="D1014" t="s">
        <v>20</v>
      </c>
      <c r="E1014">
        <v>2025</v>
      </c>
      <c r="F1014">
        <v>6</v>
      </c>
      <c r="G1014">
        <v>12</v>
      </c>
      <c r="H1014">
        <v>6587</v>
      </c>
      <c r="I1014">
        <v>765</v>
      </c>
      <c r="J1014">
        <v>0</v>
      </c>
      <c r="K1014">
        <v>109.8</v>
      </c>
      <c r="L1014">
        <v>12.8</v>
      </c>
      <c r="M1014">
        <v>9.1999999999999993</v>
      </c>
      <c r="N1014">
        <v>96</v>
      </c>
      <c r="O1014" s="1" t="s">
        <v>517</v>
      </c>
    </row>
    <row r="1015" spans="1:15">
      <c r="A1015" t="s">
        <v>922</v>
      </c>
      <c r="B1015" t="s">
        <v>923</v>
      </c>
      <c r="C1015" t="s">
        <v>915</v>
      </c>
      <c r="D1015" t="s">
        <v>20</v>
      </c>
      <c r="E1015">
        <v>2025</v>
      </c>
      <c r="F1015">
        <v>7</v>
      </c>
      <c r="G1015">
        <v>20</v>
      </c>
      <c r="H1015">
        <v>18948</v>
      </c>
      <c r="I1015">
        <v>2697</v>
      </c>
      <c r="J1015">
        <v>2</v>
      </c>
      <c r="K1015">
        <v>315.8</v>
      </c>
      <c r="L1015">
        <v>45</v>
      </c>
      <c r="M1015">
        <v>15.8</v>
      </c>
      <c r="N1015">
        <v>144</v>
      </c>
      <c r="O1015">
        <v>171.8</v>
      </c>
    </row>
    <row r="1016" spans="1:15">
      <c r="A1016" t="s">
        <v>922</v>
      </c>
      <c r="B1016" t="s">
        <v>923</v>
      </c>
      <c r="C1016" t="s">
        <v>915</v>
      </c>
      <c r="D1016" t="s">
        <v>20</v>
      </c>
      <c r="E1016">
        <v>2025</v>
      </c>
      <c r="F1016">
        <v>8</v>
      </c>
      <c r="G1016">
        <v>16</v>
      </c>
      <c r="H1016">
        <v>11752</v>
      </c>
      <c r="I1016">
        <v>2232</v>
      </c>
      <c r="J1016">
        <v>2</v>
      </c>
      <c r="K1016">
        <v>195.9</v>
      </c>
      <c r="L1016">
        <v>37.200000000000003</v>
      </c>
      <c r="M1016">
        <v>12.2</v>
      </c>
      <c r="N1016">
        <v>112</v>
      </c>
      <c r="O1016">
        <v>83.9</v>
      </c>
    </row>
    <row r="1017" spans="1:15">
      <c r="A1017" t="s">
        <v>924</v>
      </c>
      <c r="B1017" t="s">
        <v>925</v>
      </c>
      <c r="C1017" t="s">
        <v>915</v>
      </c>
      <c r="D1017" t="s">
        <v>136</v>
      </c>
      <c r="E1017">
        <v>2025</v>
      </c>
      <c r="F1017">
        <v>6</v>
      </c>
      <c r="G1017">
        <v>19</v>
      </c>
      <c r="H1017">
        <v>11150</v>
      </c>
      <c r="I1017">
        <v>180</v>
      </c>
      <c r="J1017">
        <v>0</v>
      </c>
      <c r="K1017">
        <v>185.8</v>
      </c>
      <c r="L1017">
        <v>3</v>
      </c>
      <c r="M1017">
        <v>9.8000000000000007</v>
      </c>
      <c r="N1017">
        <v>152</v>
      </c>
      <c r="O1017" s="1" t="s">
        <v>282</v>
      </c>
    </row>
    <row r="1018" spans="1:15">
      <c r="A1018" t="s">
        <v>924</v>
      </c>
      <c r="B1018" t="s">
        <v>925</v>
      </c>
      <c r="C1018" t="s">
        <v>915</v>
      </c>
      <c r="D1018" t="s">
        <v>136</v>
      </c>
      <c r="E1018">
        <v>2025</v>
      </c>
      <c r="F1018">
        <v>7</v>
      </c>
      <c r="G1018">
        <v>15</v>
      </c>
      <c r="H1018">
        <v>8660</v>
      </c>
      <c r="I1018">
        <v>0</v>
      </c>
      <c r="J1018">
        <v>0</v>
      </c>
      <c r="K1018">
        <v>144.30000000000001</v>
      </c>
      <c r="L1018">
        <v>0</v>
      </c>
      <c r="M1018">
        <v>9.6</v>
      </c>
      <c r="N1018">
        <v>120</v>
      </c>
      <c r="O1018" s="1" t="s">
        <v>277</v>
      </c>
    </row>
    <row r="1019" spans="1:15">
      <c r="A1019" t="s">
        <v>924</v>
      </c>
      <c r="B1019" t="s">
        <v>925</v>
      </c>
      <c r="C1019" t="s">
        <v>915</v>
      </c>
      <c r="D1019" t="s">
        <v>136</v>
      </c>
      <c r="E1019">
        <v>2025</v>
      </c>
      <c r="F1019">
        <v>8</v>
      </c>
      <c r="G1019">
        <v>15</v>
      </c>
      <c r="H1019">
        <v>8337</v>
      </c>
      <c r="I1019">
        <v>596</v>
      </c>
      <c r="J1019">
        <v>0</v>
      </c>
      <c r="K1019">
        <v>139</v>
      </c>
      <c r="L1019">
        <v>9.9</v>
      </c>
      <c r="M1019">
        <v>9.3000000000000007</v>
      </c>
      <c r="N1019">
        <v>120</v>
      </c>
      <c r="O1019">
        <v>19</v>
      </c>
    </row>
    <row r="1020" spans="1:15">
      <c r="A1020" t="s">
        <v>926</v>
      </c>
      <c r="B1020" t="s">
        <v>927</v>
      </c>
      <c r="C1020" t="s">
        <v>915</v>
      </c>
      <c r="D1020" t="s">
        <v>194</v>
      </c>
      <c r="E1020">
        <v>2025</v>
      </c>
      <c r="F1020">
        <v>6</v>
      </c>
      <c r="G1020">
        <v>17</v>
      </c>
      <c r="H1020">
        <v>9450</v>
      </c>
      <c r="I1020">
        <v>0</v>
      </c>
      <c r="J1020">
        <v>0</v>
      </c>
      <c r="K1020">
        <v>157.5</v>
      </c>
      <c r="L1020">
        <v>0</v>
      </c>
      <c r="M1020">
        <v>9.3000000000000007</v>
      </c>
      <c r="N1020">
        <v>136</v>
      </c>
      <c r="O1020">
        <v>21.5</v>
      </c>
    </row>
    <row r="1021" spans="1:15">
      <c r="A1021" t="s">
        <v>926</v>
      </c>
      <c r="B1021" t="s">
        <v>927</v>
      </c>
      <c r="C1021" t="s">
        <v>915</v>
      </c>
      <c r="D1021" t="s">
        <v>194</v>
      </c>
      <c r="E1021">
        <v>2025</v>
      </c>
      <c r="F1021">
        <v>7</v>
      </c>
      <c r="G1021">
        <v>16</v>
      </c>
      <c r="H1021">
        <v>8904</v>
      </c>
      <c r="I1021">
        <v>0</v>
      </c>
      <c r="J1021">
        <v>0</v>
      </c>
      <c r="K1021">
        <v>148.4</v>
      </c>
      <c r="L1021">
        <v>0</v>
      </c>
      <c r="M1021">
        <v>9.3000000000000007</v>
      </c>
      <c r="N1021">
        <v>128</v>
      </c>
      <c r="O1021" s="1" t="s">
        <v>447</v>
      </c>
    </row>
    <row r="1022" spans="1:15">
      <c r="A1022" t="s">
        <v>926</v>
      </c>
      <c r="B1022" t="s">
        <v>927</v>
      </c>
      <c r="C1022" t="s">
        <v>915</v>
      </c>
      <c r="D1022" t="s">
        <v>194</v>
      </c>
      <c r="E1022">
        <v>2025</v>
      </c>
      <c r="F1022">
        <v>8</v>
      </c>
      <c r="G1022">
        <v>16</v>
      </c>
      <c r="H1022">
        <v>8458</v>
      </c>
      <c r="I1022">
        <v>0</v>
      </c>
      <c r="J1022">
        <v>0</v>
      </c>
      <c r="K1022">
        <v>141</v>
      </c>
      <c r="L1022">
        <v>0</v>
      </c>
      <c r="M1022">
        <v>8.8000000000000007</v>
      </c>
      <c r="N1022">
        <v>128</v>
      </c>
      <c r="O1022">
        <v>13</v>
      </c>
    </row>
    <row r="1023" spans="1:15">
      <c r="A1023" t="s">
        <v>928</v>
      </c>
      <c r="B1023" t="s">
        <v>929</v>
      </c>
      <c r="C1023" t="s">
        <v>893</v>
      </c>
      <c r="D1023" t="s">
        <v>136</v>
      </c>
      <c r="E1023">
        <v>2025</v>
      </c>
      <c r="F1023">
        <v>6</v>
      </c>
      <c r="G1023">
        <v>18</v>
      </c>
      <c r="H1023">
        <v>9548</v>
      </c>
      <c r="I1023">
        <v>120</v>
      </c>
      <c r="J1023">
        <v>1</v>
      </c>
      <c r="K1023">
        <v>159.1</v>
      </c>
      <c r="L1023">
        <v>2</v>
      </c>
      <c r="M1023">
        <v>8.8000000000000007</v>
      </c>
      <c r="N1023">
        <v>136</v>
      </c>
      <c r="O1023" s="1" t="s">
        <v>207</v>
      </c>
    </row>
    <row r="1024" spans="1:15">
      <c r="A1024" t="s">
        <v>928</v>
      </c>
      <c r="B1024" t="s">
        <v>929</v>
      </c>
      <c r="C1024" t="s">
        <v>893</v>
      </c>
      <c r="D1024" t="s">
        <v>136</v>
      </c>
      <c r="E1024">
        <v>2025</v>
      </c>
      <c r="F1024">
        <v>7</v>
      </c>
      <c r="G1024">
        <v>17</v>
      </c>
      <c r="H1024">
        <v>8437</v>
      </c>
      <c r="I1024">
        <v>0</v>
      </c>
      <c r="J1024">
        <v>0</v>
      </c>
      <c r="K1024">
        <v>140.6</v>
      </c>
      <c r="L1024">
        <v>0</v>
      </c>
      <c r="M1024">
        <v>8.3000000000000007</v>
      </c>
      <c r="N1024">
        <v>136</v>
      </c>
      <c r="O1024" s="1" t="s">
        <v>849</v>
      </c>
    </row>
    <row r="1025" spans="1:15">
      <c r="A1025" t="s">
        <v>928</v>
      </c>
      <c r="B1025" t="s">
        <v>929</v>
      </c>
      <c r="C1025" t="s">
        <v>893</v>
      </c>
      <c r="D1025" t="s">
        <v>136</v>
      </c>
      <c r="E1025">
        <v>2025</v>
      </c>
      <c r="F1025">
        <v>8</v>
      </c>
      <c r="G1025">
        <v>14</v>
      </c>
      <c r="H1025">
        <v>6975</v>
      </c>
      <c r="I1025">
        <v>0</v>
      </c>
      <c r="J1025">
        <v>0</v>
      </c>
      <c r="K1025">
        <v>116.2</v>
      </c>
      <c r="L1025">
        <v>0</v>
      </c>
      <c r="M1025">
        <v>8.3000000000000007</v>
      </c>
      <c r="N1025">
        <v>112</v>
      </c>
      <c r="O1025" s="1" t="s">
        <v>930</v>
      </c>
    </row>
    <row r="1026" spans="1:15">
      <c r="A1026" t="s">
        <v>931</v>
      </c>
      <c r="B1026" t="s">
        <v>932</v>
      </c>
      <c r="C1026" t="s">
        <v>933</v>
      </c>
      <c r="D1026" t="s">
        <v>136</v>
      </c>
      <c r="E1026">
        <v>2025</v>
      </c>
      <c r="F1026">
        <v>6</v>
      </c>
      <c r="G1026">
        <v>16</v>
      </c>
      <c r="H1026">
        <v>8798</v>
      </c>
      <c r="I1026">
        <v>60</v>
      </c>
      <c r="J1026">
        <v>0</v>
      </c>
      <c r="K1026">
        <v>146.6</v>
      </c>
      <c r="L1026">
        <v>1</v>
      </c>
      <c r="M1026">
        <v>9.1999999999999993</v>
      </c>
      <c r="N1026">
        <v>128</v>
      </c>
      <c r="O1026" s="1" t="s">
        <v>46</v>
      </c>
    </row>
    <row r="1027" spans="1:15">
      <c r="A1027" t="s">
        <v>931</v>
      </c>
      <c r="B1027" t="s">
        <v>932</v>
      </c>
      <c r="C1027" t="s">
        <v>933</v>
      </c>
      <c r="D1027" t="s">
        <v>136</v>
      </c>
      <c r="E1027">
        <v>2025</v>
      </c>
      <c r="F1027">
        <v>7</v>
      </c>
      <c r="G1027">
        <v>16</v>
      </c>
      <c r="H1027">
        <v>8205</v>
      </c>
      <c r="I1027">
        <v>44</v>
      </c>
      <c r="J1027">
        <v>1</v>
      </c>
      <c r="K1027">
        <v>136.80000000000001</v>
      </c>
      <c r="L1027">
        <v>0.7</v>
      </c>
      <c r="M1027">
        <v>8.6</v>
      </c>
      <c r="N1027">
        <v>120</v>
      </c>
      <c r="O1027" s="1" t="s">
        <v>134</v>
      </c>
    </row>
    <row r="1028" spans="1:15">
      <c r="A1028" t="s">
        <v>931</v>
      </c>
      <c r="B1028" t="s">
        <v>932</v>
      </c>
      <c r="C1028" t="s">
        <v>933</v>
      </c>
      <c r="D1028" t="s">
        <v>136</v>
      </c>
      <c r="E1028">
        <v>2025</v>
      </c>
      <c r="F1028">
        <v>8</v>
      </c>
      <c r="G1028">
        <v>17</v>
      </c>
      <c r="H1028">
        <v>9047</v>
      </c>
      <c r="I1028">
        <v>447</v>
      </c>
      <c r="J1028">
        <v>0</v>
      </c>
      <c r="K1028">
        <v>150.80000000000001</v>
      </c>
      <c r="L1028">
        <v>7.4</v>
      </c>
      <c r="M1028">
        <v>8.9</v>
      </c>
      <c r="N1028">
        <v>136</v>
      </c>
      <c r="O1028" s="1" t="s">
        <v>283</v>
      </c>
    </row>
    <row r="1029" spans="1:15">
      <c r="A1029" t="s">
        <v>934</v>
      </c>
      <c r="B1029" t="s">
        <v>935</v>
      </c>
      <c r="C1029" t="s">
        <v>933</v>
      </c>
      <c r="D1029" t="s">
        <v>136</v>
      </c>
      <c r="E1029">
        <v>2025</v>
      </c>
      <c r="F1029">
        <v>6</v>
      </c>
      <c r="G1029">
        <v>22</v>
      </c>
      <c r="H1029">
        <v>19263</v>
      </c>
      <c r="I1029">
        <v>0</v>
      </c>
      <c r="J1029">
        <v>3</v>
      </c>
      <c r="K1029">
        <v>321</v>
      </c>
      <c r="L1029">
        <v>0</v>
      </c>
      <c r="M1029">
        <v>14.6</v>
      </c>
      <c r="N1029">
        <v>152</v>
      </c>
      <c r="O1029">
        <v>169</v>
      </c>
    </row>
    <row r="1030" spans="1:15">
      <c r="A1030" t="s">
        <v>934</v>
      </c>
      <c r="B1030" t="s">
        <v>935</v>
      </c>
      <c r="C1030" t="s">
        <v>933</v>
      </c>
      <c r="D1030" t="s">
        <v>136</v>
      </c>
      <c r="E1030">
        <v>2025</v>
      </c>
      <c r="F1030">
        <v>7</v>
      </c>
      <c r="G1030">
        <v>18</v>
      </c>
      <c r="H1030">
        <v>16874</v>
      </c>
      <c r="I1030">
        <v>0</v>
      </c>
      <c r="J1030">
        <v>1</v>
      </c>
      <c r="K1030">
        <v>281.2</v>
      </c>
      <c r="L1030">
        <v>0</v>
      </c>
      <c r="M1030">
        <v>15.6</v>
      </c>
      <c r="N1030">
        <v>136</v>
      </c>
      <c r="O1030">
        <v>145.19999999999999</v>
      </c>
    </row>
    <row r="1031" spans="1:15">
      <c r="A1031" t="s">
        <v>934</v>
      </c>
      <c r="B1031" t="s">
        <v>935</v>
      </c>
      <c r="C1031" t="s">
        <v>933</v>
      </c>
      <c r="D1031" t="s">
        <v>136</v>
      </c>
      <c r="E1031">
        <v>2025</v>
      </c>
      <c r="F1031">
        <v>8</v>
      </c>
      <c r="G1031">
        <v>15</v>
      </c>
      <c r="H1031">
        <v>9999</v>
      </c>
      <c r="I1031">
        <v>0</v>
      </c>
      <c r="J1031">
        <v>0</v>
      </c>
      <c r="K1031">
        <v>166.6</v>
      </c>
      <c r="L1031">
        <v>0</v>
      </c>
      <c r="M1031">
        <v>11.1</v>
      </c>
      <c r="N1031">
        <v>120</v>
      </c>
      <c r="O1031" s="1" t="s">
        <v>936</v>
      </c>
    </row>
    <row r="1032" spans="1:15">
      <c r="A1032" t="s">
        <v>937</v>
      </c>
      <c r="B1032" t="s">
        <v>938</v>
      </c>
      <c r="C1032" t="s">
        <v>933</v>
      </c>
      <c r="D1032" t="s">
        <v>136</v>
      </c>
      <c r="E1032">
        <v>2025</v>
      </c>
      <c r="F1032">
        <v>6</v>
      </c>
      <c r="G1032">
        <v>16</v>
      </c>
      <c r="H1032">
        <v>7862</v>
      </c>
      <c r="I1032">
        <v>0</v>
      </c>
      <c r="J1032">
        <v>0</v>
      </c>
      <c r="K1032">
        <v>131</v>
      </c>
      <c r="L1032">
        <v>0</v>
      </c>
      <c r="M1032">
        <v>8.1999999999999993</v>
      </c>
      <c r="N1032">
        <v>128</v>
      </c>
      <c r="O1032">
        <v>3</v>
      </c>
    </row>
    <row r="1033" spans="1:15">
      <c r="A1033" t="s">
        <v>937</v>
      </c>
      <c r="B1033" t="s">
        <v>938</v>
      </c>
      <c r="C1033" t="s">
        <v>933</v>
      </c>
      <c r="D1033" t="s">
        <v>136</v>
      </c>
      <c r="E1033">
        <v>2025</v>
      </c>
      <c r="F1033">
        <v>7</v>
      </c>
      <c r="G1033">
        <v>18</v>
      </c>
      <c r="H1033">
        <v>9487</v>
      </c>
      <c r="I1033">
        <v>0</v>
      </c>
      <c r="J1033">
        <v>0</v>
      </c>
      <c r="K1033">
        <v>158.1</v>
      </c>
      <c r="L1033">
        <v>0</v>
      </c>
      <c r="M1033">
        <v>8.8000000000000007</v>
      </c>
      <c r="N1033">
        <v>144</v>
      </c>
      <c r="O1033" s="1" t="s">
        <v>669</v>
      </c>
    </row>
    <row r="1034" spans="1:15">
      <c r="A1034" t="s">
        <v>937</v>
      </c>
      <c r="B1034" t="s">
        <v>938</v>
      </c>
      <c r="C1034" t="s">
        <v>933</v>
      </c>
      <c r="D1034" t="s">
        <v>136</v>
      </c>
      <c r="E1034">
        <v>2025</v>
      </c>
      <c r="F1034">
        <v>8</v>
      </c>
      <c r="G1034">
        <v>15</v>
      </c>
      <c r="H1034">
        <v>7240</v>
      </c>
      <c r="I1034">
        <v>118</v>
      </c>
      <c r="J1034">
        <v>0</v>
      </c>
      <c r="K1034">
        <v>120.7</v>
      </c>
      <c r="L1034">
        <v>2</v>
      </c>
      <c r="M1034">
        <v>8</v>
      </c>
      <c r="N1034">
        <v>120</v>
      </c>
      <c r="O1034" s="1" t="s">
        <v>939</v>
      </c>
    </row>
    <row r="1035" spans="1:15">
      <c r="A1035" t="s">
        <v>940</v>
      </c>
      <c r="B1035" t="s">
        <v>941</v>
      </c>
      <c r="C1035" t="s">
        <v>726</v>
      </c>
      <c r="D1035" t="s">
        <v>20</v>
      </c>
      <c r="E1035">
        <v>2025</v>
      </c>
      <c r="F1035">
        <v>6</v>
      </c>
      <c r="G1035">
        <v>18</v>
      </c>
      <c r="H1035">
        <v>9995</v>
      </c>
      <c r="I1035">
        <v>822</v>
      </c>
      <c r="J1035">
        <v>0</v>
      </c>
      <c r="K1035">
        <v>166.6</v>
      </c>
      <c r="L1035">
        <v>13.7</v>
      </c>
      <c r="M1035">
        <v>9.3000000000000007</v>
      </c>
      <c r="N1035">
        <v>144</v>
      </c>
      <c r="O1035" s="1" t="s">
        <v>80</v>
      </c>
    </row>
    <row r="1036" spans="1:15">
      <c r="A1036" t="s">
        <v>940</v>
      </c>
      <c r="B1036" t="s">
        <v>941</v>
      </c>
      <c r="C1036" t="s">
        <v>726</v>
      </c>
      <c r="D1036" t="s">
        <v>20</v>
      </c>
      <c r="E1036">
        <v>2025</v>
      </c>
      <c r="F1036">
        <v>7</v>
      </c>
      <c r="G1036">
        <v>17</v>
      </c>
      <c r="H1036">
        <v>10447</v>
      </c>
      <c r="I1036">
        <v>1106</v>
      </c>
      <c r="J1036">
        <v>0</v>
      </c>
      <c r="K1036">
        <v>174.1</v>
      </c>
      <c r="L1036">
        <v>18.399999999999999</v>
      </c>
      <c r="M1036">
        <v>10.199999999999999</v>
      </c>
      <c r="N1036">
        <v>136</v>
      </c>
      <c r="O1036" s="1" t="s">
        <v>942</v>
      </c>
    </row>
    <row r="1037" spans="1:15">
      <c r="A1037" t="s">
        <v>940</v>
      </c>
      <c r="B1037" t="s">
        <v>941</v>
      </c>
      <c r="C1037" t="s">
        <v>726</v>
      </c>
      <c r="D1037" t="s">
        <v>20</v>
      </c>
      <c r="E1037">
        <v>2025</v>
      </c>
      <c r="F1037">
        <v>8</v>
      </c>
      <c r="G1037">
        <v>17</v>
      </c>
      <c r="H1037">
        <v>9683</v>
      </c>
      <c r="I1037">
        <v>889</v>
      </c>
      <c r="J1037">
        <v>0</v>
      </c>
      <c r="K1037">
        <v>161.4</v>
      </c>
      <c r="L1037">
        <v>14.8</v>
      </c>
      <c r="M1037">
        <v>9.5</v>
      </c>
      <c r="N1037">
        <v>136</v>
      </c>
      <c r="O1037" s="1" t="s">
        <v>436</v>
      </c>
    </row>
    <row r="1038" spans="1:15">
      <c r="A1038" t="s">
        <v>943</v>
      </c>
      <c r="B1038" t="s">
        <v>944</v>
      </c>
      <c r="C1038" t="s">
        <v>915</v>
      </c>
      <c r="D1038" t="s">
        <v>136</v>
      </c>
      <c r="E1038">
        <v>2025</v>
      </c>
      <c r="F1038">
        <v>6</v>
      </c>
      <c r="G1038">
        <v>12</v>
      </c>
      <c r="H1038">
        <v>6831</v>
      </c>
      <c r="I1038">
        <v>420</v>
      </c>
      <c r="J1038">
        <v>0</v>
      </c>
      <c r="K1038">
        <v>113.8</v>
      </c>
      <c r="L1038">
        <v>7</v>
      </c>
      <c r="M1038">
        <v>9.5</v>
      </c>
      <c r="N1038">
        <v>96</v>
      </c>
      <c r="O1038" s="1" t="s">
        <v>409</v>
      </c>
    </row>
    <row r="1039" spans="1:15">
      <c r="A1039" t="s">
        <v>943</v>
      </c>
      <c r="B1039" t="s">
        <v>944</v>
      </c>
      <c r="C1039" t="s">
        <v>915</v>
      </c>
      <c r="D1039" t="s">
        <v>136</v>
      </c>
      <c r="E1039">
        <v>2025</v>
      </c>
      <c r="F1039">
        <v>7</v>
      </c>
      <c r="G1039">
        <v>10</v>
      </c>
      <c r="H1039">
        <v>5823</v>
      </c>
      <c r="I1039">
        <v>498</v>
      </c>
      <c r="J1039">
        <v>0</v>
      </c>
      <c r="K1039">
        <v>97</v>
      </c>
      <c r="L1039">
        <v>8.3000000000000007</v>
      </c>
      <c r="M1039">
        <v>9.6999999999999993</v>
      </c>
      <c r="N1039">
        <v>80</v>
      </c>
      <c r="O1039">
        <v>17</v>
      </c>
    </row>
    <row r="1040" spans="1:15">
      <c r="A1040" t="s">
        <v>943</v>
      </c>
      <c r="B1040" t="s">
        <v>944</v>
      </c>
      <c r="C1040" t="s">
        <v>915</v>
      </c>
      <c r="D1040" t="s">
        <v>136</v>
      </c>
      <c r="E1040">
        <v>2025</v>
      </c>
      <c r="F1040">
        <v>8</v>
      </c>
      <c r="G1040">
        <v>10</v>
      </c>
      <c r="H1040">
        <v>4483</v>
      </c>
      <c r="I1040">
        <v>180</v>
      </c>
      <c r="J1040">
        <v>0</v>
      </c>
      <c r="K1040">
        <v>74.7</v>
      </c>
      <c r="L1040">
        <v>3</v>
      </c>
      <c r="M1040">
        <v>7.5</v>
      </c>
      <c r="N1040">
        <v>80</v>
      </c>
      <c r="O1040">
        <v>-5.3</v>
      </c>
    </row>
    <row r="1041" spans="1:15">
      <c r="A1041" t="s">
        <v>945</v>
      </c>
      <c r="B1041" t="s">
        <v>946</v>
      </c>
      <c r="C1041" t="s">
        <v>726</v>
      </c>
      <c r="D1041" t="s">
        <v>136</v>
      </c>
      <c r="E1041">
        <v>2025</v>
      </c>
      <c r="F1041">
        <v>6</v>
      </c>
      <c r="G1041">
        <v>17</v>
      </c>
      <c r="H1041">
        <v>10839</v>
      </c>
      <c r="I1041">
        <v>1440</v>
      </c>
      <c r="J1041">
        <v>0</v>
      </c>
      <c r="K1041">
        <v>180.6</v>
      </c>
      <c r="L1041">
        <v>24</v>
      </c>
      <c r="M1041">
        <v>10.6</v>
      </c>
      <c r="N1041">
        <v>136</v>
      </c>
      <c r="O1041" s="1" t="s">
        <v>947</v>
      </c>
    </row>
    <row r="1042" spans="1:15">
      <c r="A1042" t="s">
        <v>945</v>
      </c>
      <c r="B1042" t="s">
        <v>946</v>
      </c>
      <c r="C1042" t="s">
        <v>726</v>
      </c>
      <c r="D1042" t="s">
        <v>136</v>
      </c>
      <c r="E1042">
        <v>2025</v>
      </c>
      <c r="F1042">
        <v>7</v>
      </c>
      <c r="G1042">
        <v>18</v>
      </c>
      <c r="H1042">
        <v>9773</v>
      </c>
      <c r="I1042">
        <v>660</v>
      </c>
      <c r="J1042">
        <v>0</v>
      </c>
      <c r="K1042">
        <v>162.9</v>
      </c>
      <c r="L1042">
        <v>11</v>
      </c>
      <c r="M1042">
        <v>9</v>
      </c>
      <c r="N1042">
        <v>144</v>
      </c>
      <c r="O1042" s="1" t="s">
        <v>232</v>
      </c>
    </row>
    <row r="1043" spans="1:15">
      <c r="A1043" t="s">
        <v>945</v>
      </c>
      <c r="B1043" t="s">
        <v>946</v>
      </c>
      <c r="C1043" t="s">
        <v>726</v>
      </c>
      <c r="D1043" t="s">
        <v>136</v>
      </c>
      <c r="E1043">
        <v>2025</v>
      </c>
      <c r="F1043">
        <v>8</v>
      </c>
      <c r="G1043">
        <v>16</v>
      </c>
      <c r="H1043">
        <v>9323</v>
      </c>
      <c r="I1043">
        <v>1020</v>
      </c>
      <c r="J1043">
        <v>0</v>
      </c>
      <c r="K1043">
        <v>155.4</v>
      </c>
      <c r="L1043">
        <v>17</v>
      </c>
      <c r="M1043">
        <v>9.6999999999999993</v>
      </c>
      <c r="N1043">
        <v>128</v>
      </c>
      <c r="O1043" s="1" t="s">
        <v>366</v>
      </c>
    </row>
    <row r="1044" spans="1:15">
      <c r="A1044" t="s">
        <v>948</v>
      </c>
      <c r="B1044" t="s">
        <v>949</v>
      </c>
      <c r="C1044" t="s">
        <v>950</v>
      </c>
      <c r="D1044" t="s">
        <v>20</v>
      </c>
      <c r="E1044">
        <v>2025</v>
      </c>
      <c r="F1044">
        <v>6</v>
      </c>
      <c r="G1044">
        <v>16</v>
      </c>
      <c r="H1044">
        <v>9609</v>
      </c>
      <c r="I1044">
        <v>0</v>
      </c>
      <c r="J1044">
        <v>0</v>
      </c>
      <c r="K1044">
        <v>160.19999999999999</v>
      </c>
      <c r="L1044">
        <v>0</v>
      </c>
      <c r="M1044">
        <v>10</v>
      </c>
      <c r="N1044">
        <v>128</v>
      </c>
      <c r="O1044" s="1" t="s">
        <v>533</v>
      </c>
    </row>
    <row r="1045" spans="1:15">
      <c r="A1045" t="s">
        <v>948</v>
      </c>
      <c r="B1045" t="s">
        <v>949</v>
      </c>
      <c r="C1045" t="s">
        <v>950</v>
      </c>
      <c r="D1045" t="s">
        <v>20</v>
      </c>
      <c r="E1045">
        <v>2025</v>
      </c>
      <c r="F1045">
        <v>7</v>
      </c>
      <c r="G1045">
        <v>17</v>
      </c>
      <c r="H1045">
        <v>9302</v>
      </c>
      <c r="I1045">
        <v>0</v>
      </c>
      <c r="J1045">
        <v>0</v>
      </c>
      <c r="K1045">
        <v>155</v>
      </c>
      <c r="L1045">
        <v>0</v>
      </c>
      <c r="M1045">
        <v>9.1</v>
      </c>
      <c r="N1045">
        <v>136</v>
      </c>
      <c r="O1045">
        <v>19</v>
      </c>
    </row>
    <row r="1046" spans="1:15">
      <c r="A1046" t="s">
        <v>948</v>
      </c>
      <c r="B1046" t="s">
        <v>949</v>
      </c>
      <c r="C1046" t="s">
        <v>950</v>
      </c>
      <c r="D1046" t="s">
        <v>20</v>
      </c>
      <c r="E1046">
        <v>2025</v>
      </c>
      <c r="F1046">
        <v>8</v>
      </c>
      <c r="G1046">
        <v>15</v>
      </c>
      <c r="H1046">
        <v>8568</v>
      </c>
      <c r="I1046">
        <v>0</v>
      </c>
      <c r="J1046">
        <v>0</v>
      </c>
      <c r="K1046">
        <v>142.80000000000001</v>
      </c>
      <c r="L1046">
        <v>0</v>
      </c>
      <c r="M1046">
        <v>9.5</v>
      </c>
      <c r="N1046">
        <v>120</v>
      </c>
      <c r="O1046" s="1" t="s">
        <v>290</v>
      </c>
    </row>
    <row r="1047" spans="1:15">
      <c r="A1047" t="s">
        <v>951</v>
      </c>
      <c r="B1047" t="s">
        <v>952</v>
      </c>
      <c r="C1047" t="s">
        <v>950</v>
      </c>
      <c r="D1047" t="s">
        <v>20</v>
      </c>
      <c r="E1047">
        <v>2025</v>
      </c>
      <c r="F1047">
        <v>6</v>
      </c>
      <c r="G1047">
        <v>17</v>
      </c>
      <c r="H1047">
        <v>9933</v>
      </c>
      <c r="I1047">
        <v>0</v>
      </c>
      <c r="J1047">
        <v>0</v>
      </c>
      <c r="K1047">
        <v>165.6</v>
      </c>
      <c r="L1047">
        <v>0</v>
      </c>
      <c r="M1047">
        <v>9.6999999999999993</v>
      </c>
      <c r="N1047">
        <v>136</v>
      </c>
      <c r="O1047" s="1" t="s">
        <v>146</v>
      </c>
    </row>
    <row r="1048" spans="1:15">
      <c r="A1048" t="s">
        <v>951</v>
      </c>
      <c r="B1048" t="s">
        <v>952</v>
      </c>
      <c r="C1048" t="s">
        <v>950</v>
      </c>
      <c r="D1048" t="s">
        <v>20</v>
      </c>
      <c r="E1048">
        <v>2025</v>
      </c>
      <c r="F1048">
        <v>7</v>
      </c>
      <c r="G1048">
        <v>16</v>
      </c>
      <c r="H1048">
        <v>9420</v>
      </c>
      <c r="I1048">
        <v>0</v>
      </c>
      <c r="J1048">
        <v>0</v>
      </c>
      <c r="K1048">
        <v>157</v>
      </c>
      <c r="L1048">
        <v>0</v>
      </c>
      <c r="M1048">
        <v>9.8000000000000007</v>
      </c>
      <c r="N1048">
        <v>128</v>
      </c>
      <c r="O1048">
        <v>29</v>
      </c>
    </row>
    <row r="1049" spans="1:15">
      <c r="A1049" t="s">
        <v>951</v>
      </c>
      <c r="B1049" t="s">
        <v>952</v>
      </c>
      <c r="C1049" t="s">
        <v>950</v>
      </c>
      <c r="D1049" t="s">
        <v>20</v>
      </c>
      <c r="E1049">
        <v>2025</v>
      </c>
      <c r="F1049">
        <v>8</v>
      </c>
      <c r="G1049">
        <v>14</v>
      </c>
      <c r="H1049">
        <v>7613</v>
      </c>
      <c r="I1049">
        <v>0</v>
      </c>
      <c r="J1049">
        <v>0</v>
      </c>
      <c r="K1049">
        <v>126.9</v>
      </c>
      <c r="L1049">
        <v>0</v>
      </c>
      <c r="M1049">
        <v>9.1</v>
      </c>
      <c r="N1049">
        <v>112</v>
      </c>
      <c r="O1049" s="1" t="s">
        <v>377</v>
      </c>
    </row>
    <row r="1050" spans="1:15">
      <c r="A1050" t="s">
        <v>953</v>
      </c>
      <c r="B1050" t="s">
        <v>954</v>
      </c>
      <c r="C1050" t="s">
        <v>950</v>
      </c>
      <c r="D1050" t="s">
        <v>136</v>
      </c>
      <c r="E1050">
        <v>2025</v>
      </c>
      <c r="F1050">
        <v>6</v>
      </c>
      <c r="G1050">
        <v>18</v>
      </c>
      <c r="H1050">
        <v>9219</v>
      </c>
      <c r="I1050">
        <v>93</v>
      </c>
      <c r="J1050">
        <v>0</v>
      </c>
      <c r="K1050">
        <v>153.6</v>
      </c>
      <c r="L1050">
        <v>1.6</v>
      </c>
      <c r="M1050">
        <v>8.5</v>
      </c>
      <c r="N1050">
        <v>144</v>
      </c>
      <c r="O1050" s="1" t="s">
        <v>158</v>
      </c>
    </row>
    <row r="1051" spans="1:15">
      <c r="A1051" t="s">
        <v>953</v>
      </c>
      <c r="B1051" t="s">
        <v>954</v>
      </c>
      <c r="C1051" t="s">
        <v>950</v>
      </c>
      <c r="D1051" t="s">
        <v>136</v>
      </c>
      <c r="E1051">
        <v>2025</v>
      </c>
      <c r="F1051">
        <v>7</v>
      </c>
      <c r="G1051">
        <v>19</v>
      </c>
      <c r="H1051">
        <v>9250</v>
      </c>
      <c r="I1051">
        <v>2</v>
      </c>
      <c r="J1051">
        <v>0</v>
      </c>
      <c r="K1051">
        <v>154.19999999999999</v>
      </c>
      <c r="L1051">
        <v>0</v>
      </c>
      <c r="M1051">
        <v>8.1</v>
      </c>
      <c r="N1051">
        <v>152</v>
      </c>
      <c r="O1051" s="1" t="s">
        <v>955</v>
      </c>
    </row>
    <row r="1052" spans="1:15">
      <c r="A1052" t="s">
        <v>953</v>
      </c>
      <c r="B1052" t="s">
        <v>954</v>
      </c>
      <c r="C1052" t="s">
        <v>950</v>
      </c>
      <c r="D1052" t="s">
        <v>136</v>
      </c>
      <c r="E1052">
        <v>2025</v>
      </c>
      <c r="F1052">
        <v>8</v>
      </c>
      <c r="G1052">
        <v>16</v>
      </c>
      <c r="H1052">
        <v>7445</v>
      </c>
      <c r="I1052">
        <v>0</v>
      </c>
      <c r="J1052">
        <v>1</v>
      </c>
      <c r="K1052">
        <v>124.1</v>
      </c>
      <c r="L1052">
        <v>0</v>
      </c>
      <c r="M1052">
        <v>7.8</v>
      </c>
      <c r="N1052">
        <v>120</v>
      </c>
      <c r="O1052" s="1" t="s">
        <v>956</v>
      </c>
    </row>
    <row r="1053" spans="1:15">
      <c r="A1053" t="s">
        <v>957</v>
      </c>
      <c r="B1053" t="s">
        <v>958</v>
      </c>
      <c r="C1053" t="s">
        <v>893</v>
      </c>
      <c r="D1053" t="s">
        <v>20</v>
      </c>
      <c r="E1053">
        <v>2025</v>
      </c>
      <c r="F1053">
        <v>6</v>
      </c>
      <c r="G1053">
        <v>18</v>
      </c>
      <c r="H1053">
        <v>10167</v>
      </c>
      <c r="I1053">
        <v>0</v>
      </c>
      <c r="J1053">
        <v>0</v>
      </c>
      <c r="K1053">
        <v>169.4</v>
      </c>
      <c r="L1053">
        <v>0</v>
      </c>
      <c r="M1053">
        <v>9.4</v>
      </c>
      <c r="N1053">
        <v>144</v>
      </c>
      <c r="O1053" s="1" t="s">
        <v>436</v>
      </c>
    </row>
    <row r="1054" spans="1:15">
      <c r="A1054" t="s">
        <v>957</v>
      </c>
      <c r="B1054" t="s">
        <v>958</v>
      </c>
      <c r="C1054" t="s">
        <v>893</v>
      </c>
      <c r="D1054" t="s">
        <v>20</v>
      </c>
      <c r="E1054">
        <v>2025</v>
      </c>
      <c r="F1054">
        <v>7</v>
      </c>
      <c r="G1054">
        <v>19</v>
      </c>
      <c r="H1054">
        <v>9675</v>
      </c>
      <c r="I1054">
        <v>120</v>
      </c>
      <c r="J1054">
        <v>0</v>
      </c>
      <c r="K1054">
        <v>161.19999999999999</v>
      </c>
      <c r="L1054">
        <v>2</v>
      </c>
      <c r="M1054">
        <v>8.5</v>
      </c>
      <c r="N1054">
        <v>152</v>
      </c>
      <c r="O1054" s="1" t="s">
        <v>414</v>
      </c>
    </row>
    <row r="1055" spans="1:15">
      <c r="A1055" t="s">
        <v>957</v>
      </c>
      <c r="B1055" t="s">
        <v>958</v>
      </c>
      <c r="C1055" t="s">
        <v>893</v>
      </c>
      <c r="D1055" t="s">
        <v>20</v>
      </c>
      <c r="E1055">
        <v>2025</v>
      </c>
      <c r="F1055">
        <v>8</v>
      </c>
      <c r="G1055">
        <v>16</v>
      </c>
      <c r="H1055">
        <v>8576</v>
      </c>
      <c r="I1055">
        <v>0</v>
      </c>
      <c r="J1055">
        <v>0</v>
      </c>
      <c r="K1055">
        <v>142.9</v>
      </c>
      <c r="L1055">
        <v>0</v>
      </c>
      <c r="M1055">
        <v>8.9</v>
      </c>
      <c r="N1055">
        <v>128</v>
      </c>
      <c r="O1055" s="1" t="s">
        <v>377</v>
      </c>
    </row>
    <row r="1056" spans="1:15">
      <c r="A1056" t="s">
        <v>959</v>
      </c>
      <c r="B1056" t="s">
        <v>960</v>
      </c>
      <c r="C1056" t="s">
        <v>961</v>
      </c>
      <c r="D1056" t="s">
        <v>20</v>
      </c>
      <c r="E1056">
        <v>2025</v>
      </c>
      <c r="F1056">
        <v>6</v>
      </c>
      <c r="G1056">
        <v>17</v>
      </c>
      <c r="H1056">
        <v>9083</v>
      </c>
      <c r="I1056">
        <v>0</v>
      </c>
      <c r="J1056">
        <v>0</v>
      </c>
      <c r="K1056">
        <v>151.4</v>
      </c>
      <c r="L1056">
        <v>0</v>
      </c>
      <c r="M1056">
        <v>8.9</v>
      </c>
      <c r="N1056">
        <v>136</v>
      </c>
      <c r="O1056" s="1" t="s">
        <v>23</v>
      </c>
    </row>
    <row r="1057" spans="1:15">
      <c r="A1057" t="s">
        <v>959</v>
      </c>
      <c r="B1057" t="s">
        <v>960</v>
      </c>
      <c r="C1057" t="s">
        <v>961</v>
      </c>
      <c r="D1057" t="s">
        <v>20</v>
      </c>
      <c r="E1057">
        <v>2025</v>
      </c>
      <c r="F1057">
        <v>7</v>
      </c>
      <c r="G1057">
        <v>17</v>
      </c>
      <c r="H1057">
        <v>9501</v>
      </c>
      <c r="I1057">
        <v>0</v>
      </c>
      <c r="J1057">
        <v>0</v>
      </c>
      <c r="K1057">
        <v>158.4</v>
      </c>
      <c r="L1057">
        <v>0</v>
      </c>
      <c r="M1057">
        <v>9.3000000000000007</v>
      </c>
      <c r="N1057">
        <v>136</v>
      </c>
      <c r="O1057" s="1" t="s">
        <v>373</v>
      </c>
    </row>
    <row r="1058" spans="1:15">
      <c r="A1058" t="s">
        <v>959</v>
      </c>
      <c r="B1058" t="s">
        <v>960</v>
      </c>
      <c r="C1058" t="s">
        <v>961</v>
      </c>
      <c r="D1058" t="s">
        <v>20</v>
      </c>
      <c r="E1058">
        <v>2025</v>
      </c>
      <c r="F1058">
        <v>8</v>
      </c>
      <c r="G1058">
        <v>16</v>
      </c>
      <c r="H1058">
        <v>7779</v>
      </c>
      <c r="I1058">
        <v>0</v>
      </c>
      <c r="J1058">
        <v>2</v>
      </c>
      <c r="K1058">
        <v>129.6</v>
      </c>
      <c r="L1058">
        <v>0</v>
      </c>
      <c r="M1058">
        <v>8.1</v>
      </c>
      <c r="N1058">
        <v>112</v>
      </c>
      <c r="O1058" s="1" t="s">
        <v>85</v>
      </c>
    </row>
    <row r="1059" spans="1:15">
      <c r="A1059" t="s">
        <v>962</v>
      </c>
      <c r="B1059" t="s">
        <v>963</v>
      </c>
      <c r="C1059" t="s">
        <v>964</v>
      </c>
      <c r="D1059" t="s">
        <v>20</v>
      </c>
      <c r="E1059">
        <v>2025</v>
      </c>
      <c r="F1059">
        <v>6</v>
      </c>
      <c r="G1059">
        <v>16</v>
      </c>
      <c r="H1059">
        <v>8378</v>
      </c>
      <c r="I1059">
        <v>0</v>
      </c>
      <c r="J1059">
        <v>0</v>
      </c>
      <c r="K1059">
        <v>139.6</v>
      </c>
      <c r="L1059">
        <v>0</v>
      </c>
      <c r="M1059">
        <v>8.6999999999999993</v>
      </c>
      <c r="N1059">
        <v>128</v>
      </c>
      <c r="O1059" s="1" t="s">
        <v>296</v>
      </c>
    </row>
    <row r="1060" spans="1:15">
      <c r="A1060" t="s">
        <v>962</v>
      </c>
      <c r="B1060" t="s">
        <v>963</v>
      </c>
      <c r="C1060" t="s">
        <v>964</v>
      </c>
      <c r="D1060" t="s">
        <v>20</v>
      </c>
      <c r="E1060">
        <v>2025</v>
      </c>
      <c r="F1060">
        <v>7</v>
      </c>
      <c r="G1060">
        <v>8</v>
      </c>
      <c r="H1060">
        <v>4450</v>
      </c>
      <c r="I1060">
        <v>0</v>
      </c>
      <c r="J1060">
        <v>0</v>
      </c>
      <c r="K1060">
        <v>74.2</v>
      </c>
      <c r="L1060">
        <v>0</v>
      </c>
      <c r="M1060">
        <v>9.3000000000000007</v>
      </c>
      <c r="N1060">
        <v>64</v>
      </c>
      <c r="O1060" s="1" t="s">
        <v>965</v>
      </c>
    </row>
    <row r="1061" spans="1:15">
      <c r="A1061" t="s">
        <v>966</v>
      </c>
      <c r="B1061" t="s">
        <v>967</v>
      </c>
      <c r="C1061" t="s">
        <v>893</v>
      </c>
      <c r="D1061" t="s">
        <v>136</v>
      </c>
      <c r="E1061">
        <v>2025</v>
      </c>
      <c r="F1061">
        <v>6</v>
      </c>
      <c r="G1061">
        <v>19</v>
      </c>
      <c r="H1061">
        <v>9883</v>
      </c>
      <c r="I1061">
        <v>146</v>
      </c>
      <c r="J1061">
        <v>1</v>
      </c>
      <c r="K1061">
        <v>164.7</v>
      </c>
      <c r="L1061">
        <v>2.4</v>
      </c>
      <c r="M1061">
        <v>8.6999999999999993</v>
      </c>
      <c r="N1061">
        <v>144</v>
      </c>
      <c r="O1061" s="1" t="s">
        <v>216</v>
      </c>
    </row>
    <row r="1062" spans="1:15">
      <c r="A1062" t="s">
        <v>966</v>
      </c>
      <c r="B1062" t="s">
        <v>967</v>
      </c>
      <c r="C1062" t="s">
        <v>893</v>
      </c>
      <c r="D1062" t="s">
        <v>136</v>
      </c>
      <c r="E1062">
        <v>2025</v>
      </c>
      <c r="F1062">
        <v>7</v>
      </c>
      <c r="G1062">
        <v>15</v>
      </c>
      <c r="H1062">
        <v>7862</v>
      </c>
      <c r="I1062">
        <v>152</v>
      </c>
      <c r="J1062">
        <v>0</v>
      </c>
      <c r="K1062">
        <v>131</v>
      </c>
      <c r="L1062">
        <v>2.5</v>
      </c>
      <c r="M1062">
        <v>8.6999999999999993</v>
      </c>
      <c r="N1062">
        <v>120</v>
      </c>
      <c r="O1062">
        <v>11</v>
      </c>
    </row>
    <row r="1063" spans="1:15">
      <c r="A1063" t="s">
        <v>966</v>
      </c>
      <c r="B1063" t="s">
        <v>967</v>
      </c>
      <c r="C1063" t="s">
        <v>893</v>
      </c>
      <c r="D1063" t="s">
        <v>136</v>
      </c>
      <c r="E1063">
        <v>2025</v>
      </c>
      <c r="F1063">
        <v>8</v>
      </c>
      <c r="G1063">
        <v>16</v>
      </c>
      <c r="H1063">
        <v>8309</v>
      </c>
      <c r="I1063">
        <v>368</v>
      </c>
      <c r="J1063">
        <v>0</v>
      </c>
      <c r="K1063">
        <v>138.5</v>
      </c>
      <c r="L1063">
        <v>6.1</v>
      </c>
      <c r="M1063">
        <v>8.6999999999999993</v>
      </c>
      <c r="N1063">
        <v>128</v>
      </c>
      <c r="O1063">
        <v>10.5</v>
      </c>
    </row>
    <row r="1064" spans="1:15">
      <c r="A1064" t="s">
        <v>968</v>
      </c>
      <c r="B1064" t="s">
        <v>969</v>
      </c>
      <c r="C1064" t="s">
        <v>970</v>
      </c>
      <c r="D1064" t="s">
        <v>136</v>
      </c>
      <c r="E1064">
        <v>2025</v>
      </c>
      <c r="F1064">
        <v>6</v>
      </c>
      <c r="G1064">
        <v>18</v>
      </c>
      <c r="H1064">
        <v>9675</v>
      </c>
      <c r="I1064">
        <v>0</v>
      </c>
      <c r="J1064">
        <v>1</v>
      </c>
      <c r="K1064">
        <v>161.19999999999999</v>
      </c>
      <c r="L1064">
        <v>0</v>
      </c>
      <c r="M1064">
        <v>9</v>
      </c>
      <c r="N1064">
        <v>136</v>
      </c>
      <c r="O1064" s="1" t="s">
        <v>971</v>
      </c>
    </row>
    <row r="1065" spans="1:15">
      <c r="A1065" t="s">
        <v>968</v>
      </c>
      <c r="B1065" t="s">
        <v>969</v>
      </c>
      <c r="C1065" t="s">
        <v>970</v>
      </c>
      <c r="D1065" t="s">
        <v>136</v>
      </c>
      <c r="E1065">
        <v>2025</v>
      </c>
      <c r="F1065">
        <v>7</v>
      </c>
      <c r="G1065">
        <v>19</v>
      </c>
      <c r="H1065">
        <v>12091</v>
      </c>
      <c r="I1065">
        <v>0</v>
      </c>
      <c r="J1065">
        <v>0</v>
      </c>
      <c r="K1065">
        <v>201.5</v>
      </c>
      <c r="L1065">
        <v>0</v>
      </c>
      <c r="M1065">
        <v>10.6</v>
      </c>
      <c r="N1065">
        <v>152</v>
      </c>
      <c r="O1065">
        <v>49.5</v>
      </c>
    </row>
    <row r="1066" spans="1:15">
      <c r="A1066" t="s">
        <v>968</v>
      </c>
      <c r="B1066" t="s">
        <v>969</v>
      </c>
      <c r="C1066" t="s">
        <v>970</v>
      </c>
      <c r="D1066" t="s">
        <v>136</v>
      </c>
      <c r="E1066">
        <v>2025</v>
      </c>
      <c r="F1066">
        <v>8</v>
      </c>
      <c r="G1066">
        <v>15</v>
      </c>
      <c r="H1066">
        <v>8012</v>
      </c>
      <c r="I1066">
        <v>0</v>
      </c>
      <c r="J1066">
        <v>0</v>
      </c>
      <c r="K1066">
        <v>133.5</v>
      </c>
      <c r="L1066">
        <v>0</v>
      </c>
      <c r="M1066">
        <v>8.9</v>
      </c>
      <c r="N1066">
        <v>120</v>
      </c>
      <c r="O1066">
        <v>13.5</v>
      </c>
    </row>
    <row r="1067" spans="1:15">
      <c r="A1067" t="s">
        <v>972</v>
      </c>
      <c r="B1067" t="s">
        <v>179</v>
      </c>
      <c r="C1067" t="s">
        <v>970</v>
      </c>
      <c r="D1067" t="s">
        <v>136</v>
      </c>
      <c r="E1067">
        <v>2025</v>
      </c>
      <c r="F1067">
        <v>6</v>
      </c>
      <c r="G1067">
        <v>15</v>
      </c>
      <c r="H1067">
        <v>8525</v>
      </c>
      <c r="I1067">
        <v>0</v>
      </c>
      <c r="J1067">
        <v>0</v>
      </c>
      <c r="K1067">
        <v>142.1</v>
      </c>
      <c r="L1067">
        <v>0</v>
      </c>
      <c r="M1067">
        <v>9.5</v>
      </c>
      <c r="N1067">
        <v>120</v>
      </c>
      <c r="O1067" s="1" t="s">
        <v>203</v>
      </c>
    </row>
    <row r="1068" spans="1:15">
      <c r="A1068" t="s">
        <v>972</v>
      </c>
      <c r="B1068" t="s">
        <v>179</v>
      </c>
      <c r="C1068" t="s">
        <v>970</v>
      </c>
      <c r="D1068" t="s">
        <v>136</v>
      </c>
      <c r="E1068">
        <v>2025</v>
      </c>
      <c r="F1068">
        <v>7</v>
      </c>
      <c r="G1068">
        <v>18</v>
      </c>
      <c r="H1068">
        <v>10287</v>
      </c>
      <c r="I1068">
        <v>0</v>
      </c>
      <c r="J1068">
        <v>0</v>
      </c>
      <c r="K1068">
        <v>171.4</v>
      </c>
      <c r="L1068">
        <v>0</v>
      </c>
      <c r="M1068">
        <v>9.5</v>
      </c>
      <c r="N1068">
        <v>144</v>
      </c>
      <c r="O1068" s="1" t="s">
        <v>366</v>
      </c>
    </row>
    <row r="1069" spans="1:15">
      <c r="A1069" t="s">
        <v>972</v>
      </c>
      <c r="B1069" t="s">
        <v>179</v>
      </c>
      <c r="C1069" t="s">
        <v>970</v>
      </c>
      <c r="D1069" t="s">
        <v>136</v>
      </c>
      <c r="E1069">
        <v>2025</v>
      </c>
      <c r="F1069">
        <v>8</v>
      </c>
      <c r="G1069">
        <v>16</v>
      </c>
      <c r="H1069">
        <v>8672</v>
      </c>
      <c r="I1069">
        <v>0</v>
      </c>
      <c r="J1069">
        <v>0</v>
      </c>
      <c r="K1069">
        <v>144.5</v>
      </c>
      <c r="L1069">
        <v>0</v>
      </c>
      <c r="M1069">
        <v>9</v>
      </c>
      <c r="N1069">
        <v>128</v>
      </c>
      <c r="O1069">
        <v>16.5</v>
      </c>
    </row>
    <row r="1070" spans="1:15">
      <c r="A1070" t="s">
        <v>973</v>
      </c>
      <c r="B1070" t="s">
        <v>974</v>
      </c>
      <c r="C1070" t="s">
        <v>964</v>
      </c>
      <c r="D1070" t="s">
        <v>136</v>
      </c>
      <c r="E1070">
        <v>2025</v>
      </c>
      <c r="F1070">
        <v>6</v>
      </c>
      <c r="G1070">
        <v>18</v>
      </c>
      <c r="H1070">
        <v>9045</v>
      </c>
      <c r="I1070">
        <v>0</v>
      </c>
      <c r="J1070">
        <v>0</v>
      </c>
      <c r="K1070">
        <v>150.80000000000001</v>
      </c>
      <c r="L1070">
        <v>0</v>
      </c>
      <c r="M1070">
        <v>8.4</v>
      </c>
      <c r="N1070">
        <v>144</v>
      </c>
      <c r="O1070" s="1" t="s">
        <v>975</v>
      </c>
    </row>
    <row r="1071" spans="1:15">
      <c r="A1071" t="s">
        <v>973</v>
      </c>
      <c r="B1071" t="s">
        <v>974</v>
      </c>
      <c r="C1071" t="s">
        <v>964</v>
      </c>
      <c r="D1071" t="s">
        <v>136</v>
      </c>
      <c r="E1071">
        <v>2025</v>
      </c>
      <c r="F1071">
        <v>7</v>
      </c>
      <c r="G1071">
        <v>18</v>
      </c>
      <c r="H1071">
        <v>9973</v>
      </c>
      <c r="I1071">
        <v>0</v>
      </c>
      <c r="J1071">
        <v>0</v>
      </c>
      <c r="K1071">
        <v>166.2</v>
      </c>
      <c r="L1071">
        <v>0</v>
      </c>
      <c r="M1071">
        <v>9.1999999999999993</v>
      </c>
      <c r="N1071">
        <v>144</v>
      </c>
      <c r="O1071" s="1" t="s">
        <v>616</v>
      </c>
    </row>
    <row r="1072" spans="1:15">
      <c r="A1072" t="s">
        <v>973</v>
      </c>
      <c r="B1072" t="s">
        <v>974</v>
      </c>
      <c r="C1072" t="s">
        <v>964</v>
      </c>
      <c r="D1072" t="s">
        <v>136</v>
      </c>
      <c r="E1072">
        <v>2025</v>
      </c>
      <c r="F1072">
        <v>8</v>
      </c>
      <c r="G1072">
        <v>16</v>
      </c>
      <c r="H1072">
        <v>8248</v>
      </c>
      <c r="I1072">
        <v>0</v>
      </c>
      <c r="J1072">
        <v>0</v>
      </c>
      <c r="K1072">
        <v>137.5</v>
      </c>
      <c r="L1072">
        <v>0</v>
      </c>
      <c r="M1072">
        <v>8.6</v>
      </c>
      <c r="N1072">
        <v>128</v>
      </c>
      <c r="O1072">
        <v>9.5</v>
      </c>
    </row>
    <row r="1073" spans="1:15">
      <c r="A1073" t="s">
        <v>976</v>
      </c>
      <c r="B1073" t="s">
        <v>977</v>
      </c>
      <c r="C1073" t="s">
        <v>978</v>
      </c>
      <c r="D1073" t="s">
        <v>20</v>
      </c>
      <c r="E1073">
        <v>2025</v>
      </c>
      <c r="F1073">
        <v>6</v>
      </c>
      <c r="G1073">
        <v>19</v>
      </c>
      <c r="H1073">
        <v>11418</v>
      </c>
      <c r="I1073">
        <v>111</v>
      </c>
      <c r="J1073">
        <v>0</v>
      </c>
      <c r="K1073">
        <v>190.3</v>
      </c>
      <c r="L1073">
        <v>1.8</v>
      </c>
      <c r="M1073">
        <v>10</v>
      </c>
      <c r="N1073">
        <v>152</v>
      </c>
      <c r="O1073" s="1" t="s">
        <v>306</v>
      </c>
    </row>
    <row r="1074" spans="1:15">
      <c r="A1074" t="s">
        <v>976</v>
      </c>
      <c r="B1074" t="s">
        <v>977</v>
      </c>
      <c r="C1074" t="s">
        <v>978</v>
      </c>
      <c r="D1074" t="s">
        <v>20</v>
      </c>
      <c r="E1074">
        <v>2025</v>
      </c>
      <c r="F1074">
        <v>7</v>
      </c>
      <c r="G1074">
        <v>19</v>
      </c>
      <c r="H1074">
        <v>11712</v>
      </c>
      <c r="I1074">
        <v>369</v>
      </c>
      <c r="J1074">
        <v>0</v>
      </c>
      <c r="K1074">
        <v>195.2</v>
      </c>
      <c r="L1074">
        <v>6.2</v>
      </c>
      <c r="M1074">
        <v>10.3</v>
      </c>
      <c r="N1074">
        <v>152</v>
      </c>
      <c r="O1074" s="1" t="s">
        <v>413</v>
      </c>
    </row>
    <row r="1075" spans="1:15">
      <c r="A1075" t="s">
        <v>976</v>
      </c>
      <c r="B1075" t="s">
        <v>977</v>
      </c>
      <c r="C1075" t="s">
        <v>978</v>
      </c>
      <c r="D1075" t="s">
        <v>20</v>
      </c>
      <c r="E1075">
        <v>2025</v>
      </c>
      <c r="F1075">
        <v>8</v>
      </c>
      <c r="G1075">
        <v>16</v>
      </c>
      <c r="H1075">
        <v>9453</v>
      </c>
      <c r="I1075">
        <v>501</v>
      </c>
      <c r="J1075">
        <v>0</v>
      </c>
      <c r="K1075">
        <v>157.6</v>
      </c>
      <c r="L1075">
        <v>8.4</v>
      </c>
      <c r="M1075">
        <v>9.8000000000000007</v>
      </c>
      <c r="N1075">
        <v>128</v>
      </c>
      <c r="O1075" s="1" t="s">
        <v>146</v>
      </c>
    </row>
    <row r="1076" spans="1:15">
      <c r="A1076" t="s">
        <v>979</v>
      </c>
      <c r="B1076" t="s">
        <v>980</v>
      </c>
      <c r="C1076" t="s">
        <v>981</v>
      </c>
      <c r="D1076" t="s">
        <v>136</v>
      </c>
      <c r="E1076">
        <v>2025</v>
      </c>
      <c r="F1076">
        <v>6</v>
      </c>
      <c r="G1076">
        <v>18</v>
      </c>
      <c r="H1076">
        <v>8213</v>
      </c>
      <c r="I1076">
        <v>0</v>
      </c>
      <c r="J1076">
        <v>0</v>
      </c>
      <c r="K1076">
        <v>136.9</v>
      </c>
      <c r="L1076">
        <v>0</v>
      </c>
      <c r="M1076">
        <v>7.6</v>
      </c>
      <c r="N1076">
        <v>144</v>
      </c>
      <c r="O1076">
        <v>-7.1</v>
      </c>
    </row>
    <row r="1077" spans="1:15">
      <c r="A1077" t="s">
        <v>979</v>
      </c>
      <c r="B1077" t="s">
        <v>980</v>
      </c>
      <c r="C1077" t="s">
        <v>981</v>
      </c>
      <c r="D1077" t="s">
        <v>136</v>
      </c>
      <c r="E1077">
        <v>2025</v>
      </c>
      <c r="F1077">
        <v>7</v>
      </c>
      <c r="G1077">
        <v>16</v>
      </c>
      <c r="H1077">
        <v>9327</v>
      </c>
      <c r="I1077">
        <v>0</v>
      </c>
      <c r="J1077">
        <v>0</v>
      </c>
      <c r="K1077">
        <v>155.4</v>
      </c>
      <c r="L1077">
        <v>0</v>
      </c>
      <c r="M1077">
        <v>9.6999999999999993</v>
      </c>
      <c r="N1077">
        <v>128</v>
      </c>
      <c r="O1077" s="1" t="s">
        <v>366</v>
      </c>
    </row>
    <row r="1078" spans="1:15">
      <c r="A1078" t="s">
        <v>979</v>
      </c>
      <c r="B1078" t="s">
        <v>980</v>
      </c>
      <c r="C1078" t="s">
        <v>981</v>
      </c>
      <c r="D1078" t="s">
        <v>136</v>
      </c>
      <c r="E1078">
        <v>2025</v>
      </c>
      <c r="F1078">
        <v>8</v>
      </c>
      <c r="G1078">
        <v>13</v>
      </c>
      <c r="H1078">
        <v>6861</v>
      </c>
      <c r="I1078">
        <v>0</v>
      </c>
      <c r="J1078">
        <v>0</v>
      </c>
      <c r="K1078">
        <v>114.4</v>
      </c>
      <c r="L1078">
        <v>0</v>
      </c>
      <c r="M1078">
        <v>8.8000000000000007</v>
      </c>
      <c r="N1078">
        <v>104</v>
      </c>
      <c r="O1078" s="1" t="s">
        <v>335</v>
      </c>
    </row>
    <row r="1079" spans="1:15">
      <c r="A1079" t="s">
        <v>982</v>
      </c>
      <c r="B1079" t="s">
        <v>983</v>
      </c>
      <c r="C1079" t="s">
        <v>978</v>
      </c>
      <c r="D1079" t="s">
        <v>136</v>
      </c>
      <c r="E1079">
        <v>2025</v>
      </c>
      <c r="F1079">
        <v>6</v>
      </c>
      <c r="G1079">
        <v>19</v>
      </c>
      <c r="H1079">
        <v>12566</v>
      </c>
      <c r="I1079">
        <v>0</v>
      </c>
      <c r="J1079">
        <v>1</v>
      </c>
      <c r="K1079">
        <v>209.4</v>
      </c>
      <c r="L1079">
        <v>0</v>
      </c>
      <c r="M1079">
        <v>11</v>
      </c>
      <c r="N1079">
        <v>144</v>
      </c>
      <c r="O1079">
        <v>65.400000000000006</v>
      </c>
    </row>
    <row r="1080" spans="1:15">
      <c r="A1080" t="s">
        <v>982</v>
      </c>
      <c r="B1080" t="s">
        <v>983</v>
      </c>
      <c r="C1080" t="s">
        <v>978</v>
      </c>
      <c r="D1080" t="s">
        <v>136</v>
      </c>
      <c r="E1080">
        <v>2025</v>
      </c>
      <c r="F1080">
        <v>7</v>
      </c>
      <c r="G1080">
        <v>21</v>
      </c>
      <c r="H1080">
        <v>15698</v>
      </c>
      <c r="I1080">
        <v>0</v>
      </c>
      <c r="J1080">
        <v>3</v>
      </c>
      <c r="K1080">
        <v>261.60000000000002</v>
      </c>
      <c r="L1080">
        <v>0</v>
      </c>
      <c r="M1080">
        <v>12.5</v>
      </c>
      <c r="N1080">
        <v>144</v>
      </c>
      <c r="O1080" s="1" t="s">
        <v>984</v>
      </c>
    </row>
    <row r="1081" spans="1:15">
      <c r="A1081" t="s">
        <v>982</v>
      </c>
      <c r="B1081" t="s">
        <v>983</v>
      </c>
      <c r="C1081" t="s">
        <v>978</v>
      </c>
      <c r="D1081" t="s">
        <v>136</v>
      </c>
      <c r="E1081">
        <v>2025</v>
      </c>
      <c r="F1081">
        <v>8</v>
      </c>
      <c r="G1081">
        <v>19</v>
      </c>
      <c r="H1081">
        <v>9396</v>
      </c>
      <c r="I1081">
        <v>0</v>
      </c>
      <c r="J1081">
        <v>3</v>
      </c>
      <c r="K1081">
        <v>156.6</v>
      </c>
      <c r="L1081">
        <v>0</v>
      </c>
      <c r="M1081">
        <v>8.1999999999999993</v>
      </c>
      <c r="N1081">
        <v>128</v>
      </c>
      <c r="O1081" s="1" t="s">
        <v>74</v>
      </c>
    </row>
    <row r="1082" spans="1:15">
      <c r="A1082" t="s">
        <v>985</v>
      </c>
      <c r="B1082" t="s">
        <v>986</v>
      </c>
      <c r="C1082" t="s">
        <v>978</v>
      </c>
      <c r="D1082" t="s">
        <v>136</v>
      </c>
      <c r="E1082">
        <v>2025</v>
      </c>
      <c r="F1082">
        <v>6</v>
      </c>
      <c r="G1082">
        <v>10</v>
      </c>
      <c r="H1082">
        <v>3087</v>
      </c>
      <c r="I1082">
        <v>0</v>
      </c>
      <c r="J1082">
        <v>1</v>
      </c>
      <c r="K1082">
        <v>51.4</v>
      </c>
      <c r="L1082">
        <v>0</v>
      </c>
      <c r="M1082">
        <v>5.0999999999999996</v>
      </c>
      <c r="N1082">
        <v>72</v>
      </c>
      <c r="O1082">
        <v>-20.6</v>
      </c>
    </row>
    <row r="1083" spans="1:15">
      <c r="A1083" t="s">
        <v>985</v>
      </c>
      <c r="B1083" t="s">
        <v>986</v>
      </c>
      <c r="C1083" t="s">
        <v>978</v>
      </c>
      <c r="D1083" t="s">
        <v>136</v>
      </c>
      <c r="E1083">
        <v>2025</v>
      </c>
      <c r="F1083">
        <v>7</v>
      </c>
      <c r="G1083">
        <v>6</v>
      </c>
      <c r="H1083">
        <v>1921</v>
      </c>
      <c r="I1083">
        <v>0</v>
      </c>
      <c r="J1083">
        <v>0</v>
      </c>
      <c r="K1083">
        <v>32</v>
      </c>
      <c r="L1083">
        <v>0</v>
      </c>
      <c r="M1083">
        <v>5.3</v>
      </c>
      <c r="N1083">
        <v>48</v>
      </c>
      <c r="O1083">
        <v>-16</v>
      </c>
    </row>
    <row r="1084" spans="1:15">
      <c r="A1084" t="s">
        <v>985</v>
      </c>
      <c r="B1084" t="s">
        <v>986</v>
      </c>
      <c r="C1084" t="s">
        <v>978</v>
      </c>
      <c r="D1084" t="s">
        <v>136</v>
      </c>
      <c r="E1084">
        <v>2025</v>
      </c>
      <c r="F1084">
        <v>8</v>
      </c>
      <c r="G1084">
        <v>11</v>
      </c>
      <c r="H1084">
        <v>9796</v>
      </c>
      <c r="I1084">
        <v>0</v>
      </c>
      <c r="J1084">
        <v>2</v>
      </c>
      <c r="K1084">
        <v>163.30000000000001</v>
      </c>
      <c r="L1084">
        <v>0</v>
      </c>
      <c r="M1084">
        <v>14.8</v>
      </c>
      <c r="N1084">
        <v>72</v>
      </c>
      <c r="O1084" s="1" t="s">
        <v>987</v>
      </c>
    </row>
    <row r="1085" spans="1:15">
      <c r="A1085" t="s">
        <v>988</v>
      </c>
      <c r="B1085" t="s">
        <v>989</v>
      </c>
      <c r="C1085" t="s">
        <v>182</v>
      </c>
      <c r="D1085" t="s">
        <v>20</v>
      </c>
      <c r="E1085">
        <v>2025</v>
      </c>
      <c r="F1085">
        <v>6</v>
      </c>
      <c r="G1085">
        <v>13</v>
      </c>
      <c r="H1085">
        <v>7887</v>
      </c>
      <c r="I1085">
        <v>386</v>
      </c>
      <c r="J1085">
        <v>0</v>
      </c>
      <c r="K1085">
        <v>131.4</v>
      </c>
      <c r="L1085">
        <v>6.4</v>
      </c>
      <c r="M1085">
        <v>10.1</v>
      </c>
      <c r="N1085">
        <v>104</v>
      </c>
      <c r="O1085" s="1" t="s">
        <v>366</v>
      </c>
    </row>
    <row r="1086" spans="1:15">
      <c r="A1086" t="s">
        <v>988</v>
      </c>
      <c r="B1086" t="s">
        <v>989</v>
      </c>
      <c r="C1086" t="s">
        <v>182</v>
      </c>
      <c r="D1086" t="s">
        <v>20</v>
      </c>
      <c r="E1086">
        <v>2025</v>
      </c>
      <c r="F1086">
        <v>7</v>
      </c>
      <c r="G1086">
        <v>19</v>
      </c>
      <c r="H1086">
        <v>11233</v>
      </c>
      <c r="I1086">
        <v>303</v>
      </c>
      <c r="J1086">
        <v>0</v>
      </c>
      <c r="K1086">
        <v>187.2</v>
      </c>
      <c r="L1086">
        <v>5</v>
      </c>
      <c r="M1086">
        <v>9.9</v>
      </c>
      <c r="N1086">
        <v>152</v>
      </c>
      <c r="O1086" s="1" t="s">
        <v>582</v>
      </c>
    </row>
    <row r="1087" spans="1:15">
      <c r="A1087" t="s">
        <v>988</v>
      </c>
      <c r="B1087" t="s">
        <v>989</v>
      </c>
      <c r="C1087" t="s">
        <v>182</v>
      </c>
      <c r="D1087" t="s">
        <v>20</v>
      </c>
      <c r="E1087">
        <v>2025</v>
      </c>
      <c r="F1087">
        <v>8</v>
      </c>
      <c r="G1087">
        <v>17</v>
      </c>
      <c r="H1087">
        <v>9394</v>
      </c>
      <c r="I1087">
        <v>514</v>
      </c>
      <c r="J1087">
        <v>0</v>
      </c>
      <c r="K1087">
        <v>156.6</v>
      </c>
      <c r="L1087">
        <v>8.6</v>
      </c>
      <c r="M1087">
        <v>9.1999999999999993</v>
      </c>
      <c r="N1087">
        <v>136</v>
      </c>
      <c r="O1087" s="1" t="s">
        <v>171</v>
      </c>
    </row>
    <row r="1088" spans="1:15">
      <c r="A1088" t="s">
        <v>990</v>
      </c>
      <c r="B1088" t="s">
        <v>991</v>
      </c>
      <c r="C1088" t="s">
        <v>182</v>
      </c>
      <c r="D1088" t="s">
        <v>136</v>
      </c>
      <c r="E1088">
        <v>2025</v>
      </c>
      <c r="F1088">
        <v>6</v>
      </c>
      <c r="G1088">
        <v>18</v>
      </c>
      <c r="H1088">
        <v>10395</v>
      </c>
      <c r="I1088">
        <v>0</v>
      </c>
      <c r="J1088">
        <v>0</v>
      </c>
      <c r="K1088">
        <v>173.2</v>
      </c>
      <c r="L1088">
        <v>0</v>
      </c>
      <c r="M1088">
        <v>9.6</v>
      </c>
      <c r="N1088">
        <v>144</v>
      </c>
      <c r="O1088" s="1" t="s">
        <v>127</v>
      </c>
    </row>
    <row r="1089" spans="1:15">
      <c r="A1089" t="s">
        <v>990</v>
      </c>
      <c r="B1089" t="s">
        <v>991</v>
      </c>
      <c r="C1089" t="s">
        <v>182</v>
      </c>
      <c r="D1089" t="s">
        <v>136</v>
      </c>
      <c r="E1089">
        <v>2025</v>
      </c>
      <c r="F1089">
        <v>7</v>
      </c>
      <c r="G1089">
        <v>19</v>
      </c>
      <c r="H1089">
        <v>9973</v>
      </c>
      <c r="I1089">
        <v>0</v>
      </c>
      <c r="J1089">
        <v>0</v>
      </c>
      <c r="K1089">
        <v>166.2</v>
      </c>
      <c r="L1089">
        <v>0</v>
      </c>
      <c r="M1089">
        <v>8.6999999999999993</v>
      </c>
      <c r="N1089">
        <v>152</v>
      </c>
      <c r="O1089" s="1" t="s">
        <v>639</v>
      </c>
    </row>
    <row r="1090" spans="1:15">
      <c r="A1090" t="s">
        <v>990</v>
      </c>
      <c r="B1090" t="s">
        <v>991</v>
      </c>
      <c r="C1090" t="s">
        <v>182</v>
      </c>
      <c r="D1090" t="s">
        <v>136</v>
      </c>
      <c r="E1090">
        <v>2025</v>
      </c>
      <c r="F1090">
        <v>8</v>
      </c>
      <c r="G1090">
        <v>15</v>
      </c>
      <c r="H1090">
        <v>7989</v>
      </c>
      <c r="I1090">
        <v>0</v>
      </c>
      <c r="J1090">
        <v>0</v>
      </c>
      <c r="K1090">
        <v>133.19999999999999</v>
      </c>
      <c r="L1090">
        <v>0</v>
      </c>
      <c r="M1090">
        <v>8.9</v>
      </c>
      <c r="N1090">
        <v>120</v>
      </c>
      <c r="O1090" s="1" t="s">
        <v>262</v>
      </c>
    </row>
    <row r="1091" spans="1:15">
      <c r="A1091" t="s">
        <v>992</v>
      </c>
      <c r="B1091" t="s">
        <v>993</v>
      </c>
      <c r="C1091" t="s">
        <v>915</v>
      </c>
      <c r="D1091" t="s">
        <v>136</v>
      </c>
      <c r="E1091">
        <v>2025</v>
      </c>
      <c r="F1091">
        <v>6</v>
      </c>
      <c r="G1091">
        <v>17</v>
      </c>
      <c r="H1091">
        <v>9862</v>
      </c>
      <c r="I1091">
        <v>171</v>
      </c>
      <c r="J1091">
        <v>0</v>
      </c>
      <c r="K1091">
        <v>164.4</v>
      </c>
      <c r="L1091">
        <v>2.8</v>
      </c>
      <c r="M1091">
        <v>9.6999999999999993</v>
      </c>
      <c r="N1091">
        <v>136</v>
      </c>
      <c r="O1091" s="1" t="s">
        <v>994</v>
      </c>
    </row>
    <row r="1092" spans="1:15">
      <c r="A1092" t="s">
        <v>992</v>
      </c>
      <c r="B1092" t="s">
        <v>993</v>
      </c>
      <c r="C1092" t="s">
        <v>915</v>
      </c>
      <c r="D1092" t="s">
        <v>136</v>
      </c>
      <c r="E1092">
        <v>2025</v>
      </c>
      <c r="F1092">
        <v>7</v>
      </c>
      <c r="G1092">
        <v>17</v>
      </c>
      <c r="H1092">
        <v>9395</v>
      </c>
      <c r="I1092">
        <v>177</v>
      </c>
      <c r="J1092">
        <v>0</v>
      </c>
      <c r="K1092">
        <v>156.6</v>
      </c>
      <c r="L1092">
        <v>3</v>
      </c>
      <c r="M1092">
        <v>9.1999999999999993</v>
      </c>
      <c r="N1092">
        <v>136</v>
      </c>
      <c r="O1092" s="1" t="s">
        <v>171</v>
      </c>
    </row>
    <row r="1093" spans="1:15">
      <c r="A1093" t="s">
        <v>992</v>
      </c>
      <c r="B1093" t="s">
        <v>993</v>
      </c>
      <c r="C1093" t="s">
        <v>915</v>
      </c>
      <c r="D1093" t="s">
        <v>136</v>
      </c>
      <c r="E1093">
        <v>2025</v>
      </c>
      <c r="F1093">
        <v>8</v>
      </c>
      <c r="G1093">
        <v>17</v>
      </c>
      <c r="H1093">
        <v>9838</v>
      </c>
      <c r="I1093">
        <v>142</v>
      </c>
      <c r="J1093">
        <v>1</v>
      </c>
      <c r="K1093">
        <v>164</v>
      </c>
      <c r="L1093">
        <v>2.4</v>
      </c>
      <c r="M1093">
        <v>9.6</v>
      </c>
      <c r="N1093">
        <v>128</v>
      </c>
      <c r="O1093">
        <v>36</v>
      </c>
    </row>
    <row r="1094" spans="1:15">
      <c r="A1094" t="s">
        <v>995</v>
      </c>
      <c r="B1094" t="s">
        <v>996</v>
      </c>
      <c r="C1094" t="s">
        <v>981</v>
      </c>
      <c r="D1094" t="s">
        <v>136</v>
      </c>
      <c r="E1094">
        <v>2025</v>
      </c>
      <c r="F1094">
        <v>6</v>
      </c>
      <c r="G1094">
        <v>18</v>
      </c>
      <c r="H1094">
        <v>12424</v>
      </c>
      <c r="I1094">
        <v>0</v>
      </c>
      <c r="J1094">
        <v>0</v>
      </c>
      <c r="K1094">
        <v>207.1</v>
      </c>
      <c r="L1094">
        <v>0</v>
      </c>
      <c r="M1094">
        <v>11.5</v>
      </c>
      <c r="N1094">
        <v>144</v>
      </c>
      <c r="O1094" s="1" t="s">
        <v>997</v>
      </c>
    </row>
    <row r="1095" spans="1:15">
      <c r="A1095" t="s">
        <v>995</v>
      </c>
      <c r="B1095" t="s">
        <v>996</v>
      </c>
      <c r="C1095" t="s">
        <v>981</v>
      </c>
      <c r="D1095" t="s">
        <v>136</v>
      </c>
      <c r="E1095">
        <v>2025</v>
      </c>
      <c r="F1095">
        <v>7</v>
      </c>
      <c r="G1095">
        <v>20</v>
      </c>
      <c r="H1095">
        <v>14095</v>
      </c>
      <c r="I1095">
        <v>0</v>
      </c>
      <c r="J1095">
        <v>1</v>
      </c>
      <c r="K1095">
        <v>234.9</v>
      </c>
      <c r="L1095">
        <v>0</v>
      </c>
      <c r="M1095">
        <v>11.7</v>
      </c>
      <c r="N1095">
        <v>152</v>
      </c>
      <c r="O1095">
        <v>82.9</v>
      </c>
    </row>
    <row r="1096" spans="1:15">
      <c r="A1096" t="s">
        <v>995</v>
      </c>
      <c r="B1096" t="s">
        <v>996</v>
      </c>
      <c r="C1096" t="s">
        <v>981</v>
      </c>
      <c r="D1096" t="s">
        <v>136</v>
      </c>
      <c r="E1096">
        <v>2025</v>
      </c>
      <c r="F1096">
        <v>8</v>
      </c>
      <c r="G1096">
        <v>19</v>
      </c>
      <c r="H1096">
        <v>12284</v>
      </c>
      <c r="I1096">
        <v>0</v>
      </c>
      <c r="J1096">
        <v>2</v>
      </c>
      <c r="K1096">
        <v>204.7</v>
      </c>
      <c r="L1096">
        <v>0</v>
      </c>
      <c r="M1096">
        <v>10.8</v>
      </c>
      <c r="N1096">
        <v>136</v>
      </c>
      <c r="O1096" s="1" t="s">
        <v>998</v>
      </c>
    </row>
    <row r="1097" spans="1:15">
      <c r="A1097" t="s">
        <v>999</v>
      </c>
      <c r="B1097" t="s">
        <v>1000</v>
      </c>
      <c r="C1097" t="s">
        <v>978</v>
      </c>
      <c r="D1097" t="s">
        <v>136</v>
      </c>
      <c r="E1097">
        <v>2025</v>
      </c>
      <c r="F1097">
        <v>6</v>
      </c>
      <c r="G1097">
        <v>18</v>
      </c>
      <c r="H1097">
        <v>10096</v>
      </c>
      <c r="I1097">
        <v>0</v>
      </c>
      <c r="J1097">
        <v>1</v>
      </c>
      <c r="K1097">
        <v>168.3</v>
      </c>
      <c r="L1097">
        <v>0</v>
      </c>
      <c r="M1097">
        <v>9.4</v>
      </c>
      <c r="N1097">
        <v>136</v>
      </c>
      <c r="O1097" s="1" t="s">
        <v>1001</v>
      </c>
    </row>
    <row r="1098" spans="1:15">
      <c r="A1098" t="s">
        <v>999</v>
      </c>
      <c r="B1098" t="s">
        <v>1000</v>
      </c>
      <c r="C1098" t="s">
        <v>978</v>
      </c>
      <c r="D1098" t="s">
        <v>136</v>
      </c>
      <c r="E1098">
        <v>2025</v>
      </c>
      <c r="F1098">
        <v>7</v>
      </c>
      <c r="G1098">
        <v>23</v>
      </c>
      <c r="H1098">
        <v>12361</v>
      </c>
      <c r="I1098">
        <v>0</v>
      </c>
      <c r="J1098">
        <v>4</v>
      </c>
      <c r="K1098">
        <v>206</v>
      </c>
      <c r="L1098">
        <v>0</v>
      </c>
      <c r="M1098">
        <v>9</v>
      </c>
      <c r="N1098">
        <v>152</v>
      </c>
      <c r="O1098">
        <v>54</v>
      </c>
    </row>
    <row r="1099" spans="1:15">
      <c r="A1099" t="s">
        <v>999</v>
      </c>
      <c r="B1099" t="s">
        <v>1000</v>
      </c>
      <c r="C1099" t="s">
        <v>978</v>
      </c>
      <c r="D1099" t="s">
        <v>136</v>
      </c>
      <c r="E1099">
        <v>2025</v>
      </c>
      <c r="F1099">
        <v>8</v>
      </c>
      <c r="G1099">
        <v>14</v>
      </c>
      <c r="H1099">
        <v>6071</v>
      </c>
      <c r="I1099">
        <v>0</v>
      </c>
      <c r="J1099">
        <v>1</v>
      </c>
      <c r="K1099">
        <v>101.2</v>
      </c>
      <c r="L1099">
        <v>0</v>
      </c>
      <c r="M1099">
        <v>7.2</v>
      </c>
      <c r="N1099">
        <v>104</v>
      </c>
      <c r="O1099">
        <v>-2.8</v>
      </c>
    </row>
    <row r="1100" spans="1:15">
      <c r="A1100" t="s">
        <v>1002</v>
      </c>
      <c r="B1100" t="s">
        <v>1003</v>
      </c>
      <c r="C1100" t="s">
        <v>654</v>
      </c>
      <c r="D1100" t="s">
        <v>20</v>
      </c>
      <c r="E1100">
        <v>2025</v>
      </c>
      <c r="F1100">
        <v>6</v>
      </c>
      <c r="G1100">
        <v>17</v>
      </c>
      <c r="H1100">
        <v>10077</v>
      </c>
      <c r="I1100">
        <v>953</v>
      </c>
      <c r="J1100">
        <v>1</v>
      </c>
      <c r="K1100">
        <v>168</v>
      </c>
      <c r="L1100">
        <v>15.9</v>
      </c>
      <c r="M1100">
        <v>9.9</v>
      </c>
      <c r="N1100">
        <v>128</v>
      </c>
      <c r="O1100">
        <v>40</v>
      </c>
    </row>
    <row r="1101" spans="1:15">
      <c r="A1101" t="s">
        <v>1002</v>
      </c>
      <c r="B1101" t="s">
        <v>1003</v>
      </c>
      <c r="C1101" t="s">
        <v>654</v>
      </c>
      <c r="D1101" t="s">
        <v>20</v>
      </c>
      <c r="E1101">
        <v>2025</v>
      </c>
      <c r="F1101">
        <v>7</v>
      </c>
      <c r="G1101">
        <v>22</v>
      </c>
      <c r="H1101">
        <v>13218</v>
      </c>
      <c r="I1101">
        <v>0</v>
      </c>
      <c r="J1101">
        <v>0</v>
      </c>
      <c r="K1101">
        <v>220.3</v>
      </c>
      <c r="L1101">
        <v>0</v>
      </c>
      <c r="M1101">
        <v>10</v>
      </c>
      <c r="N1101">
        <v>176</v>
      </c>
      <c r="O1101" s="1" t="s">
        <v>111</v>
      </c>
    </row>
    <row r="1102" spans="1:15">
      <c r="A1102" t="s">
        <v>1002</v>
      </c>
      <c r="B1102" t="s">
        <v>1003</v>
      </c>
      <c r="C1102" t="s">
        <v>654</v>
      </c>
      <c r="D1102" t="s">
        <v>20</v>
      </c>
      <c r="E1102">
        <v>2025</v>
      </c>
      <c r="F1102">
        <v>8</v>
      </c>
      <c r="G1102">
        <v>19</v>
      </c>
      <c r="H1102">
        <v>14778</v>
      </c>
      <c r="I1102">
        <v>20</v>
      </c>
      <c r="J1102">
        <v>2</v>
      </c>
      <c r="K1102">
        <v>246.3</v>
      </c>
      <c r="L1102">
        <v>0.3</v>
      </c>
      <c r="M1102">
        <v>13</v>
      </c>
      <c r="N1102">
        <v>136</v>
      </c>
      <c r="O1102" s="1" t="s">
        <v>1004</v>
      </c>
    </row>
    <row r="1103" spans="1:15">
      <c r="A1103" t="s">
        <v>1005</v>
      </c>
      <c r="B1103" t="s">
        <v>1006</v>
      </c>
      <c r="C1103" t="s">
        <v>646</v>
      </c>
      <c r="D1103" t="s">
        <v>136</v>
      </c>
      <c r="E1103">
        <v>2025</v>
      </c>
      <c r="F1103">
        <v>6</v>
      </c>
      <c r="G1103">
        <v>18</v>
      </c>
      <c r="H1103">
        <v>9861</v>
      </c>
      <c r="I1103">
        <v>504</v>
      </c>
      <c r="J1103">
        <v>0</v>
      </c>
      <c r="K1103">
        <v>164.4</v>
      </c>
      <c r="L1103">
        <v>8.4</v>
      </c>
      <c r="M1103">
        <v>9.1</v>
      </c>
      <c r="N1103">
        <v>144</v>
      </c>
      <c r="O1103" s="1" t="s">
        <v>447</v>
      </c>
    </row>
    <row r="1104" spans="1:15">
      <c r="A1104" t="s">
        <v>1005</v>
      </c>
      <c r="B1104" t="s">
        <v>1006</v>
      </c>
      <c r="C1104" t="s">
        <v>646</v>
      </c>
      <c r="D1104" t="s">
        <v>136</v>
      </c>
      <c r="E1104">
        <v>2025</v>
      </c>
      <c r="F1104">
        <v>7</v>
      </c>
      <c r="G1104">
        <v>22</v>
      </c>
      <c r="H1104">
        <v>21622</v>
      </c>
      <c r="I1104">
        <v>0</v>
      </c>
      <c r="J1104">
        <v>3</v>
      </c>
      <c r="K1104">
        <v>360.4</v>
      </c>
      <c r="L1104">
        <v>0</v>
      </c>
      <c r="M1104">
        <v>16.399999999999999</v>
      </c>
      <c r="N1104">
        <v>152</v>
      </c>
      <c r="O1104" s="1" t="s">
        <v>1007</v>
      </c>
    </row>
    <row r="1105" spans="1:15">
      <c r="A1105" t="s">
        <v>1005</v>
      </c>
      <c r="B1105" t="s">
        <v>1006</v>
      </c>
      <c r="C1105" t="s">
        <v>646</v>
      </c>
      <c r="D1105" t="s">
        <v>136</v>
      </c>
      <c r="E1105">
        <v>2025</v>
      </c>
      <c r="F1105">
        <v>8</v>
      </c>
      <c r="G1105">
        <v>23</v>
      </c>
      <c r="H1105">
        <v>26660</v>
      </c>
      <c r="I1105">
        <v>0</v>
      </c>
      <c r="J1105">
        <v>6</v>
      </c>
      <c r="K1105">
        <v>444.3</v>
      </c>
      <c r="L1105">
        <v>0</v>
      </c>
      <c r="M1105">
        <v>19.3</v>
      </c>
      <c r="N1105">
        <v>136</v>
      </c>
      <c r="O1105">
        <v>308.3</v>
      </c>
    </row>
    <row r="1106" spans="1:15">
      <c r="A1106" t="s">
        <v>1008</v>
      </c>
      <c r="B1106" t="s">
        <v>1009</v>
      </c>
      <c r="C1106" t="s">
        <v>646</v>
      </c>
      <c r="D1106" t="s">
        <v>136</v>
      </c>
      <c r="E1106">
        <v>2025</v>
      </c>
      <c r="F1106">
        <v>6</v>
      </c>
      <c r="G1106">
        <v>14</v>
      </c>
      <c r="H1106">
        <v>9718</v>
      </c>
      <c r="I1106">
        <v>0</v>
      </c>
      <c r="J1106">
        <v>0</v>
      </c>
      <c r="K1106">
        <v>162</v>
      </c>
      <c r="L1106">
        <v>0</v>
      </c>
      <c r="M1106">
        <v>11.6</v>
      </c>
      <c r="N1106">
        <v>112</v>
      </c>
      <c r="O1106">
        <v>50</v>
      </c>
    </row>
    <row r="1107" spans="1:15">
      <c r="A1107" t="s">
        <v>1008</v>
      </c>
      <c r="B1107" t="s">
        <v>1009</v>
      </c>
      <c r="C1107" t="s">
        <v>646</v>
      </c>
      <c r="D1107" t="s">
        <v>136</v>
      </c>
      <c r="E1107">
        <v>2025</v>
      </c>
      <c r="F1107">
        <v>7</v>
      </c>
      <c r="G1107">
        <v>23</v>
      </c>
      <c r="H1107">
        <v>12981</v>
      </c>
      <c r="I1107">
        <v>0</v>
      </c>
      <c r="J1107">
        <v>2</v>
      </c>
      <c r="K1107">
        <v>216.4</v>
      </c>
      <c r="L1107">
        <v>0</v>
      </c>
      <c r="M1107">
        <v>9.4</v>
      </c>
      <c r="N1107">
        <v>168</v>
      </c>
      <c r="O1107" s="1" t="s">
        <v>1010</v>
      </c>
    </row>
    <row r="1108" spans="1:15">
      <c r="A1108" t="s">
        <v>1008</v>
      </c>
      <c r="B1108" t="s">
        <v>1009</v>
      </c>
      <c r="C1108" t="s">
        <v>646</v>
      </c>
      <c r="D1108" t="s">
        <v>136</v>
      </c>
      <c r="E1108">
        <v>2025</v>
      </c>
      <c r="F1108">
        <v>8</v>
      </c>
      <c r="G1108">
        <v>17</v>
      </c>
      <c r="H1108">
        <v>10110</v>
      </c>
      <c r="I1108">
        <v>0</v>
      </c>
      <c r="J1108">
        <v>0</v>
      </c>
      <c r="K1108">
        <v>168.5</v>
      </c>
      <c r="L1108">
        <v>0</v>
      </c>
      <c r="M1108">
        <v>9.9</v>
      </c>
      <c r="N1108">
        <v>136</v>
      </c>
      <c r="O1108">
        <v>32.5</v>
      </c>
    </row>
    <row r="1109" spans="1:15">
      <c r="A1109" t="s">
        <v>1011</v>
      </c>
      <c r="B1109" t="s">
        <v>1012</v>
      </c>
      <c r="C1109" t="s">
        <v>1013</v>
      </c>
      <c r="D1109" t="s">
        <v>20</v>
      </c>
      <c r="E1109">
        <v>2025</v>
      </c>
      <c r="F1109">
        <v>6</v>
      </c>
      <c r="G1109">
        <v>13</v>
      </c>
      <c r="H1109">
        <v>6603</v>
      </c>
      <c r="I1109">
        <v>0</v>
      </c>
      <c r="J1109">
        <v>0</v>
      </c>
      <c r="K1109">
        <v>110</v>
      </c>
      <c r="L1109">
        <v>0</v>
      </c>
      <c r="M1109">
        <v>8.5</v>
      </c>
      <c r="N1109">
        <v>104</v>
      </c>
      <c r="O1109">
        <v>6</v>
      </c>
    </row>
    <row r="1110" spans="1:15">
      <c r="A1110" t="s">
        <v>1011</v>
      </c>
      <c r="B1110" t="s">
        <v>1012</v>
      </c>
      <c r="C1110" t="s">
        <v>1013</v>
      </c>
      <c r="D1110" t="s">
        <v>20</v>
      </c>
      <c r="E1110">
        <v>2025</v>
      </c>
      <c r="F1110">
        <v>7</v>
      </c>
      <c r="G1110">
        <v>19</v>
      </c>
      <c r="H1110">
        <v>9851</v>
      </c>
      <c r="I1110">
        <v>0</v>
      </c>
      <c r="J1110">
        <v>0</v>
      </c>
      <c r="K1110">
        <v>164.2</v>
      </c>
      <c r="L1110">
        <v>0</v>
      </c>
      <c r="M1110">
        <v>8.6</v>
      </c>
      <c r="N1110">
        <v>152</v>
      </c>
      <c r="O1110" s="1" t="s">
        <v>1014</v>
      </c>
    </row>
    <row r="1111" spans="1:15">
      <c r="A1111" t="s">
        <v>1011</v>
      </c>
      <c r="B1111" t="s">
        <v>1012</v>
      </c>
      <c r="C1111" t="s">
        <v>1013</v>
      </c>
      <c r="D1111" t="s">
        <v>20</v>
      </c>
      <c r="E1111">
        <v>2025</v>
      </c>
      <c r="F1111">
        <v>8</v>
      </c>
      <c r="G1111">
        <v>15</v>
      </c>
      <c r="H1111">
        <v>7535</v>
      </c>
      <c r="I1111">
        <v>0</v>
      </c>
      <c r="J1111">
        <v>0</v>
      </c>
      <c r="K1111">
        <v>125.6</v>
      </c>
      <c r="L1111">
        <v>0</v>
      </c>
      <c r="M1111">
        <v>8.4</v>
      </c>
      <c r="N1111">
        <v>120</v>
      </c>
      <c r="O1111" s="1" t="s">
        <v>303</v>
      </c>
    </row>
    <row r="1112" spans="1:15">
      <c r="A1112" t="s">
        <v>1015</v>
      </c>
      <c r="B1112" t="s">
        <v>1016</v>
      </c>
      <c r="C1112" t="s">
        <v>76</v>
      </c>
      <c r="D1112" t="s">
        <v>136</v>
      </c>
      <c r="E1112">
        <v>2025</v>
      </c>
      <c r="F1112">
        <v>6</v>
      </c>
      <c r="G1112">
        <v>17</v>
      </c>
      <c r="H1112">
        <v>9424</v>
      </c>
      <c r="I1112">
        <v>0</v>
      </c>
      <c r="J1112">
        <v>4</v>
      </c>
      <c r="K1112">
        <v>157.1</v>
      </c>
      <c r="L1112">
        <v>0</v>
      </c>
      <c r="M1112">
        <v>9.1999999999999993</v>
      </c>
      <c r="N1112">
        <v>104</v>
      </c>
      <c r="O1112" s="1" t="s">
        <v>1017</v>
      </c>
    </row>
    <row r="1113" spans="1:15">
      <c r="A1113" t="s">
        <v>1015</v>
      </c>
      <c r="B1113" t="s">
        <v>1016</v>
      </c>
      <c r="C1113" t="s">
        <v>76</v>
      </c>
      <c r="D1113" t="s">
        <v>136</v>
      </c>
      <c r="E1113">
        <v>2025</v>
      </c>
      <c r="F1113">
        <v>7</v>
      </c>
      <c r="G1113">
        <v>21</v>
      </c>
      <c r="H1113">
        <v>12229</v>
      </c>
      <c r="I1113">
        <v>0</v>
      </c>
      <c r="J1113">
        <v>2</v>
      </c>
      <c r="K1113">
        <v>203.8</v>
      </c>
      <c r="L1113">
        <v>0</v>
      </c>
      <c r="M1113">
        <v>9.6999999999999993</v>
      </c>
      <c r="N1113">
        <v>152</v>
      </c>
      <c r="O1113" s="1" t="s">
        <v>1018</v>
      </c>
    </row>
    <row r="1114" spans="1:15">
      <c r="A1114" t="s">
        <v>1015</v>
      </c>
      <c r="B1114" t="s">
        <v>1016</v>
      </c>
      <c r="C1114" t="s">
        <v>76</v>
      </c>
      <c r="D1114" t="s">
        <v>136</v>
      </c>
      <c r="E1114">
        <v>2025</v>
      </c>
      <c r="F1114">
        <v>8</v>
      </c>
      <c r="G1114">
        <v>18</v>
      </c>
      <c r="H1114">
        <v>9428</v>
      </c>
      <c r="I1114">
        <v>0</v>
      </c>
      <c r="J1114">
        <v>3</v>
      </c>
      <c r="K1114">
        <v>157.1</v>
      </c>
      <c r="L1114">
        <v>0</v>
      </c>
      <c r="M1114">
        <v>8.6999999999999993</v>
      </c>
      <c r="N1114">
        <v>120</v>
      </c>
      <c r="O1114" s="1" t="s">
        <v>1019</v>
      </c>
    </row>
    <row r="1115" spans="1:15">
      <c r="A1115" t="s">
        <v>1020</v>
      </c>
      <c r="B1115" t="s">
        <v>1021</v>
      </c>
      <c r="C1115" t="s">
        <v>1013</v>
      </c>
      <c r="D1115" t="s">
        <v>17</v>
      </c>
      <c r="E1115">
        <v>2025</v>
      </c>
      <c r="F1115">
        <v>6</v>
      </c>
      <c r="G1115">
        <v>4</v>
      </c>
      <c r="H1115">
        <v>133</v>
      </c>
      <c r="I1115">
        <v>0</v>
      </c>
      <c r="J1115">
        <v>0</v>
      </c>
      <c r="K1115">
        <v>2.2000000000000002</v>
      </c>
      <c r="L1115">
        <v>0</v>
      </c>
      <c r="M1115">
        <v>0.6</v>
      </c>
      <c r="N1115">
        <v>32</v>
      </c>
      <c r="O1115">
        <v>-29.8</v>
      </c>
    </row>
    <row r="1116" spans="1:15">
      <c r="A1116" t="s">
        <v>1020</v>
      </c>
      <c r="B1116" t="s">
        <v>1021</v>
      </c>
      <c r="C1116" t="s">
        <v>1013</v>
      </c>
      <c r="D1116" t="s">
        <v>17</v>
      </c>
      <c r="E1116">
        <v>2025</v>
      </c>
      <c r="F1116">
        <v>7</v>
      </c>
      <c r="G1116">
        <v>4</v>
      </c>
      <c r="H1116">
        <v>825</v>
      </c>
      <c r="I1116">
        <v>0</v>
      </c>
      <c r="J1116">
        <v>0</v>
      </c>
      <c r="K1116">
        <v>13.8</v>
      </c>
      <c r="L1116">
        <v>0</v>
      </c>
      <c r="M1116">
        <v>3.4</v>
      </c>
      <c r="N1116">
        <v>32</v>
      </c>
      <c r="O1116">
        <v>-18.2</v>
      </c>
    </row>
    <row r="1117" spans="1:15">
      <c r="A1117" t="s">
        <v>1020</v>
      </c>
      <c r="B1117" t="s">
        <v>1021</v>
      </c>
      <c r="C1117" t="s">
        <v>1013</v>
      </c>
      <c r="D1117" t="s">
        <v>17</v>
      </c>
      <c r="E1117">
        <v>2025</v>
      </c>
      <c r="F1117">
        <v>8</v>
      </c>
      <c r="G1117">
        <v>1</v>
      </c>
      <c r="H1117">
        <v>165</v>
      </c>
      <c r="I1117">
        <v>0</v>
      </c>
      <c r="J1117">
        <v>0</v>
      </c>
      <c r="K1117">
        <v>2.8</v>
      </c>
      <c r="L1117">
        <v>0</v>
      </c>
      <c r="M1117">
        <v>2.8</v>
      </c>
      <c r="N1117">
        <v>8</v>
      </c>
      <c r="O1117">
        <v>-5.2</v>
      </c>
    </row>
    <row r="1118" spans="1:15">
      <c r="A1118" t="s">
        <v>1022</v>
      </c>
      <c r="B1118" t="s">
        <v>1023</v>
      </c>
      <c r="C1118" t="s">
        <v>1013</v>
      </c>
      <c r="D1118" t="s">
        <v>136</v>
      </c>
      <c r="E1118">
        <v>2025</v>
      </c>
      <c r="F1118">
        <v>6</v>
      </c>
      <c r="G1118">
        <v>15</v>
      </c>
      <c r="H1118">
        <v>8157</v>
      </c>
      <c r="I1118">
        <v>0</v>
      </c>
      <c r="J1118">
        <v>0</v>
      </c>
      <c r="K1118">
        <v>136</v>
      </c>
      <c r="L1118">
        <v>0</v>
      </c>
      <c r="M1118">
        <v>9.1</v>
      </c>
      <c r="N1118">
        <v>120</v>
      </c>
      <c r="O1118">
        <v>16</v>
      </c>
    </row>
    <row r="1119" spans="1:15">
      <c r="A1119" t="s">
        <v>1022</v>
      </c>
      <c r="B1119" t="s">
        <v>1023</v>
      </c>
      <c r="C1119" t="s">
        <v>1013</v>
      </c>
      <c r="D1119" t="s">
        <v>136</v>
      </c>
      <c r="E1119">
        <v>2025</v>
      </c>
      <c r="F1119">
        <v>7</v>
      </c>
      <c r="G1119">
        <v>18</v>
      </c>
      <c r="H1119">
        <v>9703</v>
      </c>
      <c r="I1119">
        <v>0</v>
      </c>
      <c r="J1119">
        <v>0</v>
      </c>
      <c r="K1119">
        <v>161.69999999999999</v>
      </c>
      <c r="L1119">
        <v>0</v>
      </c>
      <c r="M1119">
        <v>9</v>
      </c>
      <c r="N1119">
        <v>144</v>
      </c>
      <c r="O1119" s="1" t="s">
        <v>643</v>
      </c>
    </row>
    <row r="1120" spans="1:15">
      <c r="A1120" t="s">
        <v>1022</v>
      </c>
      <c r="B1120" t="s">
        <v>1023</v>
      </c>
      <c r="C1120" t="s">
        <v>1013</v>
      </c>
      <c r="D1120" t="s">
        <v>136</v>
      </c>
      <c r="E1120">
        <v>2025</v>
      </c>
      <c r="F1120">
        <v>8</v>
      </c>
      <c r="G1120">
        <v>14</v>
      </c>
      <c r="H1120">
        <v>7122</v>
      </c>
      <c r="I1120">
        <v>0</v>
      </c>
      <c r="J1120">
        <v>0</v>
      </c>
      <c r="K1120">
        <v>118.7</v>
      </c>
      <c r="L1120">
        <v>0</v>
      </c>
      <c r="M1120">
        <v>8.5</v>
      </c>
      <c r="N1120">
        <v>112</v>
      </c>
      <c r="O1120" s="1" t="s">
        <v>157</v>
      </c>
    </row>
    <row r="1121" spans="1:15">
      <c r="A1121" t="s">
        <v>1024</v>
      </c>
      <c r="B1121" t="s">
        <v>1025</v>
      </c>
      <c r="C1121" t="s">
        <v>1013</v>
      </c>
      <c r="D1121" t="s">
        <v>136</v>
      </c>
      <c r="E1121">
        <v>2025</v>
      </c>
      <c r="F1121">
        <v>6</v>
      </c>
      <c r="G1121">
        <v>20</v>
      </c>
      <c r="H1121">
        <v>10260</v>
      </c>
      <c r="I1121">
        <v>0</v>
      </c>
      <c r="J1121">
        <v>1</v>
      </c>
      <c r="K1121">
        <v>171</v>
      </c>
      <c r="L1121">
        <v>0</v>
      </c>
      <c r="M1121">
        <v>8.6</v>
      </c>
      <c r="N1121">
        <v>152</v>
      </c>
      <c r="O1121">
        <v>19</v>
      </c>
    </row>
    <row r="1122" spans="1:15">
      <c r="A1122" t="s">
        <v>1024</v>
      </c>
      <c r="B1122" t="s">
        <v>1025</v>
      </c>
      <c r="C1122" t="s">
        <v>1013</v>
      </c>
      <c r="D1122" t="s">
        <v>136</v>
      </c>
      <c r="E1122">
        <v>2025</v>
      </c>
      <c r="F1122">
        <v>7</v>
      </c>
      <c r="G1122">
        <v>23</v>
      </c>
      <c r="H1122">
        <v>11218</v>
      </c>
      <c r="I1122">
        <v>0</v>
      </c>
      <c r="J1122">
        <v>3</v>
      </c>
      <c r="K1122">
        <v>187</v>
      </c>
      <c r="L1122">
        <v>0</v>
      </c>
      <c r="M1122">
        <v>8.1</v>
      </c>
      <c r="N1122">
        <v>160</v>
      </c>
      <c r="O1122">
        <v>27</v>
      </c>
    </row>
    <row r="1123" spans="1:15">
      <c r="A1123" t="s">
        <v>1024</v>
      </c>
      <c r="B1123" t="s">
        <v>1025</v>
      </c>
      <c r="C1123" t="s">
        <v>1013</v>
      </c>
      <c r="D1123" t="s">
        <v>136</v>
      </c>
      <c r="E1123">
        <v>2025</v>
      </c>
      <c r="F1123">
        <v>8</v>
      </c>
      <c r="G1123">
        <v>12</v>
      </c>
      <c r="H1123">
        <v>5312</v>
      </c>
      <c r="I1123">
        <v>0</v>
      </c>
      <c r="J1123">
        <v>1</v>
      </c>
      <c r="K1123">
        <v>88.5</v>
      </c>
      <c r="L1123">
        <v>0</v>
      </c>
      <c r="M1123">
        <v>7.4</v>
      </c>
      <c r="N1123">
        <v>88</v>
      </c>
      <c r="O1123">
        <v>0.5</v>
      </c>
    </row>
    <row r="1124" spans="1:15">
      <c r="A1124" t="s">
        <v>1026</v>
      </c>
      <c r="B1124" t="s">
        <v>1027</v>
      </c>
      <c r="C1124" t="s">
        <v>933</v>
      </c>
      <c r="D1124" t="s">
        <v>136</v>
      </c>
      <c r="E1124">
        <v>2025</v>
      </c>
      <c r="F1124">
        <v>6</v>
      </c>
      <c r="G1124">
        <v>15</v>
      </c>
      <c r="H1124">
        <v>8474</v>
      </c>
      <c r="I1124">
        <v>0</v>
      </c>
      <c r="J1124">
        <v>0</v>
      </c>
      <c r="K1124">
        <v>141.19999999999999</v>
      </c>
      <c r="L1124">
        <v>0</v>
      </c>
      <c r="M1124">
        <v>9.4</v>
      </c>
      <c r="N1124">
        <v>120</v>
      </c>
      <c r="O1124" s="1" t="s">
        <v>1028</v>
      </c>
    </row>
    <row r="1125" spans="1:15">
      <c r="A1125" t="s">
        <v>1026</v>
      </c>
      <c r="B1125" t="s">
        <v>1027</v>
      </c>
      <c r="C1125" t="s">
        <v>933</v>
      </c>
      <c r="D1125" t="s">
        <v>136</v>
      </c>
      <c r="E1125">
        <v>2025</v>
      </c>
      <c r="F1125">
        <v>7</v>
      </c>
      <c r="G1125">
        <v>15</v>
      </c>
      <c r="H1125">
        <v>8252</v>
      </c>
      <c r="I1125">
        <v>0</v>
      </c>
      <c r="J1125">
        <v>0</v>
      </c>
      <c r="K1125">
        <v>137.5</v>
      </c>
      <c r="L1125">
        <v>0</v>
      </c>
      <c r="M1125">
        <v>9.1999999999999993</v>
      </c>
      <c r="N1125">
        <v>120</v>
      </c>
      <c r="O1125">
        <v>17.5</v>
      </c>
    </row>
    <row r="1126" spans="1:15">
      <c r="A1126" t="s">
        <v>1026</v>
      </c>
      <c r="B1126" t="s">
        <v>1027</v>
      </c>
      <c r="C1126" t="s">
        <v>933</v>
      </c>
      <c r="D1126" t="s">
        <v>136</v>
      </c>
      <c r="E1126">
        <v>2025</v>
      </c>
      <c r="F1126">
        <v>8</v>
      </c>
      <c r="G1126">
        <v>15</v>
      </c>
      <c r="H1126">
        <v>7541</v>
      </c>
      <c r="I1126">
        <v>0</v>
      </c>
      <c r="J1126">
        <v>0</v>
      </c>
      <c r="K1126">
        <v>125.7</v>
      </c>
      <c r="L1126">
        <v>0</v>
      </c>
      <c r="M1126">
        <v>8.4</v>
      </c>
      <c r="N1126">
        <v>120</v>
      </c>
      <c r="O1126" s="1" t="s">
        <v>1029</v>
      </c>
    </row>
    <row r="1127" spans="1:15">
      <c r="A1127" t="s">
        <v>1030</v>
      </c>
      <c r="B1127" t="s">
        <v>1031</v>
      </c>
      <c r="C1127" t="s">
        <v>1032</v>
      </c>
      <c r="D1127" t="s">
        <v>20</v>
      </c>
      <c r="E1127">
        <v>2025</v>
      </c>
      <c r="F1127">
        <v>6</v>
      </c>
      <c r="G1127">
        <v>15</v>
      </c>
      <c r="H1127">
        <v>7164</v>
      </c>
      <c r="I1127">
        <v>0</v>
      </c>
      <c r="J1127">
        <v>2</v>
      </c>
      <c r="K1127">
        <v>119.4</v>
      </c>
      <c r="L1127">
        <v>0</v>
      </c>
      <c r="M1127">
        <v>8</v>
      </c>
      <c r="N1127">
        <v>104</v>
      </c>
      <c r="O1127" s="1" t="s">
        <v>23</v>
      </c>
    </row>
    <row r="1128" spans="1:15">
      <c r="A1128" t="s">
        <v>1030</v>
      </c>
      <c r="B1128" t="s">
        <v>1031</v>
      </c>
      <c r="C1128" t="s">
        <v>1032</v>
      </c>
      <c r="D1128" t="s">
        <v>20</v>
      </c>
      <c r="E1128">
        <v>2025</v>
      </c>
      <c r="F1128">
        <v>7</v>
      </c>
      <c r="G1128">
        <v>21</v>
      </c>
      <c r="H1128">
        <v>13091</v>
      </c>
      <c r="I1128">
        <v>0</v>
      </c>
      <c r="J1128">
        <v>3</v>
      </c>
      <c r="K1128">
        <v>218.2</v>
      </c>
      <c r="L1128">
        <v>0</v>
      </c>
      <c r="M1128">
        <v>10.4</v>
      </c>
      <c r="N1128">
        <v>144</v>
      </c>
      <c r="O1128" s="1" t="s">
        <v>1033</v>
      </c>
    </row>
    <row r="1129" spans="1:15">
      <c r="A1129" t="s">
        <v>1030</v>
      </c>
      <c r="B1129" t="s">
        <v>1031</v>
      </c>
      <c r="C1129" t="s">
        <v>1032</v>
      </c>
      <c r="D1129" t="s">
        <v>20</v>
      </c>
      <c r="E1129">
        <v>2025</v>
      </c>
      <c r="F1129">
        <v>8</v>
      </c>
      <c r="G1129">
        <v>12</v>
      </c>
      <c r="H1129">
        <v>5882</v>
      </c>
      <c r="I1129">
        <v>0</v>
      </c>
      <c r="J1129">
        <v>1</v>
      </c>
      <c r="K1129">
        <v>98</v>
      </c>
      <c r="L1129">
        <v>0</v>
      </c>
      <c r="M1129">
        <v>8.1999999999999993</v>
      </c>
      <c r="N1129">
        <v>88</v>
      </c>
      <c r="O1129">
        <v>10</v>
      </c>
    </row>
    <row r="1130" spans="1:15">
      <c r="A1130" t="s">
        <v>1034</v>
      </c>
      <c r="B1130" t="s">
        <v>1035</v>
      </c>
      <c r="C1130" t="s">
        <v>1032</v>
      </c>
      <c r="D1130" t="s">
        <v>20</v>
      </c>
      <c r="E1130">
        <v>2025</v>
      </c>
      <c r="F1130">
        <v>6</v>
      </c>
      <c r="G1130">
        <v>16</v>
      </c>
      <c r="H1130">
        <v>8404</v>
      </c>
      <c r="I1130">
        <v>0</v>
      </c>
      <c r="J1130">
        <v>0</v>
      </c>
      <c r="K1130">
        <v>140.1</v>
      </c>
      <c r="L1130">
        <v>0</v>
      </c>
      <c r="M1130">
        <v>8.8000000000000007</v>
      </c>
      <c r="N1130">
        <v>128</v>
      </c>
      <c r="O1130" s="1" t="s">
        <v>375</v>
      </c>
    </row>
    <row r="1131" spans="1:15">
      <c r="A1131" t="s">
        <v>1034</v>
      </c>
      <c r="B1131" t="s">
        <v>1035</v>
      </c>
      <c r="C1131" t="s">
        <v>1032</v>
      </c>
      <c r="D1131" t="s">
        <v>20</v>
      </c>
      <c r="E1131">
        <v>2025</v>
      </c>
      <c r="F1131">
        <v>7</v>
      </c>
      <c r="G1131">
        <v>20</v>
      </c>
      <c r="H1131">
        <v>10305</v>
      </c>
      <c r="I1131">
        <v>197</v>
      </c>
      <c r="J1131">
        <v>1</v>
      </c>
      <c r="K1131">
        <v>171.8</v>
      </c>
      <c r="L1131">
        <v>3.3</v>
      </c>
      <c r="M1131">
        <v>8.6</v>
      </c>
      <c r="N1131">
        <v>152</v>
      </c>
      <c r="O1131" s="1" t="s">
        <v>334</v>
      </c>
    </row>
    <row r="1132" spans="1:15">
      <c r="A1132" t="s">
        <v>1034</v>
      </c>
      <c r="B1132" t="s">
        <v>1035</v>
      </c>
      <c r="C1132" t="s">
        <v>1032</v>
      </c>
      <c r="D1132" t="s">
        <v>20</v>
      </c>
      <c r="E1132">
        <v>2025</v>
      </c>
      <c r="F1132">
        <v>8</v>
      </c>
      <c r="G1132">
        <v>16</v>
      </c>
      <c r="H1132">
        <v>8169</v>
      </c>
      <c r="I1132">
        <v>0</v>
      </c>
      <c r="J1132">
        <v>1</v>
      </c>
      <c r="K1132">
        <v>136.19999999999999</v>
      </c>
      <c r="L1132">
        <v>0</v>
      </c>
      <c r="M1132">
        <v>8.5</v>
      </c>
      <c r="N1132">
        <v>120</v>
      </c>
      <c r="O1132" s="1" t="s">
        <v>300</v>
      </c>
    </row>
    <row r="1133" spans="1:15">
      <c r="A1133" t="s">
        <v>1036</v>
      </c>
      <c r="B1133" t="s">
        <v>1037</v>
      </c>
      <c r="C1133" t="s">
        <v>912</v>
      </c>
      <c r="D1133" t="s">
        <v>20</v>
      </c>
      <c r="E1133">
        <v>2025</v>
      </c>
      <c r="F1133">
        <v>6</v>
      </c>
      <c r="G1133">
        <v>18</v>
      </c>
      <c r="H1133">
        <v>10261</v>
      </c>
      <c r="I1133">
        <v>0</v>
      </c>
      <c r="J1133">
        <v>0</v>
      </c>
      <c r="K1133">
        <v>171</v>
      </c>
      <c r="L1133">
        <v>0</v>
      </c>
      <c r="M1133">
        <v>9.5</v>
      </c>
      <c r="N1133">
        <v>144</v>
      </c>
      <c r="O1133">
        <v>27</v>
      </c>
    </row>
    <row r="1134" spans="1:15">
      <c r="A1134" t="s">
        <v>1036</v>
      </c>
      <c r="B1134" t="s">
        <v>1037</v>
      </c>
      <c r="C1134" t="s">
        <v>912</v>
      </c>
      <c r="D1134" t="s">
        <v>20</v>
      </c>
      <c r="E1134">
        <v>2025</v>
      </c>
      <c r="F1134">
        <v>7</v>
      </c>
      <c r="G1134">
        <v>15</v>
      </c>
      <c r="H1134">
        <v>8857</v>
      </c>
      <c r="I1134">
        <v>89</v>
      </c>
      <c r="J1134">
        <v>0</v>
      </c>
      <c r="K1134">
        <v>147.6</v>
      </c>
      <c r="L1134">
        <v>1.5</v>
      </c>
      <c r="M1134">
        <v>9.8000000000000007</v>
      </c>
      <c r="N1134">
        <v>120</v>
      </c>
      <c r="O1134" s="1" t="s">
        <v>599</v>
      </c>
    </row>
    <row r="1135" spans="1:15">
      <c r="A1135" t="s">
        <v>1036</v>
      </c>
      <c r="B1135" t="s">
        <v>1037</v>
      </c>
      <c r="C1135" t="s">
        <v>912</v>
      </c>
      <c r="D1135" t="s">
        <v>20</v>
      </c>
      <c r="E1135">
        <v>2025</v>
      </c>
      <c r="F1135">
        <v>8</v>
      </c>
      <c r="G1135">
        <v>15</v>
      </c>
      <c r="H1135">
        <v>9185</v>
      </c>
      <c r="I1135">
        <v>128</v>
      </c>
      <c r="J1135">
        <v>0</v>
      </c>
      <c r="K1135">
        <v>153.1</v>
      </c>
      <c r="L1135">
        <v>2.1</v>
      </c>
      <c r="M1135">
        <v>10.199999999999999</v>
      </c>
      <c r="N1135">
        <v>120</v>
      </c>
      <c r="O1135" s="1" t="s">
        <v>1038</v>
      </c>
    </row>
    <row r="1136" spans="1:15">
      <c r="A1136" t="s">
        <v>1039</v>
      </c>
      <c r="B1136" t="s">
        <v>1040</v>
      </c>
      <c r="C1136" t="s">
        <v>912</v>
      </c>
      <c r="D1136" t="s">
        <v>136</v>
      </c>
      <c r="E1136">
        <v>2025</v>
      </c>
      <c r="F1136">
        <v>6</v>
      </c>
      <c r="G1136">
        <v>19</v>
      </c>
      <c r="H1136">
        <v>10501</v>
      </c>
      <c r="I1136">
        <v>0</v>
      </c>
      <c r="J1136">
        <v>0</v>
      </c>
      <c r="K1136">
        <v>175</v>
      </c>
      <c r="L1136">
        <v>0</v>
      </c>
      <c r="M1136">
        <v>9.1999999999999993</v>
      </c>
      <c r="N1136">
        <v>152</v>
      </c>
      <c r="O1136">
        <v>23</v>
      </c>
    </row>
    <row r="1137" spans="1:15">
      <c r="A1137" t="s">
        <v>1039</v>
      </c>
      <c r="B1137" t="s">
        <v>1040</v>
      </c>
      <c r="C1137" t="s">
        <v>912</v>
      </c>
      <c r="D1137" t="s">
        <v>136</v>
      </c>
      <c r="E1137">
        <v>2025</v>
      </c>
      <c r="F1137">
        <v>7</v>
      </c>
      <c r="G1137">
        <v>17</v>
      </c>
      <c r="H1137">
        <v>7697</v>
      </c>
      <c r="I1137">
        <v>0</v>
      </c>
      <c r="J1137">
        <v>0</v>
      </c>
      <c r="K1137">
        <v>128.30000000000001</v>
      </c>
      <c r="L1137">
        <v>0</v>
      </c>
      <c r="M1137">
        <v>7.5</v>
      </c>
      <c r="N1137">
        <v>136</v>
      </c>
      <c r="O1137">
        <v>-7.7</v>
      </c>
    </row>
    <row r="1138" spans="1:15">
      <c r="A1138" t="s">
        <v>1039</v>
      </c>
      <c r="B1138" t="s">
        <v>1040</v>
      </c>
      <c r="C1138" t="s">
        <v>912</v>
      </c>
      <c r="D1138" t="s">
        <v>136</v>
      </c>
      <c r="E1138">
        <v>2025</v>
      </c>
      <c r="F1138">
        <v>8</v>
      </c>
      <c r="G1138">
        <v>17</v>
      </c>
      <c r="H1138">
        <v>8298</v>
      </c>
      <c r="I1138">
        <v>0</v>
      </c>
      <c r="J1138">
        <v>0</v>
      </c>
      <c r="K1138">
        <v>138.30000000000001</v>
      </c>
      <c r="L1138">
        <v>0</v>
      </c>
      <c r="M1138">
        <v>8.1</v>
      </c>
      <c r="N1138">
        <v>136</v>
      </c>
      <c r="O1138" s="1" t="s">
        <v>1041</v>
      </c>
    </row>
    <row r="1139" spans="1:15">
      <c r="A1139" t="s">
        <v>1042</v>
      </c>
      <c r="B1139" t="s">
        <v>1043</v>
      </c>
      <c r="C1139" t="s">
        <v>1044</v>
      </c>
      <c r="D1139" t="s">
        <v>136</v>
      </c>
      <c r="E1139">
        <v>2025</v>
      </c>
      <c r="F1139">
        <v>6</v>
      </c>
      <c r="G1139">
        <v>18</v>
      </c>
      <c r="H1139">
        <v>9884</v>
      </c>
      <c r="I1139">
        <v>0</v>
      </c>
      <c r="J1139">
        <v>0</v>
      </c>
      <c r="K1139">
        <v>164.7</v>
      </c>
      <c r="L1139">
        <v>0</v>
      </c>
      <c r="M1139">
        <v>9.1</v>
      </c>
      <c r="N1139">
        <v>144</v>
      </c>
      <c r="O1139" s="1" t="s">
        <v>216</v>
      </c>
    </row>
    <row r="1140" spans="1:15">
      <c r="A1140" t="s">
        <v>1042</v>
      </c>
      <c r="B1140" t="s">
        <v>1043</v>
      </c>
      <c r="C1140" t="s">
        <v>1044</v>
      </c>
      <c r="D1140" t="s">
        <v>136</v>
      </c>
      <c r="E1140">
        <v>2025</v>
      </c>
      <c r="F1140">
        <v>7</v>
      </c>
      <c r="G1140">
        <v>16</v>
      </c>
      <c r="H1140">
        <v>10128</v>
      </c>
      <c r="I1140">
        <v>0</v>
      </c>
      <c r="J1140">
        <v>0</v>
      </c>
      <c r="K1140">
        <v>168.8</v>
      </c>
      <c r="L1140">
        <v>0</v>
      </c>
      <c r="M1140">
        <v>10.6</v>
      </c>
      <c r="N1140">
        <v>128</v>
      </c>
      <c r="O1140" s="1" t="s">
        <v>1045</v>
      </c>
    </row>
    <row r="1141" spans="1:15">
      <c r="A1141" t="s">
        <v>1042</v>
      </c>
      <c r="B1141" t="s">
        <v>1043</v>
      </c>
      <c r="C1141" t="s">
        <v>1044</v>
      </c>
      <c r="D1141" t="s">
        <v>136</v>
      </c>
      <c r="E1141">
        <v>2025</v>
      </c>
      <c r="F1141">
        <v>8</v>
      </c>
      <c r="G1141">
        <v>15</v>
      </c>
      <c r="H1141">
        <v>7590</v>
      </c>
      <c r="I1141">
        <v>0</v>
      </c>
      <c r="J1141">
        <v>1</v>
      </c>
      <c r="K1141">
        <v>126.5</v>
      </c>
      <c r="L1141">
        <v>0</v>
      </c>
      <c r="M1141">
        <v>8.4</v>
      </c>
      <c r="N1141">
        <v>112</v>
      </c>
      <c r="O1141">
        <v>14.5</v>
      </c>
    </row>
    <row r="1142" spans="1:15">
      <c r="A1142" t="s">
        <v>1046</v>
      </c>
      <c r="B1142" t="s">
        <v>1047</v>
      </c>
      <c r="C1142" t="s">
        <v>912</v>
      </c>
      <c r="D1142" t="s">
        <v>136</v>
      </c>
      <c r="E1142">
        <v>2025</v>
      </c>
      <c r="F1142">
        <v>6</v>
      </c>
      <c r="G1142">
        <v>22</v>
      </c>
      <c r="H1142">
        <v>15488</v>
      </c>
      <c r="I1142">
        <v>356</v>
      </c>
      <c r="J1142">
        <v>2</v>
      </c>
      <c r="K1142">
        <v>258.10000000000002</v>
      </c>
      <c r="L1142">
        <v>5.9</v>
      </c>
      <c r="M1142">
        <v>11.7</v>
      </c>
      <c r="N1142">
        <v>160</v>
      </c>
      <c r="O1142" s="1" t="s">
        <v>1048</v>
      </c>
    </row>
    <row r="1143" spans="1:15">
      <c r="A1143" t="s">
        <v>1046</v>
      </c>
      <c r="B1143" t="s">
        <v>1047</v>
      </c>
      <c r="C1143" t="s">
        <v>912</v>
      </c>
      <c r="D1143" t="s">
        <v>136</v>
      </c>
      <c r="E1143">
        <v>2025</v>
      </c>
      <c r="F1143">
        <v>7</v>
      </c>
      <c r="G1143">
        <v>23</v>
      </c>
      <c r="H1143">
        <v>16910</v>
      </c>
      <c r="I1143">
        <v>576</v>
      </c>
      <c r="J1143">
        <v>4</v>
      </c>
      <c r="K1143">
        <v>281.8</v>
      </c>
      <c r="L1143">
        <v>9.6</v>
      </c>
      <c r="M1143">
        <v>12.3</v>
      </c>
      <c r="N1143">
        <v>152</v>
      </c>
      <c r="O1143">
        <v>129.80000000000001</v>
      </c>
    </row>
    <row r="1144" spans="1:15">
      <c r="A1144" t="s">
        <v>1046</v>
      </c>
      <c r="B1144" t="s">
        <v>1047</v>
      </c>
      <c r="C1144" t="s">
        <v>912</v>
      </c>
      <c r="D1144" t="s">
        <v>136</v>
      </c>
      <c r="E1144">
        <v>2025</v>
      </c>
      <c r="F1144">
        <v>8</v>
      </c>
      <c r="G1144">
        <v>19</v>
      </c>
      <c r="H1144">
        <v>13509</v>
      </c>
      <c r="I1144">
        <v>138</v>
      </c>
      <c r="J1144">
        <v>4</v>
      </c>
      <c r="K1144">
        <v>225.2</v>
      </c>
      <c r="L1144">
        <v>2.2999999999999998</v>
      </c>
      <c r="M1144">
        <v>11.9</v>
      </c>
      <c r="N1144">
        <v>120</v>
      </c>
      <c r="O1144" s="1" t="s">
        <v>1049</v>
      </c>
    </row>
    <row r="1145" spans="1:15">
      <c r="A1145" t="s">
        <v>1050</v>
      </c>
      <c r="B1145" t="s">
        <v>1051</v>
      </c>
      <c r="C1145" t="s">
        <v>912</v>
      </c>
      <c r="D1145" t="s">
        <v>194</v>
      </c>
      <c r="E1145">
        <v>2025</v>
      </c>
      <c r="F1145">
        <v>6</v>
      </c>
      <c r="G1145">
        <v>19</v>
      </c>
      <c r="H1145">
        <v>10363</v>
      </c>
      <c r="I1145">
        <v>0</v>
      </c>
      <c r="J1145">
        <v>1</v>
      </c>
      <c r="K1145">
        <v>172.7</v>
      </c>
      <c r="L1145">
        <v>0</v>
      </c>
      <c r="M1145">
        <v>9.1</v>
      </c>
      <c r="N1145">
        <v>144</v>
      </c>
      <c r="O1145" s="1" t="s">
        <v>118</v>
      </c>
    </row>
    <row r="1146" spans="1:15">
      <c r="A1146" t="s">
        <v>1050</v>
      </c>
      <c r="B1146" t="s">
        <v>1051</v>
      </c>
      <c r="C1146" t="s">
        <v>912</v>
      </c>
      <c r="D1146" t="s">
        <v>194</v>
      </c>
      <c r="E1146">
        <v>2025</v>
      </c>
      <c r="F1146">
        <v>7</v>
      </c>
      <c r="G1146">
        <v>20</v>
      </c>
      <c r="H1146">
        <v>11444</v>
      </c>
      <c r="I1146">
        <v>100</v>
      </c>
      <c r="J1146">
        <v>1</v>
      </c>
      <c r="K1146">
        <v>190.7</v>
      </c>
      <c r="L1146">
        <v>1.7</v>
      </c>
      <c r="M1146">
        <v>9.5</v>
      </c>
      <c r="N1146">
        <v>152</v>
      </c>
      <c r="O1146" s="1" t="s">
        <v>123</v>
      </c>
    </row>
    <row r="1147" spans="1:15">
      <c r="A1147" t="s">
        <v>1050</v>
      </c>
      <c r="B1147" t="s">
        <v>1051</v>
      </c>
      <c r="C1147" t="s">
        <v>912</v>
      </c>
      <c r="D1147" t="s">
        <v>194</v>
      </c>
      <c r="E1147">
        <v>2025</v>
      </c>
      <c r="F1147">
        <v>8</v>
      </c>
      <c r="G1147">
        <v>16</v>
      </c>
      <c r="H1147">
        <v>8330</v>
      </c>
      <c r="I1147">
        <v>0</v>
      </c>
      <c r="J1147">
        <v>0</v>
      </c>
      <c r="K1147">
        <v>138.80000000000001</v>
      </c>
      <c r="L1147">
        <v>0</v>
      </c>
      <c r="M1147">
        <v>8.6999999999999993</v>
      </c>
      <c r="N1147">
        <v>128</v>
      </c>
      <c r="O1147" s="1" t="s">
        <v>1052</v>
      </c>
    </row>
    <row r="1148" spans="1:15">
      <c r="A1148" t="s">
        <v>1053</v>
      </c>
      <c r="B1148" t="s">
        <v>1054</v>
      </c>
      <c r="C1148" t="s">
        <v>76</v>
      </c>
      <c r="D1148" t="s">
        <v>169</v>
      </c>
      <c r="E1148">
        <v>2025</v>
      </c>
      <c r="F1148">
        <v>6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16</v>
      </c>
      <c r="O1148">
        <v>-16</v>
      </c>
    </row>
    <row r="1149" spans="1:15">
      <c r="A1149" t="s">
        <v>1053</v>
      </c>
      <c r="B1149" t="s">
        <v>1054</v>
      </c>
      <c r="C1149" t="s">
        <v>76</v>
      </c>
      <c r="D1149" t="s">
        <v>169</v>
      </c>
      <c r="E1149">
        <v>2025</v>
      </c>
      <c r="F1149">
        <v>7</v>
      </c>
      <c r="G1149">
        <v>8</v>
      </c>
      <c r="H1149">
        <v>84</v>
      </c>
      <c r="I1149">
        <v>0</v>
      </c>
      <c r="J1149">
        <v>0</v>
      </c>
      <c r="K1149">
        <v>1.4</v>
      </c>
      <c r="L1149">
        <v>0</v>
      </c>
      <c r="M1149">
        <v>0.2</v>
      </c>
      <c r="N1149">
        <v>64</v>
      </c>
      <c r="O1149">
        <v>-62.6</v>
      </c>
    </row>
    <row r="1150" spans="1:15">
      <c r="A1150" t="s">
        <v>1055</v>
      </c>
      <c r="B1150" t="s">
        <v>1056</v>
      </c>
      <c r="C1150" t="s">
        <v>1057</v>
      </c>
      <c r="D1150" t="s">
        <v>194</v>
      </c>
      <c r="E1150">
        <v>2025</v>
      </c>
      <c r="F1150">
        <v>6</v>
      </c>
      <c r="G1150">
        <v>19</v>
      </c>
      <c r="H1150">
        <v>9835</v>
      </c>
      <c r="I1150">
        <v>24</v>
      </c>
      <c r="J1150">
        <v>0</v>
      </c>
      <c r="K1150">
        <v>163.9</v>
      </c>
      <c r="L1150">
        <v>0.4</v>
      </c>
      <c r="M1150">
        <v>8.6</v>
      </c>
      <c r="N1150">
        <v>152</v>
      </c>
      <c r="O1150" s="1" t="s">
        <v>36</v>
      </c>
    </row>
    <row r="1151" spans="1:15">
      <c r="A1151" t="s">
        <v>1055</v>
      </c>
      <c r="B1151" t="s">
        <v>1056</v>
      </c>
      <c r="C1151" t="s">
        <v>1057</v>
      </c>
      <c r="D1151" t="s">
        <v>194</v>
      </c>
      <c r="E1151">
        <v>2025</v>
      </c>
      <c r="F1151">
        <v>7</v>
      </c>
      <c r="G1151">
        <v>19</v>
      </c>
      <c r="H1151">
        <v>9828</v>
      </c>
      <c r="I1151">
        <v>0</v>
      </c>
      <c r="J1151">
        <v>0</v>
      </c>
      <c r="K1151">
        <v>163.80000000000001</v>
      </c>
      <c r="L1151">
        <v>0</v>
      </c>
      <c r="M1151">
        <v>8.6</v>
      </c>
      <c r="N1151">
        <v>152</v>
      </c>
      <c r="O1151" s="1" t="s">
        <v>433</v>
      </c>
    </row>
    <row r="1152" spans="1:15">
      <c r="A1152" t="s">
        <v>1055</v>
      </c>
      <c r="B1152" t="s">
        <v>1056</v>
      </c>
      <c r="C1152" t="s">
        <v>1057</v>
      </c>
      <c r="D1152" t="s">
        <v>194</v>
      </c>
      <c r="E1152">
        <v>2025</v>
      </c>
      <c r="F1152">
        <v>8</v>
      </c>
      <c r="G1152">
        <v>16</v>
      </c>
      <c r="H1152">
        <v>8577</v>
      </c>
      <c r="I1152">
        <v>0</v>
      </c>
      <c r="J1152">
        <v>0</v>
      </c>
      <c r="K1152">
        <v>143</v>
      </c>
      <c r="L1152">
        <v>0</v>
      </c>
      <c r="M1152">
        <v>8.9</v>
      </c>
      <c r="N1152">
        <v>128</v>
      </c>
      <c r="O1152">
        <v>15</v>
      </c>
    </row>
    <row r="1153" spans="1:15">
      <c r="A1153" t="s">
        <v>1058</v>
      </c>
      <c r="B1153" t="s">
        <v>1059</v>
      </c>
      <c r="C1153" t="s">
        <v>76</v>
      </c>
      <c r="D1153" t="s">
        <v>136</v>
      </c>
      <c r="E1153">
        <v>2025</v>
      </c>
      <c r="F1153">
        <v>6</v>
      </c>
      <c r="G1153">
        <v>17</v>
      </c>
      <c r="H1153">
        <v>9474</v>
      </c>
      <c r="I1153">
        <v>0</v>
      </c>
      <c r="J1153">
        <v>0</v>
      </c>
      <c r="K1153">
        <v>157.9</v>
      </c>
      <c r="L1153">
        <v>0</v>
      </c>
      <c r="M1153">
        <v>9.3000000000000007</v>
      </c>
      <c r="N1153">
        <v>136</v>
      </c>
      <c r="O1153" s="1" t="s">
        <v>1060</v>
      </c>
    </row>
    <row r="1154" spans="1:15">
      <c r="A1154" t="s">
        <v>1058</v>
      </c>
      <c r="B1154" t="s">
        <v>1059</v>
      </c>
      <c r="C1154" t="s">
        <v>76</v>
      </c>
      <c r="D1154" t="s">
        <v>136</v>
      </c>
      <c r="E1154">
        <v>2025</v>
      </c>
      <c r="F1154">
        <v>7</v>
      </c>
      <c r="G1154">
        <v>17</v>
      </c>
      <c r="H1154">
        <v>9565</v>
      </c>
      <c r="I1154">
        <v>55</v>
      </c>
      <c r="J1154">
        <v>0</v>
      </c>
      <c r="K1154">
        <v>159.4</v>
      </c>
      <c r="L1154">
        <v>0.9</v>
      </c>
      <c r="M1154">
        <v>9.4</v>
      </c>
      <c r="N1154">
        <v>136</v>
      </c>
      <c r="O1154" s="1" t="s">
        <v>1061</v>
      </c>
    </row>
    <row r="1155" spans="1:15">
      <c r="A1155" t="s">
        <v>1058</v>
      </c>
      <c r="B1155" t="s">
        <v>1059</v>
      </c>
      <c r="C1155" t="s">
        <v>76</v>
      </c>
      <c r="D1155" t="s">
        <v>136</v>
      </c>
      <c r="E1155">
        <v>2025</v>
      </c>
      <c r="F1155">
        <v>8</v>
      </c>
      <c r="G1155">
        <v>15</v>
      </c>
      <c r="H1155">
        <v>7645</v>
      </c>
      <c r="I1155">
        <v>0</v>
      </c>
      <c r="J1155">
        <v>0</v>
      </c>
      <c r="K1155">
        <v>127.4</v>
      </c>
      <c r="L1155">
        <v>0</v>
      </c>
      <c r="M1155">
        <v>8.5</v>
      </c>
      <c r="N1155">
        <v>120</v>
      </c>
      <c r="O1155" s="1" t="s">
        <v>1062</v>
      </c>
    </row>
    <row r="1156" spans="1:15">
      <c r="A1156" t="s">
        <v>1063</v>
      </c>
      <c r="B1156" t="s">
        <v>1064</v>
      </c>
      <c r="C1156" t="s">
        <v>76</v>
      </c>
      <c r="D1156" t="s">
        <v>136</v>
      </c>
      <c r="E1156">
        <v>2025</v>
      </c>
      <c r="F1156">
        <v>6</v>
      </c>
      <c r="G1156">
        <v>17</v>
      </c>
      <c r="H1156">
        <v>10418</v>
      </c>
      <c r="I1156">
        <v>0</v>
      </c>
      <c r="J1156">
        <v>0</v>
      </c>
      <c r="K1156">
        <v>173.6</v>
      </c>
      <c r="L1156">
        <v>0</v>
      </c>
      <c r="M1156">
        <v>10.199999999999999</v>
      </c>
      <c r="N1156">
        <v>136</v>
      </c>
      <c r="O1156" s="1" t="s">
        <v>727</v>
      </c>
    </row>
    <row r="1157" spans="1:15">
      <c r="A1157" t="s">
        <v>1063</v>
      </c>
      <c r="B1157" t="s">
        <v>1064</v>
      </c>
      <c r="C1157" t="s">
        <v>76</v>
      </c>
      <c r="D1157" t="s">
        <v>136</v>
      </c>
      <c r="E1157">
        <v>2025</v>
      </c>
      <c r="F1157">
        <v>7</v>
      </c>
      <c r="G1157">
        <v>17</v>
      </c>
      <c r="H1157">
        <v>10248</v>
      </c>
      <c r="I1157">
        <v>20</v>
      </c>
      <c r="J1157">
        <v>0</v>
      </c>
      <c r="K1157">
        <v>170.8</v>
      </c>
      <c r="L1157">
        <v>0.3</v>
      </c>
      <c r="M1157">
        <v>10</v>
      </c>
      <c r="N1157">
        <v>136</v>
      </c>
      <c r="O1157" s="1" t="s">
        <v>220</v>
      </c>
    </row>
    <row r="1158" spans="1:15">
      <c r="A1158" t="s">
        <v>1063</v>
      </c>
      <c r="B1158" t="s">
        <v>1064</v>
      </c>
      <c r="C1158" t="s">
        <v>76</v>
      </c>
      <c r="D1158" t="s">
        <v>136</v>
      </c>
      <c r="E1158">
        <v>2025</v>
      </c>
      <c r="F1158">
        <v>8</v>
      </c>
      <c r="G1158">
        <v>14</v>
      </c>
      <c r="H1158">
        <v>7908</v>
      </c>
      <c r="I1158">
        <v>0</v>
      </c>
      <c r="J1158">
        <v>0</v>
      </c>
      <c r="K1158">
        <v>131.80000000000001</v>
      </c>
      <c r="L1158">
        <v>0</v>
      </c>
      <c r="M1158">
        <v>9.4</v>
      </c>
      <c r="N1158">
        <v>112</v>
      </c>
      <c r="O1158" s="1" t="s">
        <v>334</v>
      </c>
    </row>
    <row r="1159" spans="1:15">
      <c r="A1159" t="s">
        <v>1065</v>
      </c>
      <c r="B1159" t="s">
        <v>1066</v>
      </c>
      <c r="C1159" t="s">
        <v>76</v>
      </c>
      <c r="D1159" t="s">
        <v>20</v>
      </c>
      <c r="E1159">
        <v>2025</v>
      </c>
      <c r="F1159">
        <v>6</v>
      </c>
      <c r="G1159">
        <v>15</v>
      </c>
      <c r="H1159">
        <v>8327</v>
      </c>
      <c r="I1159">
        <v>0</v>
      </c>
      <c r="J1159">
        <v>0</v>
      </c>
      <c r="K1159">
        <v>138.80000000000001</v>
      </c>
      <c r="L1159">
        <v>0</v>
      </c>
      <c r="M1159">
        <v>9.3000000000000007</v>
      </c>
      <c r="N1159">
        <v>120</v>
      </c>
      <c r="O1159" s="1" t="s">
        <v>81</v>
      </c>
    </row>
    <row r="1160" spans="1:15">
      <c r="A1160" t="s">
        <v>1065</v>
      </c>
      <c r="B1160" t="s">
        <v>1066</v>
      </c>
      <c r="C1160" t="s">
        <v>76</v>
      </c>
      <c r="D1160" t="s">
        <v>20</v>
      </c>
      <c r="E1160">
        <v>2025</v>
      </c>
      <c r="F1160">
        <v>7</v>
      </c>
      <c r="G1160">
        <v>17</v>
      </c>
      <c r="H1160">
        <v>9840</v>
      </c>
      <c r="I1160">
        <v>233</v>
      </c>
      <c r="J1160">
        <v>0</v>
      </c>
      <c r="K1160">
        <v>164</v>
      </c>
      <c r="L1160">
        <v>3.9</v>
      </c>
      <c r="M1160">
        <v>9.6</v>
      </c>
      <c r="N1160">
        <v>136</v>
      </c>
      <c r="O1160">
        <v>28</v>
      </c>
    </row>
    <row r="1161" spans="1:15">
      <c r="A1161" t="s">
        <v>1065</v>
      </c>
      <c r="B1161" t="s">
        <v>1066</v>
      </c>
      <c r="C1161" t="s">
        <v>76</v>
      </c>
      <c r="D1161" t="s">
        <v>20</v>
      </c>
      <c r="E1161">
        <v>2025</v>
      </c>
      <c r="F1161">
        <v>8</v>
      </c>
      <c r="G1161">
        <v>17</v>
      </c>
      <c r="H1161">
        <v>8017</v>
      </c>
      <c r="I1161">
        <v>0</v>
      </c>
      <c r="J1161">
        <v>1</v>
      </c>
      <c r="K1161">
        <v>133.6</v>
      </c>
      <c r="L1161">
        <v>0</v>
      </c>
      <c r="M1161">
        <v>7.9</v>
      </c>
      <c r="N1161">
        <v>128</v>
      </c>
      <c r="O1161" s="1" t="s">
        <v>303</v>
      </c>
    </row>
    <row r="1162" spans="1:15">
      <c r="A1162" t="s">
        <v>1067</v>
      </c>
      <c r="B1162" t="s">
        <v>1068</v>
      </c>
      <c r="C1162" t="s">
        <v>1069</v>
      </c>
      <c r="D1162" t="s">
        <v>20</v>
      </c>
      <c r="E1162">
        <v>2025</v>
      </c>
      <c r="F1162">
        <v>6</v>
      </c>
      <c r="G1162">
        <v>19</v>
      </c>
      <c r="H1162">
        <v>8852</v>
      </c>
      <c r="I1162">
        <v>93</v>
      </c>
      <c r="J1162">
        <v>1</v>
      </c>
      <c r="K1162">
        <v>147.5</v>
      </c>
      <c r="L1162">
        <v>1.6</v>
      </c>
      <c r="M1162">
        <v>7.8</v>
      </c>
      <c r="N1162">
        <v>144</v>
      </c>
      <c r="O1162">
        <v>3.5</v>
      </c>
    </row>
    <row r="1163" spans="1:15">
      <c r="A1163" t="s">
        <v>1067</v>
      </c>
      <c r="B1163" t="s">
        <v>1068</v>
      </c>
      <c r="C1163" t="s">
        <v>1069</v>
      </c>
      <c r="D1163" t="s">
        <v>20</v>
      </c>
      <c r="E1163">
        <v>2025</v>
      </c>
      <c r="F1163">
        <v>7</v>
      </c>
      <c r="G1163">
        <v>16</v>
      </c>
      <c r="H1163">
        <v>8090</v>
      </c>
      <c r="I1163">
        <v>181</v>
      </c>
      <c r="J1163">
        <v>0</v>
      </c>
      <c r="K1163">
        <v>134.80000000000001</v>
      </c>
      <c r="L1163">
        <v>3</v>
      </c>
      <c r="M1163">
        <v>8.4</v>
      </c>
      <c r="N1163">
        <v>128</v>
      </c>
      <c r="O1163" s="1" t="s">
        <v>975</v>
      </c>
    </row>
    <row r="1164" spans="1:15">
      <c r="A1164" t="s">
        <v>1067</v>
      </c>
      <c r="B1164" t="s">
        <v>1068</v>
      </c>
      <c r="C1164" t="s">
        <v>1069</v>
      </c>
      <c r="D1164" t="s">
        <v>20</v>
      </c>
      <c r="E1164">
        <v>2025</v>
      </c>
      <c r="F1164">
        <v>8</v>
      </c>
      <c r="G1164">
        <v>17</v>
      </c>
      <c r="H1164">
        <v>7555</v>
      </c>
      <c r="I1164">
        <v>29</v>
      </c>
      <c r="J1164">
        <v>1</v>
      </c>
      <c r="K1164">
        <v>125.9</v>
      </c>
      <c r="L1164">
        <v>0.5</v>
      </c>
      <c r="M1164">
        <v>7.4</v>
      </c>
      <c r="N1164">
        <v>128</v>
      </c>
      <c r="O1164">
        <v>-2.1</v>
      </c>
    </row>
    <row r="1165" spans="1:15">
      <c r="A1165" t="s">
        <v>1070</v>
      </c>
      <c r="B1165" t="s">
        <v>1071</v>
      </c>
      <c r="C1165" t="s">
        <v>893</v>
      </c>
      <c r="D1165" t="s">
        <v>20</v>
      </c>
      <c r="E1165">
        <v>2025</v>
      </c>
      <c r="F1165">
        <v>6</v>
      </c>
      <c r="G1165">
        <v>18</v>
      </c>
      <c r="H1165">
        <v>8561</v>
      </c>
      <c r="I1165">
        <v>0</v>
      </c>
      <c r="J1165">
        <v>0</v>
      </c>
      <c r="K1165">
        <v>142.69999999999999</v>
      </c>
      <c r="L1165">
        <v>0</v>
      </c>
      <c r="M1165">
        <v>7.9</v>
      </c>
      <c r="N1165">
        <v>144</v>
      </c>
      <c r="O1165">
        <v>-1.3</v>
      </c>
    </row>
    <row r="1166" spans="1:15">
      <c r="A1166" t="s">
        <v>1070</v>
      </c>
      <c r="B1166" t="s">
        <v>1071</v>
      </c>
      <c r="C1166" t="s">
        <v>893</v>
      </c>
      <c r="D1166" t="s">
        <v>20</v>
      </c>
      <c r="E1166">
        <v>2025</v>
      </c>
      <c r="F1166">
        <v>7</v>
      </c>
      <c r="G1166">
        <v>19</v>
      </c>
      <c r="H1166">
        <v>10163</v>
      </c>
      <c r="I1166">
        <v>203</v>
      </c>
      <c r="J1166">
        <v>0</v>
      </c>
      <c r="K1166">
        <v>169.4</v>
      </c>
      <c r="L1166">
        <v>3.4</v>
      </c>
      <c r="M1166">
        <v>8.9</v>
      </c>
      <c r="N1166">
        <v>152</v>
      </c>
      <c r="O1166" s="1" t="s">
        <v>105</v>
      </c>
    </row>
    <row r="1167" spans="1:15">
      <c r="A1167" t="s">
        <v>1070</v>
      </c>
      <c r="B1167" t="s">
        <v>1071</v>
      </c>
      <c r="C1167" t="s">
        <v>893</v>
      </c>
      <c r="D1167" t="s">
        <v>20</v>
      </c>
      <c r="E1167">
        <v>2025</v>
      </c>
      <c r="F1167">
        <v>8</v>
      </c>
      <c r="G1167">
        <v>16</v>
      </c>
      <c r="H1167">
        <v>8369</v>
      </c>
      <c r="I1167">
        <v>0</v>
      </c>
      <c r="J1167">
        <v>0</v>
      </c>
      <c r="K1167">
        <v>139.5</v>
      </c>
      <c r="L1167">
        <v>0</v>
      </c>
      <c r="M1167">
        <v>8.6999999999999993</v>
      </c>
      <c r="N1167">
        <v>128</v>
      </c>
      <c r="O1167">
        <v>11.5</v>
      </c>
    </row>
    <row r="1168" spans="1:15">
      <c r="A1168" t="s">
        <v>1072</v>
      </c>
      <c r="B1168" t="s">
        <v>1073</v>
      </c>
      <c r="C1168" t="s">
        <v>1069</v>
      </c>
      <c r="D1168" t="s">
        <v>20</v>
      </c>
      <c r="E1168">
        <v>2025</v>
      </c>
      <c r="F1168">
        <v>6</v>
      </c>
      <c r="G1168">
        <v>18</v>
      </c>
      <c r="H1168">
        <v>9130</v>
      </c>
      <c r="I1168">
        <v>0</v>
      </c>
      <c r="J1168">
        <v>0</v>
      </c>
      <c r="K1168">
        <v>152.19999999999999</v>
      </c>
      <c r="L1168">
        <v>0</v>
      </c>
      <c r="M1168">
        <v>8.5</v>
      </c>
      <c r="N1168">
        <v>144</v>
      </c>
      <c r="O1168" s="1" t="s">
        <v>1074</v>
      </c>
    </row>
    <row r="1169" spans="1:15">
      <c r="A1169" t="s">
        <v>1072</v>
      </c>
      <c r="B1169" t="s">
        <v>1073</v>
      </c>
      <c r="C1169" t="s">
        <v>1069</v>
      </c>
      <c r="D1169" t="s">
        <v>20</v>
      </c>
      <c r="E1169">
        <v>2025</v>
      </c>
      <c r="F1169">
        <v>7</v>
      </c>
      <c r="G1169">
        <v>17</v>
      </c>
      <c r="H1169">
        <v>8837</v>
      </c>
      <c r="I1169">
        <v>0</v>
      </c>
      <c r="J1169">
        <v>0</v>
      </c>
      <c r="K1169">
        <v>147.30000000000001</v>
      </c>
      <c r="L1169">
        <v>0</v>
      </c>
      <c r="M1169">
        <v>8.6999999999999993</v>
      </c>
      <c r="N1169">
        <v>136</v>
      </c>
      <c r="O1169" s="1" t="s">
        <v>1075</v>
      </c>
    </row>
    <row r="1170" spans="1:15">
      <c r="A1170" t="s">
        <v>1072</v>
      </c>
      <c r="B1170" t="s">
        <v>1073</v>
      </c>
      <c r="C1170" t="s">
        <v>1069</v>
      </c>
      <c r="D1170" t="s">
        <v>20</v>
      </c>
      <c r="E1170">
        <v>2025</v>
      </c>
      <c r="F1170">
        <v>8</v>
      </c>
      <c r="G1170">
        <v>14</v>
      </c>
      <c r="H1170">
        <v>6686</v>
      </c>
      <c r="I1170">
        <v>0</v>
      </c>
      <c r="J1170">
        <v>0</v>
      </c>
      <c r="K1170">
        <v>111.4</v>
      </c>
      <c r="L1170">
        <v>0</v>
      </c>
      <c r="M1170">
        <v>8</v>
      </c>
      <c r="N1170">
        <v>112</v>
      </c>
      <c r="O1170">
        <v>-0.6</v>
      </c>
    </row>
    <row r="1171" spans="1:15">
      <c r="A1171" t="s">
        <v>1076</v>
      </c>
      <c r="B1171" t="s">
        <v>1077</v>
      </c>
      <c r="C1171" t="s">
        <v>1069</v>
      </c>
      <c r="D1171" t="s">
        <v>136</v>
      </c>
      <c r="E1171">
        <v>2025</v>
      </c>
      <c r="F1171">
        <v>6</v>
      </c>
      <c r="G1171">
        <v>18</v>
      </c>
      <c r="H1171">
        <v>9577</v>
      </c>
      <c r="I1171">
        <v>0</v>
      </c>
      <c r="J1171">
        <v>0</v>
      </c>
      <c r="K1171">
        <v>159.6</v>
      </c>
      <c r="L1171">
        <v>0</v>
      </c>
      <c r="M1171">
        <v>8.9</v>
      </c>
      <c r="N1171">
        <v>144</v>
      </c>
      <c r="O1171" s="1" t="s">
        <v>832</v>
      </c>
    </row>
    <row r="1172" spans="1:15">
      <c r="A1172" t="s">
        <v>1076</v>
      </c>
      <c r="B1172" t="s">
        <v>1077</v>
      </c>
      <c r="C1172" t="s">
        <v>1069</v>
      </c>
      <c r="D1172" t="s">
        <v>136</v>
      </c>
      <c r="E1172">
        <v>2025</v>
      </c>
      <c r="F1172">
        <v>7</v>
      </c>
      <c r="G1172">
        <v>17</v>
      </c>
      <c r="H1172">
        <v>9052</v>
      </c>
      <c r="I1172">
        <v>0</v>
      </c>
      <c r="J1172">
        <v>0</v>
      </c>
      <c r="K1172">
        <v>150.9</v>
      </c>
      <c r="L1172">
        <v>0</v>
      </c>
      <c r="M1172">
        <v>8.9</v>
      </c>
      <c r="N1172">
        <v>136</v>
      </c>
      <c r="O1172" s="1" t="s">
        <v>377</v>
      </c>
    </row>
    <row r="1173" spans="1:15">
      <c r="A1173" t="s">
        <v>1076</v>
      </c>
      <c r="B1173" t="s">
        <v>1077</v>
      </c>
      <c r="C1173" t="s">
        <v>1069</v>
      </c>
      <c r="D1173" t="s">
        <v>136</v>
      </c>
      <c r="E1173">
        <v>2025</v>
      </c>
      <c r="F1173">
        <v>8</v>
      </c>
      <c r="G1173">
        <v>16</v>
      </c>
      <c r="H1173">
        <v>7700</v>
      </c>
      <c r="I1173">
        <v>0</v>
      </c>
      <c r="J1173">
        <v>0</v>
      </c>
      <c r="K1173">
        <v>128.30000000000001</v>
      </c>
      <c r="L1173">
        <v>0</v>
      </c>
      <c r="M1173">
        <v>8</v>
      </c>
      <c r="N1173">
        <v>128</v>
      </c>
      <c r="O1173" s="1" t="s">
        <v>735</v>
      </c>
    </row>
    <row r="1174" spans="1:15">
      <c r="A1174" t="s">
        <v>1078</v>
      </c>
      <c r="B1174" t="s">
        <v>1079</v>
      </c>
      <c r="C1174" t="s">
        <v>1044</v>
      </c>
      <c r="D1174" t="s">
        <v>20</v>
      </c>
      <c r="E1174">
        <v>2025</v>
      </c>
      <c r="F1174">
        <v>6</v>
      </c>
      <c r="G1174">
        <v>9</v>
      </c>
      <c r="H1174">
        <v>3858</v>
      </c>
      <c r="I1174">
        <v>0</v>
      </c>
      <c r="J1174">
        <v>0</v>
      </c>
      <c r="K1174">
        <v>64.3</v>
      </c>
      <c r="L1174">
        <v>0</v>
      </c>
      <c r="M1174">
        <v>7.1</v>
      </c>
      <c r="N1174">
        <v>72</v>
      </c>
      <c r="O1174">
        <v>-7.7</v>
      </c>
    </row>
    <row r="1175" spans="1:15">
      <c r="A1175" t="s">
        <v>1078</v>
      </c>
      <c r="B1175" t="s">
        <v>1079</v>
      </c>
      <c r="C1175" t="s">
        <v>1044</v>
      </c>
      <c r="D1175" t="s">
        <v>20</v>
      </c>
      <c r="E1175">
        <v>2025</v>
      </c>
      <c r="F1175">
        <v>7</v>
      </c>
      <c r="G1175">
        <v>16</v>
      </c>
      <c r="H1175">
        <v>7138</v>
      </c>
      <c r="I1175">
        <v>0</v>
      </c>
      <c r="J1175">
        <v>0</v>
      </c>
      <c r="K1175">
        <v>119</v>
      </c>
      <c r="L1175">
        <v>0</v>
      </c>
      <c r="M1175">
        <v>7.4</v>
      </c>
      <c r="N1175">
        <v>128</v>
      </c>
      <c r="O1175">
        <v>-9</v>
      </c>
    </row>
    <row r="1176" spans="1:15">
      <c r="A1176" t="s">
        <v>1078</v>
      </c>
      <c r="B1176" t="s">
        <v>1079</v>
      </c>
      <c r="C1176" t="s">
        <v>1044</v>
      </c>
      <c r="D1176" t="s">
        <v>20</v>
      </c>
      <c r="E1176">
        <v>2025</v>
      </c>
      <c r="F1176">
        <v>8</v>
      </c>
      <c r="G1176">
        <v>13</v>
      </c>
      <c r="H1176">
        <v>5775</v>
      </c>
      <c r="I1176">
        <v>0</v>
      </c>
      <c r="J1176">
        <v>0</v>
      </c>
      <c r="K1176">
        <v>96.2</v>
      </c>
      <c r="L1176">
        <v>0</v>
      </c>
      <c r="M1176">
        <v>7.4</v>
      </c>
      <c r="N1176">
        <v>104</v>
      </c>
      <c r="O1176">
        <v>-7.8</v>
      </c>
    </row>
    <row r="1177" spans="1:15">
      <c r="A1177" t="s">
        <v>1080</v>
      </c>
      <c r="B1177" t="s">
        <v>1081</v>
      </c>
      <c r="C1177" t="s">
        <v>1069</v>
      </c>
      <c r="D1177" t="s">
        <v>136</v>
      </c>
      <c r="E1177">
        <v>2025</v>
      </c>
      <c r="F1177">
        <v>6</v>
      </c>
      <c r="G1177">
        <v>18</v>
      </c>
      <c r="H1177">
        <v>9099</v>
      </c>
      <c r="I1177">
        <v>0</v>
      </c>
      <c r="J1177">
        <v>0</v>
      </c>
      <c r="K1177">
        <v>151.6</v>
      </c>
      <c r="L1177">
        <v>0</v>
      </c>
      <c r="M1177">
        <v>8.4</v>
      </c>
      <c r="N1177">
        <v>144</v>
      </c>
      <c r="O1177" s="1" t="s">
        <v>385</v>
      </c>
    </row>
    <row r="1178" spans="1:15">
      <c r="A1178" t="s">
        <v>1080</v>
      </c>
      <c r="B1178" t="s">
        <v>1081</v>
      </c>
      <c r="C1178" t="s">
        <v>1069</v>
      </c>
      <c r="D1178" t="s">
        <v>136</v>
      </c>
      <c r="E1178">
        <v>2025</v>
      </c>
      <c r="F1178">
        <v>7</v>
      </c>
      <c r="G1178">
        <v>15</v>
      </c>
      <c r="H1178">
        <v>7953</v>
      </c>
      <c r="I1178">
        <v>0</v>
      </c>
      <c r="J1178">
        <v>0</v>
      </c>
      <c r="K1178">
        <v>132.6</v>
      </c>
      <c r="L1178">
        <v>0</v>
      </c>
      <c r="M1178">
        <v>8.8000000000000007</v>
      </c>
      <c r="N1178">
        <v>120</v>
      </c>
      <c r="O1178" s="1" t="s">
        <v>523</v>
      </c>
    </row>
    <row r="1179" spans="1:15">
      <c r="A1179" t="s">
        <v>1080</v>
      </c>
      <c r="B1179" t="s">
        <v>1081</v>
      </c>
      <c r="C1179" t="s">
        <v>1069</v>
      </c>
      <c r="D1179" t="s">
        <v>136</v>
      </c>
      <c r="E1179">
        <v>2025</v>
      </c>
      <c r="F1179">
        <v>8</v>
      </c>
      <c r="G1179">
        <v>14</v>
      </c>
      <c r="H1179">
        <v>7193</v>
      </c>
      <c r="I1179">
        <v>0</v>
      </c>
      <c r="J1179">
        <v>0</v>
      </c>
      <c r="K1179">
        <v>119.9</v>
      </c>
      <c r="L1179">
        <v>0</v>
      </c>
      <c r="M1179">
        <v>8.6</v>
      </c>
      <c r="N1179">
        <v>112</v>
      </c>
      <c r="O1179" s="1" t="s">
        <v>407</v>
      </c>
    </row>
    <row r="1180" spans="1:15">
      <c r="A1180" t="s">
        <v>1082</v>
      </c>
      <c r="B1180" t="s">
        <v>1083</v>
      </c>
      <c r="C1180" t="s">
        <v>1057</v>
      </c>
      <c r="D1180" t="s">
        <v>136</v>
      </c>
      <c r="E1180">
        <v>2025</v>
      </c>
      <c r="F1180">
        <v>6</v>
      </c>
      <c r="G1180">
        <v>19</v>
      </c>
      <c r="H1180">
        <v>9927</v>
      </c>
      <c r="I1180">
        <v>0</v>
      </c>
      <c r="J1180">
        <v>0</v>
      </c>
      <c r="K1180">
        <v>165.4</v>
      </c>
      <c r="L1180">
        <v>0</v>
      </c>
      <c r="M1180">
        <v>8.6999999999999993</v>
      </c>
      <c r="N1180">
        <v>152</v>
      </c>
      <c r="O1180" s="1" t="s">
        <v>352</v>
      </c>
    </row>
    <row r="1181" spans="1:15">
      <c r="A1181" t="s">
        <v>1082</v>
      </c>
      <c r="B1181" t="s">
        <v>1083</v>
      </c>
      <c r="C1181" t="s">
        <v>1057</v>
      </c>
      <c r="D1181" t="s">
        <v>136</v>
      </c>
      <c r="E1181">
        <v>2025</v>
      </c>
      <c r="F1181">
        <v>7</v>
      </c>
      <c r="G1181">
        <v>19</v>
      </c>
      <c r="H1181">
        <v>10061</v>
      </c>
      <c r="I1181">
        <v>0</v>
      </c>
      <c r="J1181">
        <v>0</v>
      </c>
      <c r="K1181">
        <v>167.7</v>
      </c>
      <c r="L1181">
        <v>0</v>
      </c>
      <c r="M1181">
        <v>8.8000000000000007</v>
      </c>
      <c r="N1181">
        <v>152</v>
      </c>
      <c r="O1181" s="1" t="s">
        <v>1084</v>
      </c>
    </row>
    <row r="1182" spans="1:15">
      <c r="A1182" t="s">
        <v>1082</v>
      </c>
      <c r="B1182" t="s">
        <v>1083</v>
      </c>
      <c r="C1182" t="s">
        <v>1057</v>
      </c>
      <c r="D1182" t="s">
        <v>136</v>
      </c>
      <c r="E1182">
        <v>2025</v>
      </c>
      <c r="F1182">
        <v>8</v>
      </c>
      <c r="G1182">
        <v>17</v>
      </c>
      <c r="H1182">
        <v>8384</v>
      </c>
      <c r="I1182">
        <v>54</v>
      </c>
      <c r="J1182">
        <v>0</v>
      </c>
      <c r="K1182">
        <v>139.69999999999999</v>
      </c>
      <c r="L1182">
        <v>0.9</v>
      </c>
      <c r="M1182">
        <v>8.1999999999999993</v>
      </c>
      <c r="N1182">
        <v>136</v>
      </c>
      <c r="O1182" s="1" t="s">
        <v>572</v>
      </c>
    </row>
    <row r="1183" spans="1:15">
      <c r="A1183" t="s">
        <v>1085</v>
      </c>
      <c r="B1183" t="s">
        <v>1086</v>
      </c>
      <c r="C1183" t="s">
        <v>1057</v>
      </c>
      <c r="D1183" t="s">
        <v>136</v>
      </c>
      <c r="E1183">
        <v>2025</v>
      </c>
      <c r="F1183">
        <v>6</v>
      </c>
      <c r="G1183">
        <v>19</v>
      </c>
      <c r="H1183">
        <v>11241</v>
      </c>
      <c r="I1183">
        <v>0</v>
      </c>
      <c r="J1183">
        <v>0</v>
      </c>
      <c r="K1183">
        <v>187.4</v>
      </c>
      <c r="L1183">
        <v>0</v>
      </c>
      <c r="M1183">
        <v>9.9</v>
      </c>
      <c r="N1183">
        <v>152</v>
      </c>
      <c r="O1183" s="1" t="s">
        <v>357</v>
      </c>
    </row>
    <row r="1184" spans="1:15">
      <c r="A1184" t="s">
        <v>1085</v>
      </c>
      <c r="B1184" t="s">
        <v>1086</v>
      </c>
      <c r="C1184" t="s">
        <v>1057</v>
      </c>
      <c r="D1184" t="s">
        <v>136</v>
      </c>
      <c r="E1184">
        <v>2025</v>
      </c>
      <c r="F1184">
        <v>7</v>
      </c>
      <c r="G1184">
        <v>19</v>
      </c>
      <c r="H1184">
        <v>10045</v>
      </c>
      <c r="I1184">
        <v>3</v>
      </c>
      <c r="J1184">
        <v>1</v>
      </c>
      <c r="K1184">
        <v>167.4</v>
      </c>
      <c r="L1184">
        <v>0</v>
      </c>
      <c r="M1184">
        <v>8.8000000000000007</v>
      </c>
      <c r="N1184">
        <v>144</v>
      </c>
      <c r="O1184" s="1" t="s">
        <v>1061</v>
      </c>
    </row>
    <row r="1185" spans="1:15">
      <c r="A1185" t="s">
        <v>1085</v>
      </c>
      <c r="B1185" t="s">
        <v>1086</v>
      </c>
      <c r="C1185" t="s">
        <v>1057</v>
      </c>
      <c r="D1185" t="s">
        <v>136</v>
      </c>
      <c r="E1185">
        <v>2025</v>
      </c>
      <c r="F1185">
        <v>8</v>
      </c>
      <c r="G1185">
        <v>16</v>
      </c>
      <c r="H1185">
        <v>8579</v>
      </c>
      <c r="I1185">
        <v>0</v>
      </c>
      <c r="J1185">
        <v>0</v>
      </c>
      <c r="K1185">
        <v>143</v>
      </c>
      <c r="L1185">
        <v>0</v>
      </c>
      <c r="M1185">
        <v>8.9</v>
      </c>
      <c r="N1185">
        <v>128</v>
      </c>
      <c r="O1185">
        <v>15</v>
      </c>
    </row>
    <row r="1186" spans="1:15">
      <c r="A1186" t="s">
        <v>1087</v>
      </c>
      <c r="B1186" t="s">
        <v>1088</v>
      </c>
      <c r="C1186" t="s">
        <v>1089</v>
      </c>
      <c r="D1186" t="s">
        <v>20</v>
      </c>
      <c r="E1186">
        <v>2025</v>
      </c>
      <c r="F1186">
        <v>6</v>
      </c>
      <c r="G1186">
        <v>16</v>
      </c>
      <c r="H1186">
        <v>8982</v>
      </c>
      <c r="I1186">
        <v>0</v>
      </c>
      <c r="J1186">
        <v>0</v>
      </c>
      <c r="K1186">
        <v>149.69999999999999</v>
      </c>
      <c r="L1186">
        <v>0</v>
      </c>
      <c r="M1186">
        <v>9.4</v>
      </c>
      <c r="N1186">
        <v>128</v>
      </c>
      <c r="O1186" s="1" t="s">
        <v>1090</v>
      </c>
    </row>
    <row r="1187" spans="1:15">
      <c r="A1187" t="s">
        <v>1087</v>
      </c>
      <c r="B1187" t="s">
        <v>1088</v>
      </c>
      <c r="C1187" t="s">
        <v>1089</v>
      </c>
      <c r="D1187" t="s">
        <v>20</v>
      </c>
      <c r="E1187">
        <v>2025</v>
      </c>
      <c r="F1187">
        <v>7</v>
      </c>
      <c r="G1187">
        <v>19</v>
      </c>
      <c r="H1187">
        <v>10598</v>
      </c>
      <c r="I1187">
        <v>0</v>
      </c>
      <c r="J1187">
        <v>0</v>
      </c>
      <c r="K1187">
        <v>176.6</v>
      </c>
      <c r="L1187">
        <v>0</v>
      </c>
      <c r="M1187">
        <v>9.3000000000000007</v>
      </c>
      <c r="N1187">
        <v>152</v>
      </c>
      <c r="O1187" s="1" t="s">
        <v>371</v>
      </c>
    </row>
    <row r="1188" spans="1:15">
      <c r="A1188" t="s">
        <v>1087</v>
      </c>
      <c r="B1188" t="s">
        <v>1088</v>
      </c>
      <c r="C1188" t="s">
        <v>1089</v>
      </c>
      <c r="D1188" t="s">
        <v>20</v>
      </c>
      <c r="E1188">
        <v>2025</v>
      </c>
      <c r="F1188">
        <v>8</v>
      </c>
      <c r="G1188">
        <v>16</v>
      </c>
      <c r="H1188">
        <v>8275</v>
      </c>
      <c r="I1188">
        <v>0</v>
      </c>
      <c r="J1188">
        <v>0</v>
      </c>
      <c r="K1188">
        <v>137.9</v>
      </c>
      <c r="L1188">
        <v>0</v>
      </c>
      <c r="M1188">
        <v>8.6</v>
      </c>
      <c r="N1188">
        <v>128</v>
      </c>
      <c r="O1188" s="1" t="s">
        <v>514</v>
      </c>
    </row>
    <row r="1189" spans="1:15">
      <c r="A1189" t="s">
        <v>1091</v>
      </c>
      <c r="B1189" t="s">
        <v>1092</v>
      </c>
      <c r="C1189" t="s">
        <v>1089</v>
      </c>
      <c r="D1189" t="s">
        <v>20</v>
      </c>
      <c r="E1189">
        <v>2025</v>
      </c>
      <c r="F1189">
        <v>6</v>
      </c>
      <c r="G1189">
        <v>18</v>
      </c>
      <c r="H1189">
        <v>9142</v>
      </c>
      <c r="I1189">
        <v>0</v>
      </c>
      <c r="J1189">
        <v>2</v>
      </c>
      <c r="K1189">
        <v>152.4</v>
      </c>
      <c r="L1189">
        <v>0</v>
      </c>
      <c r="M1189">
        <v>8.5</v>
      </c>
      <c r="N1189">
        <v>128</v>
      </c>
      <c r="O1189" s="1" t="s">
        <v>494</v>
      </c>
    </row>
    <row r="1190" spans="1:15">
      <c r="A1190" t="s">
        <v>1091</v>
      </c>
      <c r="B1190" t="s">
        <v>1092</v>
      </c>
      <c r="C1190" t="s">
        <v>1089</v>
      </c>
      <c r="D1190" t="s">
        <v>20</v>
      </c>
      <c r="E1190">
        <v>2025</v>
      </c>
      <c r="F1190">
        <v>7</v>
      </c>
      <c r="G1190">
        <v>18</v>
      </c>
      <c r="H1190">
        <v>9966</v>
      </c>
      <c r="I1190">
        <v>0</v>
      </c>
      <c r="J1190">
        <v>0</v>
      </c>
      <c r="K1190">
        <v>166.1</v>
      </c>
      <c r="L1190">
        <v>0</v>
      </c>
      <c r="M1190">
        <v>9.1999999999999993</v>
      </c>
      <c r="N1190">
        <v>144</v>
      </c>
      <c r="O1190" s="1" t="s">
        <v>203</v>
      </c>
    </row>
    <row r="1191" spans="1:15">
      <c r="A1191" t="s">
        <v>1091</v>
      </c>
      <c r="B1191" t="s">
        <v>1092</v>
      </c>
      <c r="C1191" t="s">
        <v>1089</v>
      </c>
      <c r="D1191" t="s">
        <v>20</v>
      </c>
      <c r="E1191">
        <v>2025</v>
      </c>
      <c r="F1191">
        <v>8</v>
      </c>
      <c r="G1191">
        <v>16</v>
      </c>
      <c r="H1191">
        <v>8602</v>
      </c>
      <c r="I1191">
        <v>0</v>
      </c>
      <c r="J1191">
        <v>0</v>
      </c>
      <c r="K1191">
        <v>143.4</v>
      </c>
      <c r="L1191">
        <v>0</v>
      </c>
      <c r="M1191">
        <v>9</v>
      </c>
      <c r="N1191">
        <v>128</v>
      </c>
      <c r="O1191" s="1" t="s">
        <v>23</v>
      </c>
    </row>
    <row r="1192" spans="1:15">
      <c r="A1192" t="s">
        <v>1093</v>
      </c>
      <c r="B1192" t="s">
        <v>1094</v>
      </c>
      <c r="C1192" t="s">
        <v>1089</v>
      </c>
      <c r="D1192" t="s">
        <v>136</v>
      </c>
      <c r="E1192">
        <v>2025</v>
      </c>
      <c r="F1192">
        <v>6</v>
      </c>
      <c r="G1192">
        <v>19</v>
      </c>
      <c r="H1192">
        <v>10491</v>
      </c>
      <c r="I1192">
        <v>166</v>
      </c>
      <c r="J1192">
        <v>0</v>
      </c>
      <c r="K1192">
        <v>174.8</v>
      </c>
      <c r="L1192">
        <v>2.8</v>
      </c>
      <c r="M1192">
        <v>9.1999999999999993</v>
      </c>
      <c r="N1192">
        <v>152</v>
      </c>
      <c r="O1192" s="1" t="s">
        <v>290</v>
      </c>
    </row>
    <row r="1193" spans="1:15">
      <c r="A1193" t="s">
        <v>1093</v>
      </c>
      <c r="B1193" t="s">
        <v>1094</v>
      </c>
      <c r="C1193" t="s">
        <v>1089</v>
      </c>
      <c r="D1193" t="s">
        <v>136</v>
      </c>
      <c r="E1193">
        <v>2025</v>
      </c>
      <c r="F1193">
        <v>7</v>
      </c>
      <c r="G1193">
        <v>19</v>
      </c>
      <c r="H1193">
        <v>10698</v>
      </c>
      <c r="I1193">
        <v>61</v>
      </c>
      <c r="J1193">
        <v>0</v>
      </c>
      <c r="K1193">
        <v>178.3</v>
      </c>
      <c r="L1193">
        <v>1</v>
      </c>
      <c r="M1193">
        <v>9.4</v>
      </c>
      <c r="N1193">
        <v>152</v>
      </c>
      <c r="O1193" s="1" t="s">
        <v>435</v>
      </c>
    </row>
    <row r="1194" spans="1:15">
      <c r="A1194" t="s">
        <v>1093</v>
      </c>
      <c r="B1194" t="s">
        <v>1094</v>
      </c>
      <c r="C1194" t="s">
        <v>1089</v>
      </c>
      <c r="D1194" t="s">
        <v>136</v>
      </c>
      <c r="E1194">
        <v>2025</v>
      </c>
      <c r="F1194">
        <v>8</v>
      </c>
      <c r="G1194">
        <v>14</v>
      </c>
      <c r="H1194">
        <v>7658</v>
      </c>
      <c r="I1194">
        <v>14</v>
      </c>
      <c r="J1194">
        <v>0</v>
      </c>
      <c r="K1194">
        <v>127.6</v>
      </c>
      <c r="L1194">
        <v>0.2</v>
      </c>
      <c r="M1194">
        <v>9.1</v>
      </c>
      <c r="N1194">
        <v>112</v>
      </c>
      <c r="O1194" s="1" t="s">
        <v>832</v>
      </c>
    </row>
    <row r="1195" spans="1:15">
      <c r="A1195" t="s">
        <v>1095</v>
      </c>
      <c r="B1195" t="s">
        <v>1096</v>
      </c>
      <c r="C1195" t="s">
        <v>1089</v>
      </c>
      <c r="D1195" t="s">
        <v>136</v>
      </c>
      <c r="E1195">
        <v>2025</v>
      </c>
      <c r="F1195">
        <v>6</v>
      </c>
      <c r="G1195">
        <v>16</v>
      </c>
      <c r="H1195">
        <v>8536</v>
      </c>
      <c r="I1195">
        <v>0</v>
      </c>
      <c r="J1195">
        <v>0</v>
      </c>
      <c r="K1195">
        <v>142.30000000000001</v>
      </c>
      <c r="L1195">
        <v>0</v>
      </c>
      <c r="M1195">
        <v>8.9</v>
      </c>
      <c r="N1195">
        <v>128</v>
      </c>
      <c r="O1195" s="1" t="s">
        <v>471</v>
      </c>
    </row>
    <row r="1196" spans="1:15">
      <c r="A1196" t="s">
        <v>1095</v>
      </c>
      <c r="B1196" t="s">
        <v>1096</v>
      </c>
      <c r="C1196" t="s">
        <v>1089</v>
      </c>
      <c r="D1196" t="s">
        <v>136</v>
      </c>
      <c r="E1196">
        <v>2025</v>
      </c>
      <c r="F1196">
        <v>7</v>
      </c>
      <c r="G1196">
        <v>17</v>
      </c>
      <c r="H1196">
        <v>9144</v>
      </c>
      <c r="I1196">
        <v>0</v>
      </c>
      <c r="J1196">
        <v>0</v>
      </c>
      <c r="K1196">
        <v>152.4</v>
      </c>
      <c r="L1196">
        <v>0</v>
      </c>
      <c r="M1196">
        <v>9</v>
      </c>
      <c r="N1196">
        <v>136</v>
      </c>
      <c r="O1196" s="1" t="s">
        <v>1097</v>
      </c>
    </row>
    <row r="1197" spans="1:15">
      <c r="A1197" t="s">
        <v>1095</v>
      </c>
      <c r="B1197" t="s">
        <v>1096</v>
      </c>
      <c r="C1197" t="s">
        <v>1089</v>
      </c>
      <c r="D1197" t="s">
        <v>136</v>
      </c>
      <c r="E1197">
        <v>2025</v>
      </c>
      <c r="F1197">
        <v>8</v>
      </c>
      <c r="G1197">
        <v>15</v>
      </c>
      <c r="H1197">
        <v>7384</v>
      </c>
      <c r="I1197">
        <v>28</v>
      </c>
      <c r="J1197">
        <v>0</v>
      </c>
      <c r="K1197">
        <v>123.1</v>
      </c>
      <c r="L1197">
        <v>0.5</v>
      </c>
      <c r="M1197">
        <v>8.1999999999999993</v>
      </c>
      <c r="N1197">
        <v>120</v>
      </c>
      <c r="O1197" s="1" t="s">
        <v>1098</v>
      </c>
    </row>
    <row r="1198" spans="1:15">
      <c r="A1198" t="s">
        <v>1099</v>
      </c>
      <c r="B1198" t="s">
        <v>1100</v>
      </c>
      <c r="C1198" t="s">
        <v>1089</v>
      </c>
      <c r="D1198" t="s">
        <v>136</v>
      </c>
      <c r="E1198">
        <v>2025</v>
      </c>
      <c r="F1198">
        <v>6</v>
      </c>
      <c r="G1198">
        <v>15</v>
      </c>
      <c r="H1198">
        <v>8519</v>
      </c>
      <c r="I1198">
        <v>0</v>
      </c>
      <c r="J1198">
        <v>0</v>
      </c>
      <c r="K1198">
        <v>142</v>
      </c>
      <c r="L1198">
        <v>0</v>
      </c>
      <c r="M1198">
        <v>9.5</v>
      </c>
      <c r="N1198">
        <v>120</v>
      </c>
      <c r="O1198">
        <v>22</v>
      </c>
    </row>
    <row r="1199" spans="1:15">
      <c r="A1199" t="s">
        <v>1099</v>
      </c>
      <c r="B1199" t="s">
        <v>1100</v>
      </c>
      <c r="C1199" t="s">
        <v>1089</v>
      </c>
      <c r="D1199" t="s">
        <v>136</v>
      </c>
      <c r="E1199">
        <v>2025</v>
      </c>
      <c r="F1199">
        <v>7</v>
      </c>
      <c r="G1199">
        <v>18</v>
      </c>
      <c r="H1199">
        <v>10055</v>
      </c>
      <c r="I1199">
        <v>0</v>
      </c>
      <c r="J1199">
        <v>0</v>
      </c>
      <c r="K1199">
        <v>167.6</v>
      </c>
      <c r="L1199">
        <v>0</v>
      </c>
      <c r="M1199">
        <v>9.3000000000000007</v>
      </c>
      <c r="N1199">
        <v>144</v>
      </c>
      <c r="O1199" s="1" t="s">
        <v>672</v>
      </c>
    </row>
    <row r="1200" spans="1:15">
      <c r="A1200" t="s">
        <v>1099</v>
      </c>
      <c r="B1200" t="s">
        <v>1100</v>
      </c>
      <c r="C1200" t="s">
        <v>1089</v>
      </c>
      <c r="D1200" t="s">
        <v>136</v>
      </c>
      <c r="E1200">
        <v>2025</v>
      </c>
      <c r="F1200">
        <v>8</v>
      </c>
      <c r="G1200">
        <v>15</v>
      </c>
      <c r="H1200">
        <v>8191</v>
      </c>
      <c r="I1200">
        <v>60</v>
      </c>
      <c r="J1200">
        <v>0</v>
      </c>
      <c r="K1200">
        <v>136.5</v>
      </c>
      <c r="L1200">
        <v>1</v>
      </c>
      <c r="M1200">
        <v>9.1</v>
      </c>
      <c r="N1200">
        <v>120</v>
      </c>
      <c r="O1200">
        <v>16.5</v>
      </c>
    </row>
    <row r="1201" spans="1:15">
      <c r="A1201" t="s">
        <v>1101</v>
      </c>
      <c r="B1201" t="s">
        <v>1102</v>
      </c>
      <c r="C1201" t="s">
        <v>730</v>
      </c>
      <c r="D1201" t="s">
        <v>194</v>
      </c>
      <c r="E1201">
        <v>2025</v>
      </c>
      <c r="F1201">
        <v>6</v>
      </c>
      <c r="G1201">
        <v>19</v>
      </c>
      <c r="H1201">
        <v>10626</v>
      </c>
      <c r="I1201">
        <v>307</v>
      </c>
      <c r="J1201">
        <v>0</v>
      </c>
      <c r="K1201">
        <v>177.1</v>
      </c>
      <c r="L1201">
        <v>5.0999999999999996</v>
      </c>
      <c r="M1201">
        <v>9.3000000000000007</v>
      </c>
      <c r="N1201">
        <v>152</v>
      </c>
      <c r="O1201" s="1" t="s">
        <v>642</v>
      </c>
    </row>
    <row r="1202" spans="1:15">
      <c r="A1202" t="s">
        <v>1101</v>
      </c>
      <c r="B1202" t="s">
        <v>1102</v>
      </c>
      <c r="C1202" t="s">
        <v>730</v>
      </c>
      <c r="D1202" t="s">
        <v>194</v>
      </c>
      <c r="E1202">
        <v>2025</v>
      </c>
      <c r="F1202">
        <v>7</v>
      </c>
      <c r="G1202">
        <v>23</v>
      </c>
      <c r="H1202">
        <v>11564</v>
      </c>
      <c r="I1202">
        <v>317</v>
      </c>
      <c r="J1202">
        <v>1</v>
      </c>
      <c r="K1202">
        <v>192.7</v>
      </c>
      <c r="L1202">
        <v>5.3</v>
      </c>
      <c r="M1202">
        <v>8.4</v>
      </c>
      <c r="N1202">
        <v>176</v>
      </c>
      <c r="O1202" s="1" t="s">
        <v>468</v>
      </c>
    </row>
    <row r="1203" spans="1:15">
      <c r="A1203" t="s">
        <v>1101</v>
      </c>
      <c r="B1203" t="s">
        <v>1102</v>
      </c>
      <c r="C1203" t="s">
        <v>730</v>
      </c>
      <c r="D1203" t="s">
        <v>194</v>
      </c>
      <c r="E1203">
        <v>2025</v>
      </c>
      <c r="F1203">
        <v>8</v>
      </c>
      <c r="G1203">
        <v>13</v>
      </c>
      <c r="H1203">
        <v>5056</v>
      </c>
      <c r="I1203">
        <v>89</v>
      </c>
      <c r="J1203">
        <v>0</v>
      </c>
      <c r="K1203">
        <v>84.3</v>
      </c>
      <c r="L1203">
        <v>1.5</v>
      </c>
      <c r="M1203">
        <v>6.5</v>
      </c>
      <c r="N1203">
        <v>104</v>
      </c>
      <c r="O1203">
        <v>-19.7</v>
      </c>
    </row>
    <row r="1204" spans="1:15">
      <c r="A1204" t="s">
        <v>1103</v>
      </c>
      <c r="B1204" t="s">
        <v>1104</v>
      </c>
      <c r="C1204" t="s">
        <v>709</v>
      </c>
      <c r="D1204" t="s">
        <v>136</v>
      </c>
      <c r="E1204">
        <v>2025</v>
      </c>
      <c r="F1204">
        <v>6</v>
      </c>
      <c r="G1204">
        <v>21</v>
      </c>
      <c r="H1204">
        <v>11996</v>
      </c>
      <c r="I1204">
        <v>0</v>
      </c>
      <c r="J1204">
        <v>1</v>
      </c>
      <c r="K1204">
        <v>199.9</v>
      </c>
      <c r="L1204">
        <v>0</v>
      </c>
      <c r="M1204">
        <v>9.5</v>
      </c>
      <c r="N1204">
        <v>160</v>
      </c>
      <c r="O1204" s="1" t="s">
        <v>214</v>
      </c>
    </row>
    <row r="1205" spans="1:15">
      <c r="A1205" t="s">
        <v>1103</v>
      </c>
      <c r="B1205" t="s">
        <v>1104</v>
      </c>
      <c r="C1205" t="s">
        <v>709</v>
      </c>
      <c r="D1205" t="s">
        <v>136</v>
      </c>
      <c r="E1205">
        <v>2025</v>
      </c>
      <c r="F1205">
        <v>7</v>
      </c>
      <c r="G1205">
        <v>27</v>
      </c>
      <c r="H1205">
        <v>25380</v>
      </c>
      <c r="I1205">
        <v>0</v>
      </c>
      <c r="J1205">
        <v>6</v>
      </c>
      <c r="K1205">
        <v>423</v>
      </c>
      <c r="L1205">
        <v>0</v>
      </c>
      <c r="M1205">
        <v>15.7</v>
      </c>
      <c r="N1205">
        <v>168</v>
      </c>
      <c r="O1205">
        <v>255</v>
      </c>
    </row>
    <row r="1206" spans="1:15">
      <c r="A1206" t="s">
        <v>1103</v>
      </c>
      <c r="B1206" t="s">
        <v>1104</v>
      </c>
      <c r="C1206" t="s">
        <v>709</v>
      </c>
      <c r="D1206" t="s">
        <v>136</v>
      </c>
      <c r="E1206">
        <v>2025</v>
      </c>
      <c r="F1206">
        <v>8</v>
      </c>
      <c r="G1206">
        <v>13</v>
      </c>
      <c r="H1206">
        <v>5928</v>
      </c>
      <c r="I1206">
        <v>0</v>
      </c>
      <c r="J1206">
        <v>0</v>
      </c>
      <c r="K1206">
        <v>98.8</v>
      </c>
      <c r="L1206">
        <v>0</v>
      </c>
      <c r="M1206">
        <v>7.6</v>
      </c>
      <c r="N1206">
        <v>104</v>
      </c>
      <c r="O1206">
        <v>-5.2</v>
      </c>
    </row>
    <row r="1207" spans="1:15">
      <c r="A1207" t="s">
        <v>1105</v>
      </c>
      <c r="B1207" t="s">
        <v>1106</v>
      </c>
      <c r="C1207" t="s">
        <v>905</v>
      </c>
      <c r="D1207" t="s">
        <v>136</v>
      </c>
      <c r="E1207">
        <v>2025</v>
      </c>
      <c r="F1207">
        <v>6</v>
      </c>
      <c r="G1207">
        <v>18</v>
      </c>
      <c r="H1207">
        <v>10163</v>
      </c>
      <c r="I1207">
        <v>0</v>
      </c>
      <c r="J1207">
        <v>0</v>
      </c>
      <c r="K1207">
        <v>169.4</v>
      </c>
      <c r="L1207">
        <v>0</v>
      </c>
      <c r="M1207">
        <v>9.4</v>
      </c>
      <c r="N1207">
        <v>144</v>
      </c>
      <c r="O1207" s="1" t="s">
        <v>436</v>
      </c>
    </row>
    <row r="1208" spans="1:15">
      <c r="A1208" t="s">
        <v>1105</v>
      </c>
      <c r="B1208" t="s">
        <v>1106</v>
      </c>
      <c r="C1208" t="s">
        <v>905</v>
      </c>
      <c r="D1208" t="s">
        <v>136</v>
      </c>
      <c r="E1208">
        <v>2025</v>
      </c>
      <c r="F1208">
        <v>7</v>
      </c>
      <c r="G1208">
        <v>17</v>
      </c>
      <c r="H1208">
        <v>9178</v>
      </c>
      <c r="I1208">
        <v>0</v>
      </c>
      <c r="J1208">
        <v>0</v>
      </c>
      <c r="K1208">
        <v>153</v>
      </c>
      <c r="L1208">
        <v>0</v>
      </c>
      <c r="M1208">
        <v>9</v>
      </c>
      <c r="N1208">
        <v>136</v>
      </c>
      <c r="O1208">
        <v>17</v>
      </c>
    </row>
    <row r="1209" spans="1:15">
      <c r="A1209" t="s">
        <v>1105</v>
      </c>
      <c r="B1209" t="s">
        <v>1106</v>
      </c>
      <c r="C1209" t="s">
        <v>905</v>
      </c>
      <c r="D1209" t="s">
        <v>136</v>
      </c>
      <c r="E1209">
        <v>2025</v>
      </c>
      <c r="F1209">
        <v>8</v>
      </c>
      <c r="G1209">
        <v>14</v>
      </c>
      <c r="H1209">
        <v>7565</v>
      </c>
      <c r="I1209">
        <v>0</v>
      </c>
      <c r="J1209">
        <v>0</v>
      </c>
      <c r="K1209">
        <v>126.1</v>
      </c>
      <c r="L1209">
        <v>0</v>
      </c>
      <c r="M1209">
        <v>9</v>
      </c>
      <c r="N1209">
        <v>112</v>
      </c>
      <c r="O1209" s="1" t="s">
        <v>669</v>
      </c>
    </row>
    <row r="1210" spans="1:15">
      <c r="A1210" t="s">
        <v>1107</v>
      </c>
      <c r="B1210" t="s">
        <v>249</v>
      </c>
      <c r="C1210" t="s">
        <v>1108</v>
      </c>
      <c r="D1210" t="s">
        <v>20</v>
      </c>
      <c r="E1210">
        <v>2025</v>
      </c>
      <c r="F1210">
        <v>6</v>
      </c>
      <c r="G1210">
        <v>18</v>
      </c>
      <c r="H1210">
        <v>10682</v>
      </c>
      <c r="I1210">
        <v>375</v>
      </c>
      <c r="J1210">
        <v>0</v>
      </c>
      <c r="K1210">
        <v>178</v>
      </c>
      <c r="L1210">
        <v>6.2</v>
      </c>
      <c r="M1210">
        <v>9.9</v>
      </c>
      <c r="N1210">
        <v>144</v>
      </c>
      <c r="O1210">
        <v>34</v>
      </c>
    </row>
    <row r="1211" spans="1:15">
      <c r="A1211" t="s">
        <v>1107</v>
      </c>
      <c r="B1211" t="s">
        <v>249</v>
      </c>
      <c r="C1211" t="s">
        <v>1108</v>
      </c>
      <c r="D1211" t="s">
        <v>20</v>
      </c>
      <c r="E1211">
        <v>2025</v>
      </c>
      <c r="F1211">
        <v>7</v>
      </c>
      <c r="G1211">
        <v>16</v>
      </c>
      <c r="H1211">
        <v>9234</v>
      </c>
      <c r="I1211">
        <v>237</v>
      </c>
      <c r="J1211">
        <v>0</v>
      </c>
      <c r="K1211">
        <v>153.9</v>
      </c>
      <c r="L1211">
        <v>4</v>
      </c>
      <c r="M1211">
        <v>9.6</v>
      </c>
      <c r="N1211">
        <v>128</v>
      </c>
      <c r="O1211" s="1" t="s">
        <v>1109</v>
      </c>
    </row>
    <row r="1212" spans="1:15">
      <c r="A1212" t="s">
        <v>1107</v>
      </c>
      <c r="B1212" t="s">
        <v>249</v>
      </c>
      <c r="C1212" t="s">
        <v>1108</v>
      </c>
      <c r="D1212" t="s">
        <v>20</v>
      </c>
      <c r="E1212">
        <v>2025</v>
      </c>
      <c r="F1212">
        <v>8</v>
      </c>
      <c r="G1212">
        <v>17</v>
      </c>
      <c r="H1212">
        <v>8582</v>
      </c>
      <c r="I1212">
        <v>67</v>
      </c>
      <c r="J1212">
        <v>0</v>
      </c>
      <c r="K1212">
        <v>143</v>
      </c>
      <c r="L1212">
        <v>1.1000000000000001</v>
      </c>
      <c r="M1212">
        <v>8.4</v>
      </c>
      <c r="N1212">
        <v>136</v>
      </c>
      <c r="O1212">
        <v>7</v>
      </c>
    </row>
    <row r="1213" spans="1:15">
      <c r="A1213" t="s">
        <v>1110</v>
      </c>
      <c r="B1213" t="s">
        <v>1111</v>
      </c>
      <c r="C1213" t="s">
        <v>1108</v>
      </c>
      <c r="D1213" t="s">
        <v>136</v>
      </c>
      <c r="E1213">
        <v>2025</v>
      </c>
      <c r="F1213">
        <v>7</v>
      </c>
      <c r="G1213">
        <v>9</v>
      </c>
      <c r="H1213">
        <v>4999</v>
      </c>
      <c r="I1213">
        <v>33</v>
      </c>
      <c r="J1213">
        <v>0</v>
      </c>
      <c r="K1213">
        <v>83.3</v>
      </c>
      <c r="L1213">
        <v>0.6</v>
      </c>
      <c r="M1213">
        <v>9.3000000000000007</v>
      </c>
      <c r="N1213">
        <v>72</v>
      </c>
      <c r="O1213" s="1" t="s">
        <v>1112</v>
      </c>
    </row>
    <row r="1214" spans="1:15">
      <c r="A1214" t="s">
        <v>1110</v>
      </c>
      <c r="B1214" t="s">
        <v>1111</v>
      </c>
      <c r="C1214" t="s">
        <v>1108</v>
      </c>
      <c r="D1214" t="s">
        <v>136</v>
      </c>
      <c r="E1214">
        <v>2025</v>
      </c>
      <c r="F1214">
        <v>8</v>
      </c>
      <c r="G1214">
        <v>15</v>
      </c>
      <c r="H1214">
        <v>7821</v>
      </c>
      <c r="I1214">
        <v>177</v>
      </c>
      <c r="J1214">
        <v>0</v>
      </c>
      <c r="K1214">
        <v>130.4</v>
      </c>
      <c r="L1214">
        <v>3</v>
      </c>
      <c r="M1214">
        <v>8.6999999999999993</v>
      </c>
      <c r="N1214">
        <v>120</v>
      </c>
      <c r="O1214" s="1" t="s">
        <v>335</v>
      </c>
    </row>
    <row r="1215" spans="1:15">
      <c r="A1215" t="s">
        <v>1113</v>
      </c>
      <c r="B1215" t="s">
        <v>1114</v>
      </c>
      <c r="C1215" t="s">
        <v>1108</v>
      </c>
      <c r="D1215" t="s">
        <v>136</v>
      </c>
      <c r="E1215">
        <v>2025</v>
      </c>
      <c r="F1215">
        <v>6</v>
      </c>
      <c r="G1215">
        <v>19</v>
      </c>
      <c r="H1215">
        <v>11712</v>
      </c>
      <c r="I1215">
        <v>1173</v>
      </c>
      <c r="J1215">
        <v>0</v>
      </c>
      <c r="K1215">
        <v>195.2</v>
      </c>
      <c r="L1215">
        <v>19.600000000000001</v>
      </c>
      <c r="M1215">
        <v>10.3</v>
      </c>
      <c r="N1215">
        <v>152</v>
      </c>
      <c r="O1215" s="1" t="s">
        <v>413</v>
      </c>
    </row>
    <row r="1216" spans="1:15">
      <c r="A1216" t="s">
        <v>1113</v>
      </c>
      <c r="B1216" t="s">
        <v>1114</v>
      </c>
      <c r="C1216" t="s">
        <v>1108</v>
      </c>
      <c r="D1216" t="s">
        <v>136</v>
      </c>
      <c r="E1216">
        <v>2025</v>
      </c>
      <c r="F1216">
        <v>7</v>
      </c>
      <c r="G1216">
        <v>18</v>
      </c>
      <c r="H1216">
        <v>10145</v>
      </c>
      <c r="I1216">
        <v>514</v>
      </c>
      <c r="J1216">
        <v>0</v>
      </c>
      <c r="K1216">
        <v>169.1</v>
      </c>
      <c r="L1216">
        <v>8.6</v>
      </c>
      <c r="M1216">
        <v>9.4</v>
      </c>
      <c r="N1216">
        <v>144</v>
      </c>
      <c r="O1216" s="1" t="s">
        <v>642</v>
      </c>
    </row>
    <row r="1217" spans="1:15">
      <c r="A1217" t="s">
        <v>1113</v>
      </c>
      <c r="B1217" t="s">
        <v>1114</v>
      </c>
      <c r="C1217" t="s">
        <v>1108</v>
      </c>
      <c r="D1217" t="s">
        <v>136</v>
      </c>
      <c r="E1217">
        <v>2025</v>
      </c>
      <c r="F1217">
        <v>8</v>
      </c>
      <c r="G1217">
        <v>15</v>
      </c>
      <c r="H1217">
        <v>8411</v>
      </c>
      <c r="I1217">
        <v>695</v>
      </c>
      <c r="J1217">
        <v>0</v>
      </c>
      <c r="K1217">
        <v>140.19999999999999</v>
      </c>
      <c r="L1217">
        <v>11.6</v>
      </c>
      <c r="M1217">
        <v>9.3000000000000007</v>
      </c>
      <c r="N1217">
        <v>120</v>
      </c>
      <c r="O1217" s="1" t="s">
        <v>734</v>
      </c>
    </row>
    <row r="1218" spans="1:15">
      <c r="A1218" t="s">
        <v>1115</v>
      </c>
      <c r="B1218" t="s">
        <v>1116</v>
      </c>
      <c r="C1218" t="s">
        <v>1108</v>
      </c>
      <c r="D1218" t="s">
        <v>136</v>
      </c>
      <c r="E1218">
        <v>2025</v>
      </c>
      <c r="F1218">
        <v>6</v>
      </c>
      <c r="G1218">
        <v>15</v>
      </c>
      <c r="H1218">
        <v>7996</v>
      </c>
      <c r="I1218">
        <v>527</v>
      </c>
      <c r="J1218">
        <v>0</v>
      </c>
      <c r="K1218">
        <v>133.30000000000001</v>
      </c>
      <c r="L1218">
        <v>8.8000000000000007</v>
      </c>
      <c r="M1218">
        <v>8.9</v>
      </c>
      <c r="N1218">
        <v>120</v>
      </c>
      <c r="O1218" s="1" t="s">
        <v>889</v>
      </c>
    </row>
    <row r="1219" spans="1:15">
      <c r="A1219" t="s">
        <v>1115</v>
      </c>
      <c r="B1219" t="s">
        <v>1116</v>
      </c>
      <c r="C1219" t="s">
        <v>1108</v>
      </c>
      <c r="D1219" t="s">
        <v>136</v>
      </c>
      <c r="E1219">
        <v>2025</v>
      </c>
      <c r="F1219">
        <v>7</v>
      </c>
      <c r="G1219">
        <v>21</v>
      </c>
      <c r="H1219">
        <v>7464</v>
      </c>
      <c r="I1219">
        <v>99</v>
      </c>
      <c r="J1219">
        <v>0</v>
      </c>
      <c r="K1219">
        <v>124.4</v>
      </c>
      <c r="L1219">
        <v>1.6</v>
      </c>
      <c r="M1219">
        <v>5.9</v>
      </c>
      <c r="N1219">
        <v>168</v>
      </c>
      <c r="O1219">
        <v>-43.6</v>
      </c>
    </row>
    <row r="1220" spans="1:15">
      <c r="A1220" t="s">
        <v>1115</v>
      </c>
      <c r="B1220" t="s">
        <v>1116</v>
      </c>
      <c r="C1220" t="s">
        <v>1108</v>
      </c>
      <c r="D1220" t="s">
        <v>136</v>
      </c>
      <c r="E1220">
        <v>2025</v>
      </c>
      <c r="F1220">
        <v>8</v>
      </c>
      <c r="G1220">
        <v>15</v>
      </c>
      <c r="H1220">
        <v>7747</v>
      </c>
      <c r="I1220">
        <v>107</v>
      </c>
      <c r="J1220">
        <v>0</v>
      </c>
      <c r="K1220">
        <v>129.1</v>
      </c>
      <c r="L1220">
        <v>1.8</v>
      </c>
      <c r="M1220">
        <v>8.6</v>
      </c>
      <c r="N1220">
        <v>120</v>
      </c>
      <c r="O1220" s="1" t="s">
        <v>1117</v>
      </c>
    </row>
    <row r="1221" spans="1:15">
      <c r="A1221" t="s">
        <v>1118</v>
      </c>
      <c r="B1221" t="s">
        <v>1119</v>
      </c>
      <c r="C1221" t="s">
        <v>1108</v>
      </c>
      <c r="D1221" t="s">
        <v>136</v>
      </c>
      <c r="E1221">
        <v>2025</v>
      </c>
      <c r="F1221">
        <v>6</v>
      </c>
      <c r="G1221">
        <v>19</v>
      </c>
      <c r="H1221">
        <v>10712</v>
      </c>
      <c r="I1221">
        <v>371</v>
      </c>
      <c r="J1221">
        <v>0</v>
      </c>
      <c r="K1221">
        <v>178.5</v>
      </c>
      <c r="L1221">
        <v>6.2</v>
      </c>
      <c r="M1221">
        <v>9.4</v>
      </c>
      <c r="N1221">
        <v>152</v>
      </c>
      <c r="O1221">
        <v>26.5</v>
      </c>
    </row>
    <row r="1222" spans="1:15">
      <c r="A1222" t="s">
        <v>1118</v>
      </c>
      <c r="B1222" t="s">
        <v>1119</v>
      </c>
      <c r="C1222" t="s">
        <v>1108</v>
      </c>
      <c r="D1222" t="s">
        <v>136</v>
      </c>
      <c r="E1222">
        <v>2025</v>
      </c>
      <c r="F1222">
        <v>7</v>
      </c>
      <c r="G1222">
        <v>22</v>
      </c>
      <c r="H1222">
        <v>12033</v>
      </c>
      <c r="I1222">
        <v>213</v>
      </c>
      <c r="J1222">
        <v>0</v>
      </c>
      <c r="K1222">
        <v>200.6</v>
      </c>
      <c r="L1222">
        <v>3.6</v>
      </c>
      <c r="M1222">
        <v>9.1</v>
      </c>
      <c r="N1222">
        <v>176</v>
      </c>
      <c r="O1222" s="1" t="s">
        <v>371</v>
      </c>
    </row>
    <row r="1223" spans="1:15">
      <c r="A1223" t="s">
        <v>1118</v>
      </c>
      <c r="B1223" t="s">
        <v>1119</v>
      </c>
      <c r="C1223" t="s">
        <v>1108</v>
      </c>
      <c r="D1223" t="s">
        <v>136</v>
      </c>
      <c r="E1223">
        <v>2025</v>
      </c>
      <c r="F1223">
        <v>8</v>
      </c>
      <c r="G1223">
        <v>12</v>
      </c>
      <c r="H1223">
        <v>6017</v>
      </c>
      <c r="I1223">
        <v>70</v>
      </c>
      <c r="J1223">
        <v>0</v>
      </c>
      <c r="K1223">
        <v>100.3</v>
      </c>
      <c r="L1223">
        <v>1.2</v>
      </c>
      <c r="M1223">
        <v>8.4</v>
      </c>
      <c r="N1223">
        <v>96</v>
      </c>
      <c r="O1223" s="1" t="s">
        <v>1120</v>
      </c>
    </row>
    <row r="1224" spans="1:15">
      <c r="A1224" t="s">
        <v>1121</v>
      </c>
      <c r="B1224" t="s">
        <v>1122</v>
      </c>
      <c r="C1224" t="s">
        <v>1108</v>
      </c>
      <c r="D1224" t="s">
        <v>194</v>
      </c>
      <c r="E1224">
        <v>2025</v>
      </c>
      <c r="F1224">
        <v>6</v>
      </c>
      <c r="G1224">
        <v>17</v>
      </c>
      <c r="H1224">
        <v>9867</v>
      </c>
      <c r="I1224">
        <v>358</v>
      </c>
      <c r="J1224">
        <v>0</v>
      </c>
      <c r="K1224">
        <v>164.4</v>
      </c>
      <c r="L1224">
        <v>6</v>
      </c>
      <c r="M1224">
        <v>9.6999999999999993</v>
      </c>
      <c r="N1224">
        <v>136</v>
      </c>
      <c r="O1224" s="1" t="s">
        <v>994</v>
      </c>
    </row>
    <row r="1225" spans="1:15">
      <c r="A1225" t="s">
        <v>1121</v>
      </c>
      <c r="B1225" t="s">
        <v>1122</v>
      </c>
      <c r="C1225" t="s">
        <v>1108</v>
      </c>
      <c r="D1225" t="s">
        <v>194</v>
      </c>
      <c r="E1225">
        <v>2025</v>
      </c>
      <c r="F1225">
        <v>7</v>
      </c>
      <c r="G1225">
        <v>22</v>
      </c>
      <c r="H1225">
        <v>12019</v>
      </c>
      <c r="I1225">
        <v>99</v>
      </c>
      <c r="J1225">
        <v>0</v>
      </c>
      <c r="K1225">
        <v>200.3</v>
      </c>
      <c r="L1225">
        <v>1.6</v>
      </c>
      <c r="M1225">
        <v>9.1</v>
      </c>
      <c r="N1225">
        <v>176</v>
      </c>
      <c r="O1225" s="1" t="s">
        <v>277</v>
      </c>
    </row>
    <row r="1226" spans="1:15">
      <c r="A1226" t="s">
        <v>1121</v>
      </c>
      <c r="B1226" t="s">
        <v>1122</v>
      </c>
      <c r="C1226" t="s">
        <v>1108</v>
      </c>
      <c r="D1226" t="s">
        <v>194</v>
      </c>
      <c r="E1226">
        <v>2025</v>
      </c>
      <c r="F1226">
        <v>8</v>
      </c>
      <c r="G1226">
        <v>17</v>
      </c>
      <c r="H1226">
        <v>8722</v>
      </c>
      <c r="I1226">
        <v>140</v>
      </c>
      <c r="J1226">
        <v>0</v>
      </c>
      <c r="K1226">
        <v>145.4</v>
      </c>
      <c r="L1226">
        <v>2.2999999999999998</v>
      </c>
      <c r="M1226">
        <v>8.6</v>
      </c>
      <c r="N1226">
        <v>136</v>
      </c>
      <c r="O1226" s="1" t="s">
        <v>1123</v>
      </c>
    </row>
    <row r="1227" spans="1:15">
      <c r="A1227" t="s">
        <v>1124</v>
      </c>
      <c r="B1227" t="s">
        <v>1125</v>
      </c>
      <c r="C1227" t="s">
        <v>981</v>
      </c>
      <c r="D1227" t="s">
        <v>194</v>
      </c>
      <c r="E1227">
        <v>2025</v>
      </c>
      <c r="F1227">
        <v>6</v>
      </c>
      <c r="G1227">
        <v>19</v>
      </c>
      <c r="H1227">
        <v>10257</v>
      </c>
      <c r="I1227">
        <v>0</v>
      </c>
      <c r="J1227">
        <v>0</v>
      </c>
      <c r="K1227">
        <v>171</v>
      </c>
      <c r="L1227">
        <v>0</v>
      </c>
      <c r="M1227">
        <v>9</v>
      </c>
      <c r="N1227">
        <v>152</v>
      </c>
      <c r="O1227">
        <v>19</v>
      </c>
    </row>
    <row r="1228" spans="1:15">
      <c r="A1228" t="s">
        <v>1124</v>
      </c>
      <c r="B1228" t="s">
        <v>1125</v>
      </c>
      <c r="C1228" t="s">
        <v>981</v>
      </c>
      <c r="D1228" t="s">
        <v>194</v>
      </c>
      <c r="E1228">
        <v>2025</v>
      </c>
      <c r="F1228">
        <v>7</v>
      </c>
      <c r="G1228">
        <v>18</v>
      </c>
      <c r="H1228">
        <v>9724</v>
      </c>
      <c r="I1228">
        <v>0</v>
      </c>
      <c r="J1228">
        <v>0</v>
      </c>
      <c r="K1228">
        <v>162.1</v>
      </c>
      <c r="L1228">
        <v>0</v>
      </c>
      <c r="M1228">
        <v>9</v>
      </c>
      <c r="N1228">
        <v>144</v>
      </c>
      <c r="O1228" s="1" t="s">
        <v>1126</v>
      </c>
    </row>
    <row r="1229" spans="1:15">
      <c r="A1229" t="s">
        <v>1124</v>
      </c>
      <c r="B1229" t="s">
        <v>1125</v>
      </c>
      <c r="C1229" t="s">
        <v>981</v>
      </c>
      <c r="D1229" t="s">
        <v>194</v>
      </c>
      <c r="E1229">
        <v>2025</v>
      </c>
      <c r="F1229">
        <v>8</v>
      </c>
      <c r="G1229">
        <v>15</v>
      </c>
      <c r="H1229">
        <v>8154</v>
      </c>
      <c r="I1229">
        <v>0</v>
      </c>
      <c r="J1229">
        <v>0</v>
      </c>
      <c r="K1229">
        <v>135.9</v>
      </c>
      <c r="L1229">
        <v>0</v>
      </c>
      <c r="M1229">
        <v>9.1</v>
      </c>
      <c r="N1229">
        <v>120</v>
      </c>
      <c r="O1229" s="1" t="s">
        <v>333</v>
      </c>
    </row>
    <row r="1230" spans="1:15">
      <c r="A1230" t="s">
        <v>1127</v>
      </c>
      <c r="B1230" t="s">
        <v>1128</v>
      </c>
      <c r="C1230" t="s">
        <v>182</v>
      </c>
      <c r="D1230" t="s">
        <v>20</v>
      </c>
      <c r="E1230">
        <v>2025</v>
      </c>
      <c r="F1230">
        <v>6</v>
      </c>
      <c r="G1230">
        <v>17</v>
      </c>
      <c r="H1230">
        <v>9760</v>
      </c>
      <c r="I1230">
        <v>977</v>
      </c>
      <c r="J1230">
        <v>0</v>
      </c>
      <c r="K1230">
        <v>162.69999999999999</v>
      </c>
      <c r="L1230">
        <v>16.3</v>
      </c>
      <c r="M1230">
        <v>9.6</v>
      </c>
      <c r="N1230">
        <v>136</v>
      </c>
      <c r="O1230" s="1" t="s">
        <v>244</v>
      </c>
    </row>
    <row r="1231" spans="1:15">
      <c r="A1231" t="s">
        <v>1127</v>
      </c>
      <c r="B1231" t="s">
        <v>1128</v>
      </c>
      <c r="C1231" t="s">
        <v>182</v>
      </c>
      <c r="D1231" t="s">
        <v>20</v>
      </c>
      <c r="E1231">
        <v>2025</v>
      </c>
      <c r="F1231">
        <v>7</v>
      </c>
      <c r="G1231">
        <v>15</v>
      </c>
      <c r="H1231">
        <v>9415</v>
      </c>
      <c r="I1231">
        <v>838</v>
      </c>
      <c r="J1231">
        <v>0</v>
      </c>
      <c r="K1231">
        <v>156.9</v>
      </c>
      <c r="L1231">
        <v>14</v>
      </c>
      <c r="M1231">
        <v>10.5</v>
      </c>
      <c r="N1231">
        <v>120</v>
      </c>
      <c r="O1231" s="1" t="s">
        <v>429</v>
      </c>
    </row>
    <row r="1232" spans="1:15">
      <c r="A1232" t="s">
        <v>1127</v>
      </c>
      <c r="B1232" t="s">
        <v>1128</v>
      </c>
      <c r="C1232" t="s">
        <v>182</v>
      </c>
      <c r="D1232" t="s">
        <v>20</v>
      </c>
      <c r="E1232">
        <v>2025</v>
      </c>
      <c r="F1232">
        <v>8</v>
      </c>
      <c r="G1232">
        <v>17</v>
      </c>
      <c r="H1232">
        <v>10249</v>
      </c>
      <c r="I1232">
        <v>678</v>
      </c>
      <c r="J1232">
        <v>1</v>
      </c>
      <c r="K1232">
        <v>170.8</v>
      </c>
      <c r="L1232">
        <v>11.3</v>
      </c>
      <c r="M1232">
        <v>10</v>
      </c>
      <c r="N1232">
        <v>128</v>
      </c>
      <c r="O1232" s="1" t="s">
        <v>490</v>
      </c>
    </row>
    <row r="1233" spans="1:15">
      <c r="A1233" t="s">
        <v>1129</v>
      </c>
      <c r="B1233" t="s">
        <v>1130</v>
      </c>
      <c r="C1233" t="s">
        <v>622</v>
      </c>
      <c r="D1233" t="s">
        <v>136</v>
      </c>
      <c r="E1233">
        <v>2025</v>
      </c>
      <c r="F1233">
        <v>6</v>
      </c>
      <c r="G1233">
        <v>19</v>
      </c>
      <c r="H1233">
        <v>10979</v>
      </c>
      <c r="I1233">
        <v>140</v>
      </c>
      <c r="J1233">
        <v>0</v>
      </c>
      <c r="K1233">
        <v>183</v>
      </c>
      <c r="L1233">
        <v>2.2999999999999998</v>
      </c>
      <c r="M1233">
        <v>9.6</v>
      </c>
      <c r="N1233">
        <v>152</v>
      </c>
      <c r="O1233">
        <v>31</v>
      </c>
    </row>
    <row r="1234" spans="1:15">
      <c r="A1234" t="s">
        <v>1129</v>
      </c>
      <c r="B1234" t="s">
        <v>1130</v>
      </c>
      <c r="C1234" t="s">
        <v>622</v>
      </c>
      <c r="D1234" t="s">
        <v>136</v>
      </c>
      <c r="E1234">
        <v>2025</v>
      </c>
      <c r="F1234">
        <v>7</v>
      </c>
      <c r="G1234">
        <v>19</v>
      </c>
      <c r="H1234">
        <v>10950</v>
      </c>
      <c r="I1234">
        <v>38</v>
      </c>
      <c r="J1234">
        <v>0</v>
      </c>
      <c r="K1234">
        <v>182.5</v>
      </c>
      <c r="L1234">
        <v>0.6</v>
      </c>
      <c r="M1234">
        <v>9.6</v>
      </c>
      <c r="N1234">
        <v>152</v>
      </c>
      <c r="O1234">
        <v>30.5</v>
      </c>
    </row>
    <row r="1235" spans="1:15">
      <c r="A1235" t="s">
        <v>1129</v>
      </c>
      <c r="B1235" t="s">
        <v>1130</v>
      </c>
      <c r="C1235" t="s">
        <v>622</v>
      </c>
      <c r="D1235" t="s">
        <v>136</v>
      </c>
      <c r="E1235">
        <v>2025</v>
      </c>
      <c r="F1235">
        <v>8</v>
      </c>
      <c r="G1235">
        <v>16</v>
      </c>
      <c r="H1235">
        <v>8697</v>
      </c>
      <c r="I1235">
        <v>0</v>
      </c>
      <c r="J1235">
        <v>0</v>
      </c>
      <c r="K1235">
        <v>145</v>
      </c>
      <c r="L1235">
        <v>0</v>
      </c>
      <c r="M1235">
        <v>9.1</v>
      </c>
      <c r="N1235">
        <v>128</v>
      </c>
      <c r="O1235">
        <v>17</v>
      </c>
    </row>
    <row r="1236" spans="1:15">
      <c r="A1236" t="s">
        <v>1131</v>
      </c>
      <c r="B1236" t="s">
        <v>1132</v>
      </c>
      <c r="C1236" t="s">
        <v>700</v>
      </c>
      <c r="D1236" t="s">
        <v>136</v>
      </c>
      <c r="E1236">
        <v>2025</v>
      </c>
      <c r="F1236">
        <v>6</v>
      </c>
      <c r="G1236">
        <v>16</v>
      </c>
      <c r="H1236">
        <v>8588</v>
      </c>
      <c r="I1236">
        <v>321</v>
      </c>
      <c r="J1236">
        <v>0</v>
      </c>
      <c r="K1236">
        <v>143.1</v>
      </c>
      <c r="L1236">
        <v>5.4</v>
      </c>
      <c r="M1236">
        <v>8.9</v>
      </c>
      <c r="N1236">
        <v>128</v>
      </c>
      <c r="O1236" s="1" t="s">
        <v>1133</v>
      </c>
    </row>
    <row r="1237" spans="1:15">
      <c r="A1237" t="s">
        <v>1131</v>
      </c>
      <c r="B1237" t="s">
        <v>1132</v>
      </c>
      <c r="C1237" t="s">
        <v>700</v>
      </c>
      <c r="D1237" t="s">
        <v>136</v>
      </c>
      <c r="E1237">
        <v>2025</v>
      </c>
      <c r="F1237">
        <v>7</v>
      </c>
      <c r="G1237">
        <v>21</v>
      </c>
      <c r="H1237">
        <v>11178</v>
      </c>
      <c r="I1237">
        <v>549</v>
      </c>
      <c r="J1237">
        <v>2</v>
      </c>
      <c r="K1237">
        <v>186.3</v>
      </c>
      <c r="L1237">
        <v>9.1999999999999993</v>
      </c>
      <c r="M1237">
        <v>8.9</v>
      </c>
      <c r="N1237">
        <v>152</v>
      </c>
      <c r="O1237" s="1" t="s">
        <v>389</v>
      </c>
    </row>
    <row r="1238" spans="1:15">
      <c r="A1238" t="s">
        <v>1131</v>
      </c>
      <c r="B1238" t="s">
        <v>1132</v>
      </c>
      <c r="C1238" t="s">
        <v>700</v>
      </c>
      <c r="D1238" t="s">
        <v>136</v>
      </c>
      <c r="E1238">
        <v>2025</v>
      </c>
      <c r="F1238">
        <v>8</v>
      </c>
      <c r="G1238">
        <v>15</v>
      </c>
      <c r="H1238">
        <v>8032</v>
      </c>
      <c r="I1238">
        <v>353</v>
      </c>
      <c r="J1238">
        <v>0</v>
      </c>
      <c r="K1238">
        <v>133.9</v>
      </c>
      <c r="L1238">
        <v>5.9</v>
      </c>
      <c r="M1238">
        <v>8.9</v>
      </c>
      <c r="N1238">
        <v>120</v>
      </c>
      <c r="O1238" s="1" t="s">
        <v>584</v>
      </c>
    </row>
    <row r="1239" spans="1:15">
      <c r="A1239" t="s">
        <v>1134</v>
      </c>
      <c r="B1239" t="s">
        <v>1135</v>
      </c>
      <c r="C1239" t="s">
        <v>709</v>
      </c>
      <c r="D1239" t="s">
        <v>20</v>
      </c>
      <c r="E1239">
        <v>2025</v>
      </c>
      <c r="F1239">
        <v>6</v>
      </c>
      <c r="G1239">
        <v>30</v>
      </c>
      <c r="H1239">
        <v>43168</v>
      </c>
      <c r="I1239">
        <v>0</v>
      </c>
      <c r="J1239">
        <v>9</v>
      </c>
      <c r="K1239">
        <v>719.5</v>
      </c>
      <c r="L1239">
        <v>0</v>
      </c>
      <c r="M1239">
        <v>24</v>
      </c>
      <c r="N1239">
        <v>168</v>
      </c>
      <c r="O1239">
        <v>551.5</v>
      </c>
    </row>
    <row r="1240" spans="1:15">
      <c r="A1240" t="s">
        <v>1134</v>
      </c>
      <c r="B1240" t="s">
        <v>1135</v>
      </c>
      <c r="C1240" t="s">
        <v>709</v>
      </c>
      <c r="D1240" t="s">
        <v>20</v>
      </c>
      <c r="E1240">
        <v>2025</v>
      </c>
      <c r="F1240">
        <v>7</v>
      </c>
      <c r="G1240">
        <v>31</v>
      </c>
      <c r="H1240">
        <v>44609</v>
      </c>
      <c r="I1240">
        <v>0</v>
      </c>
      <c r="J1240">
        <v>8</v>
      </c>
      <c r="K1240">
        <v>743.5</v>
      </c>
      <c r="L1240">
        <v>0</v>
      </c>
      <c r="M1240">
        <v>24</v>
      </c>
      <c r="N1240">
        <v>184</v>
      </c>
      <c r="O1240">
        <v>559.5</v>
      </c>
    </row>
    <row r="1241" spans="1:15">
      <c r="A1241" t="s">
        <v>1134</v>
      </c>
      <c r="B1241" t="s">
        <v>1135</v>
      </c>
      <c r="C1241" t="s">
        <v>709</v>
      </c>
      <c r="D1241" t="s">
        <v>20</v>
      </c>
      <c r="E1241">
        <v>2025</v>
      </c>
      <c r="F1241">
        <v>8</v>
      </c>
      <c r="G1241">
        <v>26</v>
      </c>
      <c r="H1241">
        <v>36912</v>
      </c>
      <c r="I1241">
        <v>0</v>
      </c>
      <c r="J1241">
        <v>8</v>
      </c>
      <c r="K1241">
        <v>615.20000000000005</v>
      </c>
      <c r="L1241">
        <v>0</v>
      </c>
      <c r="M1241">
        <v>23.7</v>
      </c>
      <c r="N1241">
        <v>144</v>
      </c>
      <c r="O1241" s="1" t="s">
        <v>1136</v>
      </c>
    </row>
    <row r="1242" spans="1:15">
      <c r="A1242" t="s">
        <v>1137</v>
      </c>
      <c r="B1242" t="s">
        <v>1138</v>
      </c>
      <c r="C1242" t="s">
        <v>781</v>
      </c>
      <c r="D1242" t="s">
        <v>194</v>
      </c>
      <c r="E1242">
        <v>2025</v>
      </c>
      <c r="F1242">
        <v>6</v>
      </c>
      <c r="G1242">
        <v>18</v>
      </c>
      <c r="H1242">
        <v>10216</v>
      </c>
      <c r="I1242">
        <v>61</v>
      </c>
      <c r="J1242">
        <v>0</v>
      </c>
      <c r="K1242">
        <v>170.3</v>
      </c>
      <c r="L1242">
        <v>1</v>
      </c>
      <c r="M1242">
        <v>9.5</v>
      </c>
      <c r="N1242">
        <v>144</v>
      </c>
      <c r="O1242" s="1" t="s">
        <v>435</v>
      </c>
    </row>
    <row r="1243" spans="1:15">
      <c r="A1243" t="s">
        <v>1137</v>
      </c>
      <c r="B1243" t="s">
        <v>1138</v>
      </c>
      <c r="C1243" t="s">
        <v>781</v>
      </c>
      <c r="D1243" t="s">
        <v>194</v>
      </c>
      <c r="E1243">
        <v>2025</v>
      </c>
      <c r="F1243">
        <v>7</v>
      </c>
      <c r="G1243">
        <v>18</v>
      </c>
      <c r="H1243">
        <v>10007</v>
      </c>
      <c r="I1243">
        <v>24</v>
      </c>
      <c r="J1243">
        <v>0</v>
      </c>
      <c r="K1243">
        <v>166.8</v>
      </c>
      <c r="L1243">
        <v>0.4</v>
      </c>
      <c r="M1243">
        <v>9.3000000000000007</v>
      </c>
      <c r="N1243">
        <v>144</v>
      </c>
      <c r="O1243" s="1" t="s">
        <v>290</v>
      </c>
    </row>
    <row r="1244" spans="1:15">
      <c r="A1244" t="s">
        <v>1137</v>
      </c>
      <c r="B1244" t="s">
        <v>1138</v>
      </c>
      <c r="C1244" t="s">
        <v>781</v>
      </c>
      <c r="D1244" t="s">
        <v>194</v>
      </c>
      <c r="E1244">
        <v>2025</v>
      </c>
      <c r="F1244">
        <v>8</v>
      </c>
      <c r="G1244">
        <v>16</v>
      </c>
      <c r="H1244">
        <v>8603</v>
      </c>
      <c r="I1244">
        <v>251</v>
      </c>
      <c r="J1244">
        <v>0</v>
      </c>
      <c r="K1244">
        <v>143.4</v>
      </c>
      <c r="L1244">
        <v>4.2</v>
      </c>
      <c r="M1244">
        <v>9</v>
      </c>
      <c r="N1244">
        <v>128</v>
      </c>
      <c r="O1244" s="1" t="s">
        <v>23</v>
      </c>
    </row>
    <row r="1245" spans="1:15">
      <c r="A1245" t="s">
        <v>1139</v>
      </c>
      <c r="B1245" t="s">
        <v>1140</v>
      </c>
      <c r="C1245" t="s">
        <v>933</v>
      </c>
      <c r="D1245" t="s">
        <v>194</v>
      </c>
      <c r="E1245">
        <v>2025</v>
      </c>
      <c r="F1245">
        <v>6</v>
      </c>
      <c r="G1245">
        <v>16</v>
      </c>
      <c r="H1245">
        <v>8645</v>
      </c>
      <c r="I1245">
        <v>240</v>
      </c>
      <c r="J1245">
        <v>0</v>
      </c>
      <c r="K1245">
        <v>144.1</v>
      </c>
      <c r="L1245">
        <v>4</v>
      </c>
      <c r="M1245">
        <v>9</v>
      </c>
      <c r="N1245">
        <v>128</v>
      </c>
      <c r="O1245" s="1" t="s">
        <v>57</v>
      </c>
    </row>
    <row r="1246" spans="1:15">
      <c r="A1246" t="s">
        <v>1139</v>
      </c>
      <c r="B1246" t="s">
        <v>1140</v>
      </c>
      <c r="C1246" t="s">
        <v>933</v>
      </c>
      <c r="D1246" t="s">
        <v>194</v>
      </c>
      <c r="E1246">
        <v>2025</v>
      </c>
      <c r="F1246">
        <v>7</v>
      </c>
      <c r="G1246">
        <v>16</v>
      </c>
      <c r="H1246">
        <v>8615</v>
      </c>
      <c r="I1246">
        <v>120</v>
      </c>
      <c r="J1246">
        <v>0</v>
      </c>
      <c r="K1246">
        <v>143.6</v>
      </c>
      <c r="L1246">
        <v>2</v>
      </c>
      <c r="M1246">
        <v>9</v>
      </c>
      <c r="N1246">
        <v>128</v>
      </c>
      <c r="O1246" s="1" t="s">
        <v>832</v>
      </c>
    </row>
    <row r="1247" spans="1:15">
      <c r="A1247" t="s">
        <v>1139</v>
      </c>
      <c r="B1247" t="s">
        <v>1140</v>
      </c>
      <c r="C1247" t="s">
        <v>933</v>
      </c>
      <c r="D1247" t="s">
        <v>194</v>
      </c>
      <c r="E1247">
        <v>2025</v>
      </c>
      <c r="F1247">
        <v>8</v>
      </c>
      <c r="G1247">
        <v>13</v>
      </c>
      <c r="H1247">
        <v>6970</v>
      </c>
      <c r="I1247">
        <v>300</v>
      </c>
      <c r="J1247">
        <v>0</v>
      </c>
      <c r="K1247">
        <v>116.2</v>
      </c>
      <c r="L1247">
        <v>5</v>
      </c>
      <c r="M1247">
        <v>8.9</v>
      </c>
      <c r="N1247">
        <v>104</v>
      </c>
      <c r="O1247" s="1" t="s">
        <v>1141</v>
      </c>
    </row>
    <row r="1248" spans="1:15">
      <c r="A1248" t="s">
        <v>1142</v>
      </c>
      <c r="B1248" t="s">
        <v>1143</v>
      </c>
      <c r="C1248" t="s">
        <v>1144</v>
      </c>
      <c r="D1248" t="s">
        <v>194</v>
      </c>
      <c r="E1248">
        <v>2025</v>
      </c>
      <c r="F1248">
        <v>6</v>
      </c>
      <c r="G1248">
        <v>18</v>
      </c>
      <c r="H1248">
        <v>9987</v>
      </c>
      <c r="I1248">
        <v>35</v>
      </c>
      <c r="J1248">
        <v>0</v>
      </c>
      <c r="K1248">
        <v>166.4</v>
      </c>
      <c r="L1248">
        <v>0.6</v>
      </c>
      <c r="M1248">
        <v>9.1999999999999993</v>
      </c>
      <c r="N1248">
        <v>144</v>
      </c>
      <c r="O1248" s="1" t="s">
        <v>373</v>
      </c>
    </row>
    <row r="1249" spans="1:15">
      <c r="A1249" t="s">
        <v>1142</v>
      </c>
      <c r="B1249" t="s">
        <v>1143</v>
      </c>
      <c r="C1249" t="s">
        <v>1144</v>
      </c>
      <c r="D1249" t="s">
        <v>194</v>
      </c>
      <c r="E1249">
        <v>2025</v>
      </c>
      <c r="F1249">
        <v>7</v>
      </c>
      <c r="G1249">
        <v>19</v>
      </c>
      <c r="H1249">
        <v>10448</v>
      </c>
      <c r="I1249">
        <v>0</v>
      </c>
      <c r="J1249">
        <v>0</v>
      </c>
      <c r="K1249">
        <v>174.1</v>
      </c>
      <c r="L1249">
        <v>0</v>
      </c>
      <c r="M1249">
        <v>9.1999999999999993</v>
      </c>
      <c r="N1249">
        <v>152</v>
      </c>
      <c r="O1249" s="1" t="s">
        <v>203</v>
      </c>
    </row>
    <row r="1250" spans="1:15">
      <c r="A1250" t="s">
        <v>1142</v>
      </c>
      <c r="B1250" t="s">
        <v>1143</v>
      </c>
      <c r="C1250" t="s">
        <v>1144</v>
      </c>
      <c r="D1250" t="s">
        <v>194</v>
      </c>
      <c r="E1250">
        <v>2025</v>
      </c>
      <c r="F1250">
        <v>8</v>
      </c>
      <c r="G1250">
        <v>15</v>
      </c>
      <c r="H1250">
        <v>7949</v>
      </c>
      <c r="I1250">
        <v>8</v>
      </c>
      <c r="J1250">
        <v>0</v>
      </c>
      <c r="K1250">
        <v>132.5</v>
      </c>
      <c r="L1250">
        <v>0.1</v>
      </c>
      <c r="M1250">
        <v>8.8000000000000007</v>
      </c>
      <c r="N1250">
        <v>120</v>
      </c>
      <c r="O1250">
        <v>12.5</v>
      </c>
    </row>
    <row r="1251" spans="1:15">
      <c r="A1251" t="s">
        <v>1145</v>
      </c>
      <c r="B1251" t="s">
        <v>1146</v>
      </c>
      <c r="C1251" t="s">
        <v>1144</v>
      </c>
      <c r="D1251" t="s">
        <v>194</v>
      </c>
      <c r="E1251">
        <v>2025</v>
      </c>
      <c r="F1251">
        <v>6</v>
      </c>
      <c r="G1251">
        <v>22</v>
      </c>
      <c r="H1251">
        <v>11443</v>
      </c>
      <c r="I1251">
        <v>0</v>
      </c>
      <c r="J1251">
        <v>3</v>
      </c>
      <c r="K1251">
        <v>190.7</v>
      </c>
      <c r="L1251">
        <v>0</v>
      </c>
      <c r="M1251">
        <v>8.6999999999999993</v>
      </c>
      <c r="N1251">
        <v>152</v>
      </c>
      <c r="O1251" s="1" t="s">
        <v>123</v>
      </c>
    </row>
    <row r="1252" spans="1:15">
      <c r="A1252" t="s">
        <v>1145</v>
      </c>
      <c r="B1252" t="s">
        <v>1146</v>
      </c>
      <c r="C1252" t="s">
        <v>1144</v>
      </c>
      <c r="D1252" t="s">
        <v>194</v>
      </c>
      <c r="E1252">
        <v>2025</v>
      </c>
      <c r="F1252">
        <v>7</v>
      </c>
      <c r="G1252">
        <v>18</v>
      </c>
      <c r="H1252">
        <v>9203</v>
      </c>
      <c r="I1252">
        <v>0</v>
      </c>
      <c r="J1252">
        <v>1</v>
      </c>
      <c r="K1252">
        <v>153.4</v>
      </c>
      <c r="L1252">
        <v>0</v>
      </c>
      <c r="M1252">
        <v>8.5</v>
      </c>
      <c r="N1252">
        <v>136</v>
      </c>
      <c r="O1252" s="1" t="s">
        <v>105</v>
      </c>
    </row>
    <row r="1253" spans="1:15">
      <c r="A1253" t="s">
        <v>1145</v>
      </c>
      <c r="B1253" t="s">
        <v>1146</v>
      </c>
      <c r="C1253" t="s">
        <v>1144</v>
      </c>
      <c r="D1253" t="s">
        <v>194</v>
      </c>
      <c r="E1253">
        <v>2025</v>
      </c>
      <c r="F1253">
        <v>8</v>
      </c>
      <c r="G1253">
        <v>16</v>
      </c>
      <c r="H1253">
        <v>8890</v>
      </c>
      <c r="I1253">
        <v>120</v>
      </c>
      <c r="J1253">
        <v>0</v>
      </c>
      <c r="K1253">
        <v>148.19999999999999</v>
      </c>
      <c r="L1253">
        <v>2</v>
      </c>
      <c r="M1253">
        <v>9.3000000000000007</v>
      </c>
      <c r="N1253">
        <v>128</v>
      </c>
      <c r="O1253" s="1" t="s">
        <v>734</v>
      </c>
    </row>
    <row r="1254" spans="1:15">
      <c r="A1254" t="s">
        <v>1147</v>
      </c>
      <c r="B1254" t="s">
        <v>1148</v>
      </c>
      <c r="C1254" t="s">
        <v>182</v>
      </c>
      <c r="D1254" t="s">
        <v>194</v>
      </c>
      <c r="E1254">
        <v>2025</v>
      </c>
      <c r="F1254">
        <v>6</v>
      </c>
      <c r="G1254">
        <v>19</v>
      </c>
      <c r="H1254">
        <v>10918</v>
      </c>
      <c r="I1254">
        <v>60</v>
      </c>
      <c r="J1254">
        <v>0</v>
      </c>
      <c r="K1254">
        <v>182</v>
      </c>
      <c r="L1254">
        <v>1</v>
      </c>
      <c r="M1254">
        <v>9.6</v>
      </c>
      <c r="N1254">
        <v>152</v>
      </c>
      <c r="O1254">
        <v>30</v>
      </c>
    </row>
    <row r="1255" spans="1:15">
      <c r="A1255" t="s">
        <v>1147</v>
      </c>
      <c r="B1255" t="s">
        <v>1148</v>
      </c>
      <c r="C1255" t="s">
        <v>182</v>
      </c>
      <c r="D1255" t="s">
        <v>194</v>
      </c>
      <c r="E1255">
        <v>2025</v>
      </c>
      <c r="F1255">
        <v>7</v>
      </c>
      <c r="G1255">
        <v>22</v>
      </c>
      <c r="H1255">
        <v>12514</v>
      </c>
      <c r="I1255">
        <v>28</v>
      </c>
      <c r="J1255">
        <v>0</v>
      </c>
      <c r="K1255">
        <v>208.6</v>
      </c>
      <c r="L1255">
        <v>0.5</v>
      </c>
      <c r="M1255">
        <v>9.5</v>
      </c>
      <c r="N1255">
        <v>176</v>
      </c>
      <c r="O1255" s="1" t="s">
        <v>70</v>
      </c>
    </row>
    <row r="1256" spans="1:15">
      <c r="A1256" t="s">
        <v>1147</v>
      </c>
      <c r="B1256" t="s">
        <v>1148</v>
      </c>
      <c r="C1256" t="s">
        <v>182</v>
      </c>
      <c r="D1256" t="s">
        <v>194</v>
      </c>
      <c r="E1256">
        <v>2025</v>
      </c>
      <c r="F1256">
        <v>8</v>
      </c>
      <c r="G1256">
        <v>12</v>
      </c>
      <c r="H1256">
        <v>6205</v>
      </c>
      <c r="I1256">
        <v>0</v>
      </c>
      <c r="J1256">
        <v>0</v>
      </c>
      <c r="K1256">
        <v>103.4</v>
      </c>
      <c r="L1256">
        <v>0</v>
      </c>
      <c r="M1256">
        <v>8.6</v>
      </c>
      <c r="N1256">
        <v>96</v>
      </c>
      <c r="O1256" s="1" t="s">
        <v>1062</v>
      </c>
    </row>
    <row r="1257" spans="1:15">
      <c r="A1257" t="s">
        <v>1149</v>
      </c>
      <c r="B1257" t="s">
        <v>1150</v>
      </c>
      <c r="C1257" t="s">
        <v>682</v>
      </c>
      <c r="D1257" t="s">
        <v>194</v>
      </c>
      <c r="E1257">
        <v>2025</v>
      </c>
      <c r="F1257">
        <v>6</v>
      </c>
      <c r="G1257">
        <v>19</v>
      </c>
      <c r="H1257">
        <v>12166</v>
      </c>
      <c r="I1257">
        <v>1561</v>
      </c>
      <c r="J1257">
        <v>0</v>
      </c>
      <c r="K1257">
        <v>202.8</v>
      </c>
      <c r="L1257">
        <v>26</v>
      </c>
      <c r="M1257">
        <v>10.7</v>
      </c>
      <c r="N1257">
        <v>152</v>
      </c>
      <c r="O1257" s="1" t="s">
        <v>1151</v>
      </c>
    </row>
    <row r="1258" spans="1:15">
      <c r="A1258" t="s">
        <v>1149</v>
      </c>
      <c r="B1258" t="s">
        <v>1150</v>
      </c>
      <c r="C1258" t="s">
        <v>682</v>
      </c>
      <c r="D1258" t="s">
        <v>194</v>
      </c>
      <c r="E1258">
        <v>2025</v>
      </c>
      <c r="F1258">
        <v>7</v>
      </c>
      <c r="G1258">
        <v>19</v>
      </c>
      <c r="H1258">
        <v>10725</v>
      </c>
      <c r="I1258">
        <v>696</v>
      </c>
      <c r="J1258">
        <v>0</v>
      </c>
      <c r="K1258">
        <v>178.8</v>
      </c>
      <c r="L1258">
        <v>11.6</v>
      </c>
      <c r="M1258">
        <v>9.4</v>
      </c>
      <c r="N1258">
        <v>152</v>
      </c>
      <c r="O1258" s="1" t="s">
        <v>480</v>
      </c>
    </row>
    <row r="1259" spans="1:15">
      <c r="A1259" t="s">
        <v>1149</v>
      </c>
      <c r="B1259" t="s">
        <v>1150</v>
      </c>
      <c r="C1259" t="s">
        <v>682</v>
      </c>
      <c r="D1259" t="s">
        <v>194</v>
      </c>
      <c r="E1259">
        <v>2025</v>
      </c>
      <c r="F1259">
        <v>8</v>
      </c>
      <c r="G1259">
        <v>15</v>
      </c>
      <c r="H1259">
        <v>9814</v>
      </c>
      <c r="I1259">
        <v>1781</v>
      </c>
      <c r="J1259">
        <v>0</v>
      </c>
      <c r="K1259">
        <v>163.6</v>
      </c>
      <c r="L1259">
        <v>29.7</v>
      </c>
      <c r="M1259">
        <v>10.9</v>
      </c>
      <c r="N1259">
        <v>120</v>
      </c>
      <c r="O1259" s="1" t="s">
        <v>243</v>
      </c>
    </row>
    <row r="1260" spans="1:15">
      <c r="A1260" t="s">
        <v>1152</v>
      </c>
      <c r="B1260" t="s">
        <v>1153</v>
      </c>
      <c r="C1260" t="s">
        <v>682</v>
      </c>
      <c r="D1260" t="s">
        <v>194</v>
      </c>
      <c r="E1260">
        <v>2025</v>
      </c>
      <c r="F1260">
        <v>6</v>
      </c>
      <c r="G1260">
        <v>19</v>
      </c>
      <c r="H1260">
        <v>10450</v>
      </c>
      <c r="I1260">
        <v>947</v>
      </c>
      <c r="J1260">
        <v>0</v>
      </c>
      <c r="K1260">
        <v>174.2</v>
      </c>
      <c r="L1260">
        <v>15.8</v>
      </c>
      <c r="M1260">
        <v>9.1999999999999993</v>
      </c>
      <c r="N1260">
        <v>152</v>
      </c>
      <c r="O1260" s="1" t="s">
        <v>616</v>
      </c>
    </row>
    <row r="1261" spans="1:15">
      <c r="A1261" t="s">
        <v>1152</v>
      </c>
      <c r="B1261" t="s">
        <v>1153</v>
      </c>
      <c r="C1261" t="s">
        <v>682</v>
      </c>
      <c r="D1261" t="s">
        <v>194</v>
      </c>
      <c r="E1261">
        <v>2025</v>
      </c>
      <c r="F1261">
        <v>7</v>
      </c>
      <c r="G1261">
        <v>18</v>
      </c>
      <c r="H1261">
        <v>9532</v>
      </c>
      <c r="I1261">
        <v>581</v>
      </c>
      <c r="J1261">
        <v>0</v>
      </c>
      <c r="K1261">
        <v>158.9</v>
      </c>
      <c r="L1261">
        <v>9.6999999999999993</v>
      </c>
      <c r="M1261">
        <v>8.8000000000000007</v>
      </c>
      <c r="N1261">
        <v>144</v>
      </c>
      <c r="O1261" s="1" t="s">
        <v>377</v>
      </c>
    </row>
    <row r="1262" spans="1:15">
      <c r="A1262" t="s">
        <v>1152</v>
      </c>
      <c r="B1262" t="s">
        <v>1153</v>
      </c>
      <c r="C1262" t="s">
        <v>682</v>
      </c>
      <c r="D1262" t="s">
        <v>194</v>
      </c>
      <c r="E1262">
        <v>2025</v>
      </c>
      <c r="F1262">
        <v>8</v>
      </c>
      <c r="G1262">
        <v>16</v>
      </c>
      <c r="H1262">
        <v>8766</v>
      </c>
      <c r="I1262">
        <v>590</v>
      </c>
      <c r="J1262">
        <v>0</v>
      </c>
      <c r="K1262">
        <v>146.1</v>
      </c>
      <c r="L1262">
        <v>9.8000000000000007</v>
      </c>
      <c r="M1262">
        <v>9.1</v>
      </c>
      <c r="N1262">
        <v>128</v>
      </c>
      <c r="O1262" s="1" t="s">
        <v>1126</v>
      </c>
    </row>
    <row r="1263" spans="1:15">
      <c r="A1263" t="s">
        <v>1154</v>
      </c>
      <c r="B1263" t="s">
        <v>1155</v>
      </c>
      <c r="C1263" t="s">
        <v>886</v>
      </c>
      <c r="D1263" t="s">
        <v>194</v>
      </c>
      <c r="E1263">
        <v>2025</v>
      </c>
      <c r="F1263">
        <v>6</v>
      </c>
      <c r="G1263">
        <v>18</v>
      </c>
      <c r="H1263">
        <v>10188</v>
      </c>
      <c r="I1263">
        <v>173</v>
      </c>
      <c r="J1263">
        <v>0</v>
      </c>
      <c r="K1263">
        <v>169.8</v>
      </c>
      <c r="L1263">
        <v>2.9</v>
      </c>
      <c r="M1263">
        <v>9.4</v>
      </c>
      <c r="N1263">
        <v>144</v>
      </c>
      <c r="O1263" s="1" t="s">
        <v>104</v>
      </c>
    </row>
    <row r="1264" spans="1:15">
      <c r="A1264" t="s">
        <v>1154</v>
      </c>
      <c r="B1264" t="s">
        <v>1155</v>
      </c>
      <c r="C1264" t="s">
        <v>886</v>
      </c>
      <c r="D1264" t="s">
        <v>194</v>
      </c>
      <c r="E1264">
        <v>2025</v>
      </c>
      <c r="F1264">
        <v>7</v>
      </c>
      <c r="G1264">
        <v>19</v>
      </c>
      <c r="H1264">
        <v>10316</v>
      </c>
      <c r="I1264">
        <v>417</v>
      </c>
      <c r="J1264">
        <v>0</v>
      </c>
      <c r="K1264">
        <v>171.9</v>
      </c>
      <c r="L1264">
        <v>7</v>
      </c>
      <c r="M1264">
        <v>9</v>
      </c>
      <c r="N1264">
        <v>152</v>
      </c>
      <c r="O1264" s="1" t="s">
        <v>119</v>
      </c>
    </row>
    <row r="1265" spans="1:15">
      <c r="A1265" t="s">
        <v>1154</v>
      </c>
      <c r="B1265" t="s">
        <v>1155</v>
      </c>
      <c r="C1265" t="s">
        <v>886</v>
      </c>
      <c r="D1265" t="s">
        <v>194</v>
      </c>
      <c r="E1265">
        <v>2025</v>
      </c>
      <c r="F1265">
        <v>8</v>
      </c>
      <c r="G1265">
        <v>14</v>
      </c>
      <c r="H1265">
        <v>7515</v>
      </c>
      <c r="I1265">
        <v>120</v>
      </c>
      <c r="J1265">
        <v>0</v>
      </c>
      <c r="K1265">
        <v>125.2</v>
      </c>
      <c r="L1265">
        <v>2</v>
      </c>
      <c r="M1265">
        <v>8.9</v>
      </c>
      <c r="N1265">
        <v>112</v>
      </c>
      <c r="O1265" s="1" t="s">
        <v>1156</v>
      </c>
    </row>
    <row r="1266" spans="1:15">
      <c r="A1266" t="s">
        <v>1157</v>
      </c>
      <c r="B1266" t="s">
        <v>1158</v>
      </c>
      <c r="C1266" t="s">
        <v>726</v>
      </c>
      <c r="D1266" t="s">
        <v>136</v>
      </c>
      <c r="E1266">
        <v>2025</v>
      </c>
      <c r="F1266">
        <v>6</v>
      </c>
      <c r="G1266">
        <v>18</v>
      </c>
      <c r="H1266">
        <v>9943</v>
      </c>
      <c r="I1266">
        <v>694</v>
      </c>
      <c r="J1266">
        <v>0</v>
      </c>
      <c r="K1266">
        <v>165.7</v>
      </c>
      <c r="L1266">
        <v>11.6</v>
      </c>
      <c r="M1266">
        <v>9.1999999999999993</v>
      </c>
      <c r="N1266">
        <v>144</v>
      </c>
      <c r="O1266" s="1" t="s">
        <v>1090</v>
      </c>
    </row>
    <row r="1267" spans="1:15">
      <c r="A1267" t="s">
        <v>1157</v>
      </c>
      <c r="B1267" t="s">
        <v>1158</v>
      </c>
      <c r="C1267" t="s">
        <v>726</v>
      </c>
      <c r="D1267" t="s">
        <v>136</v>
      </c>
      <c r="E1267">
        <v>2025</v>
      </c>
      <c r="F1267">
        <v>7</v>
      </c>
      <c r="G1267">
        <v>18</v>
      </c>
      <c r="H1267">
        <v>9970</v>
      </c>
      <c r="I1267">
        <v>471</v>
      </c>
      <c r="J1267">
        <v>0</v>
      </c>
      <c r="K1267">
        <v>166.2</v>
      </c>
      <c r="L1267">
        <v>7.8</v>
      </c>
      <c r="M1267">
        <v>9.1999999999999993</v>
      </c>
      <c r="N1267">
        <v>144</v>
      </c>
      <c r="O1267" s="1" t="s">
        <v>616</v>
      </c>
    </row>
    <row r="1268" spans="1:15">
      <c r="A1268" t="s">
        <v>1157</v>
      </c>
      <c r="B1268" t="s">
        <v>1158</v>
      </c>
      <c r="C1268" t="s">
        <v>726</v>
      </c>
      <c r="D1268" t="s">
        <v>136</v>
      </c>
      <c r="E1268">
        <v>2025</v>
      </c>
      <c r="F1268">
        <v>8</v>
      </c>
      <c r="G1268">
        <v>15</v>
      </c>
      <c r="H1268">
        <v>8420</v>
      </c>
      <c r="I1268">
        <v>406</v>
      </c>
      <c r="J1268">
        <v>0</v>
      </c>
      <c r="K1268">
        <v>140.30000000000001</v>
      </c>
      <c r="L1268">
        <v>6.8</v>
      </c>
      <c r="M1268">
        <v>9.4</v>
      </c>
      <c r="N1268">
        <v>120</v>
      </c>
      <c r="O1268" s="1" t="s">
        <v>1159</v>
      </c>
    </row>
    <row r="1269" spans="1:15">
      <c r="A1269" t="s">
        <v>1160</v>
      </c>
      <c r="B1269" t="s">
        <v>1161</v>
      </c>
      <c r="C1269" t="s">
        <v>726</v>
      </c>
      <c r="D1269" t="s">
        <v>194</v>
      </c>
      <c r="E1269">
        <v>2025</v>
      </c>
      <c r="F1269">
        <v>6</v>
      </c>
      <c r="G1269">
        <v>17</v>
      </c>
      <c r="H1269">
        <v>10493</v>
      </c>
      <c r="I1269">
        <v>1042</v>
      </c>
      <c r="J1269">
        <v>0</v>
      </c>
      <c r="K1269">
        <v>174.9</v>
      </c>
      <c r="L1269">
        <v>17.399999999999999</v>
      </c>
      <c r="M1269">
        <v>10.3</v>
      </c>
      <c r="N1269">
        <v>136</v>
      </c>
      <c r="O1269" s="1" t="s">
        <v>204</v>
      </c>
    </row>
    <row r="1270" spans="1:15">
      <c r="A1270" t="s">
        <v>1160</v>
      </c>
      <c r="B1270" t="s">
        <v>1161</v>
      </c>
      <c r="C1270" t="s">
        <v>726</v>
      </c>
      <c r="D1270" t="s">
        <v>194</v>
      </c>
      <c r="E1270">
        <v>2025</v>
      </c>
      <c r="F1270">
        <v>7</v>
      </c>
      <c r="G1270">
        <v>18</v>
      </c>
      <c r="H1270">
        <v>10666</v>
      </c>
      <c r="I1270">
        <v>816</v>
      </c>
      <c r="J1270">
        <v>0</v>
      </c>
      <c r="K1270">
        <v>177.8</v>
      </c>
      <c r="L1270">
        <v>13.6</v>
      </c>
      <c r="M1270">
        <v>9.9</v>
      </c>
      <c r="N1270">
        <v>144</v>
      </c>
      <c r="O1270" s="1" t="s">
        <v>282</v>
      </c>
    </row>
    <row r="1271" spans="1:15">
      <c r="A1271" t="s">
        <v>1160</v>
      </c>
      <c r="B1271" t="s">
        <v>1161</v>
      </c>
      <c r="C1271" t="s">
        <v>726</v>
      </c>
      <c r="D1271" t="s">
        <v>194</v>
      </c>
      <c r="E1271">
        <v>2025</v>
      </c>
      <c r="F1271">
        <v>8</v>
      </c>
      <c r="G1271">
        <v>16</v>
      </c>
      <c r="H1271">
        <v>8930</v>
      </c>
      <c r="I1271">
        <v>617</v>
      </c>
      <c r="J1271">
        <v>0</v>
      </c>
      <c r="K1271">
        <v>148.80000000000001</v>
      </c>
      <c r="L1271">
        <v>10.3</v>
      </c>
      <c r="M1271">
        <v>9.3000000000000007</v>
      </c>
      <c r="N1271">
        <v>128</v>
      </c>
      <c r="O1271" s="1" t="s">
        <v>293</v>
      </c>
    </row>
    <row r="1272" spans="1:15">
      <c r="A1272" t="s">
        <v>1162</v>
      </c>
      <c r="B1272" t="s">
        <v>1163</v>
      </c>
      <c r="C1272" t="s">
        <v>1144</v>
      </c>
      <c r="D1272" t="s">
        <v>20</v>
      </c>
      <c r="E1272">
        <v>2025</v>
      </c>
      <c r="F1272">
        <v>6</v>
      </c>
      <c r="G1272">
        <v>18</v>
      </c>
      <c r="H1272">
        <v>10745</v>
      </c>
      <c r="I1272">
        <v>30</v>
      </c>
      <c r="J1272">
        <v>0</v>
      </c>
      <c r="K1272">
        <v>179.1</v>
      </c>
      <c r="L1272">
        <v>0.5</v>
      </c>
      <c r="M1272">
        <v>10</v>
      </c>
      <c r="N1272">
        <v>144</v>
      </c>
      <c r="O1272" s="1" t="s">
        <v>154</v>
      </c>
    </row>
    <row r="1273" spans="1:15">
      <c r="A1273" t="s">
        <v>1162</v>
      </c>
      <c r="B1273" t="s">
        <v>1163</v>
      </c>
      <c r="C1273" t="s">
        <v>1144</v>
      </c>
      <c r="D1273" t="s">
        <v>20</v>
      </c>
      <c r="E1273">
        <v>2025</v>
      </c>
      <c r="F1273">
        <v>7</v>
      </c>
      <c r="G1273">
        <v>17</v>
      </c>
      <c r="H1273">
        <v>10101</v>
      </c>
      <c r="I1273">
        <v>0</v>
      </c>
      <c r="J1273">
        <v>0</v>
      </c>
      <c r="K1273">
        <v>168.4</v>
      </c>
      <c r="L1273">
        <v>0</v>
      </c>
      <c r="M1273">
        <v>9.9</v>
      </c>
      <c r="N1273">
        <v>136</v>
      </c>
      <c r="O1273" s="1" t="s">
        <v>1164</v>
      </c>
    </row>
    <row r="1274" spans="1:15">
      <c r="A1274" t="s">
        <v>1162</v>
      </c>
      <c r="B1274" t="s">
        <v>1163</v>
      </c>
      <c r="C1274" t="s">
        <v>1144</v>
      </c>
      <c r="D1274" t="s">
        <v>20</v>
      </c>
      <c r="E1274">
        <v>2025</v>
      </c>
      <c r="F1274">
        <v>8</v>
      </c>
      <c r="G1274">
        <v>12</v>
      </c>
      <c r="H1274">
        <v>6633</v>
      </c>
      <c r="I1274">
        <v>0</v>
      </c>
      <c r="J1274">
        <v>0</v>
      </c>
      <c r="K1274">
        <v>110.6</v>
      </c>
      <c r="L1274">
        <v>0</v>
      </c>
      <c r="M1274">
        <v>9.1999999999999993</v>
      </c>
      <c r="N1274">
        <v>96</v>
      </c>
      <c r="O1274" s="1" t="s">
        <v>1165</v>
      </c>
    </row>
    <row r="1275" spans="1:15">
      <c r="A1275" t="s">
        <v>1166</v>
      </c>
      <c r="B1275" t="s">
        <v>1167</v>
      </c>
      <c r="C1275" t="s">
        <v>1144</v>
      </c>
      <c r="D1275" t="s">
        <v>20</v>
      </c>
      <c r="E1275">
        <v>2025</v>
      </c>
      <c r="F1275">
        <v>6</v>
      </c>
      <c r="G1275">
        <v>18</v>
      </c>
      <c r="H1275">
        <v>9767</v>
      </c>
      <c r="I1275">
        <v>0</v>
      </c>
      <c r="J1275">
        <v>0</v>
      </c>
      <c r="K1275">
        <v>162.80000000000001</v>
      </c>
      <c r="L1275">
        <v>0</v>
      </c>
      <c r="M1275">
        <v>9</v>
      </c>
      <c r="N1275">
        <v>144</v>
      </c>
      <c r="O1275" s="1" t="s">
        <v>81</v>
      </c>
    </row>
    <row r="1276" spans="1:15">
      <c r="A1276" t="s">
        <v>1166</v>
      </c>
      <c r="B1276" t="s">
        <v>1167</v>
      </c>
      <c r="C1276" t="s">
        <v>1144</v>
      </c>
      <c r="D1276" t="s">
        <v>20</v>
      </c>
      <c r="E1276">
        <v>2025</v>
      </c>
      <c r="F1276">
        <v>7</v>
      </c>
      <c r="G1276">
        <v>17</v>
      </c>
      <c r="H1276">
        <v>9756</v>
      </c>
      <c r="I1276">
        <v>0</v>
      </c>
      <c r="J1276">
        <v>0</v>
      </c>
      <c r="K1276">
        <v>162.6</v>
      </c>
      <c r="L1276">
        <v>0</v>
      </c>
      <c r="M1276">
        <v>9.6</v>
      </c>
      <c r="N1276">
        <v>136</v>
      </c>
      <c r="O1276" s="1" t="s">
        <v>391</v>
      </c>
    </row>
    <row r="1277" spans="1:15">
      <c r="A1277" t="s">
        <v>1166</v>
      </c>
      <c r="B1277" t="s">
        <v>1167</v>
      </c>
      <c r="C1277" t="s">
        <v>1144</v>
      </c>
      <c r="D1277" t="s">
        <v>20</v>
      </c>
      <c r="E1277">
        <v>2025</v>
      </c>
      <c r="F1277">
        <v>8</v>
      </c>
      <c r="G1277">
        <v>15</v>
      </c>
      <c r="H1277">
        <v>8201</v>
      </c>
      <c r="I1277">
        <v>0</v>
      </c>
      <c r="J1277">
        <v>0</v>
      </c>
      <c r="K1277">
        <v>136.69999999999999</v>
      </c>
      <c r="L1277">
        <v>0</v>
      </c>
      <c r="M1277">
        <v>9.1</v>
      </c>
      <c r="N1277">
        <v>120</v>
      </c>
      <c r="O1277" s="1" t="s">
        <v>468</v>
      </c>
    </row>
    <row r="1278" spans="1:15">
      <c r="A1278" t="s">
        <v>1168</v>
      </c>
      <c r="B1278" t="s">
        <v>1169</v>
      </c>
      <c r="C1278" t="s">
        <v>668</v>
      </c>
      <c r="D1278" t="s">
        <v>194</v>
      </c>
      <c r="E1278">
        <v>2025</v>
      </c>
      <c r="F1278">
        <v>6</v>
      </c>
      <c r="G1278">
        <v>16</v>
      </c>
      <c r="H1278">
        <v>9185</v>
      </c>
      <c r="I1278">
        <v>238</v>
      </c>
      <c r="J1278">
        <v>0</v>
      </c>
      <c r="K1278">
        <v>153.1</v>
      </c>
      <c r="L1278">
        <v>4</v>
      </c>
      <c r="M1278">
        <v>9.6</v>
      </c>
      <c r="N1278">
        <v>128</v>
      </c>
      <c r="O1278" s="1" t="s">
        <v>642</v>
      </c>
    </row>
    <row r="1279" spans="1:15">
      <c r="A1279" t="s">
        <v>1168</v>
      </c>
      <c r="B1279" t="s">
        <v>1169</v>
      </c>
      <c r="C1279" t="s">
        <v>668</v>
      </c>
      <c r="D1279" t="s">
        <v>194</v>
      </c>
      <c r="E1279">
        <v>2025</v>
      </c>
      <c r="F1279">
        <v>7</v>
      </c>
      <c r="G1279">
        <v>23</v>
      </c>
      <c r="H1279">
        <v>12676</v>
      </c>
      <c r="I1279">
        <v>88</v>
      </c>
      <c r="J1279">
        <v>0</v>
      </c>
      <c r="K1279">
        <v>211.3</v>
      </c>
      <c r="L1279">
        <v>1.5</v>
      </c>
      <c r="M1279">
        <v>9.1999999999999993</v>
      </c>
      <c r="N1279">
        <v>184</v>
      </c>
      <c r="O1279" s="1" t="s">
        <v>504</v>
      </c>
    </row>
    <row r="1280" spans="1:15">
      <c r="A1280" t="s">
        <v>1168</v>
      </c>
      <c r="B1280" t="s">
        <v>1169</v>
      </c>
      <c r="C1280" t="s">
        <v>668</v>
      </c>
      <c r="D1280" t="s">
        <v>194</v>
      </c>
      <c r="E1280">
        <v>2025</v>
      </c>
      <c r="F1280">
        <v>8</v>
      </c>
      <c r="G1280">
        <v>17</v>
      </c>
      <c r="H1280">
        <v>8485</v>
      </c>
      <c r="I1280">
        <v>67</v>
      </c>
      <c r="J1280">
        <v>0</v>
      </c>
      <c r="K1280">
        <v>141.4</v>
      </c>
      <c r="L1280">
        <v>1.1000000000000001</v>
      </c>
      <c r="M1280">
        <v>8.3000000000000007</v>
      </c>
      <c r="N1280">
        <v>136</v>
      </c>
      <c r="O1280" s="1" t="s">
        <v>419</v>
      </c>
    </row>
    <row r="1281" spans="1:15">
      <c r="A1281" t="s">
        <v>1170</v>
      </c>
      <c r="B1281" t="s">
        <v>1171</v>
      </c>
      <c r="C1281" t="s">
        <v>709</v>
      </c>
      <c r="D1281" t="s">
        <v>136</v>
      </c>
      <c r="E1281">
        <v>2025</v>
      </c>
      <c r="F1281">
        <v>6</v>
      </c>
      <c r="G1281">
        <v>24</v>
      </c>
      <c r="H1281">
        <v>18026</v>
      </c>
      <c r="I1281">
        <v>0</v>
      </c>
      <c r="J1281">
        <v>4</v>
      </c>
      <c r="K1281">
        <v>300.39999999999998</v>
      </c>
      <c r="L1281">
        <v>0</v>
      </c>
      <c r="M1281">
        <v>12.5</v>
      </c>
      <c r="N1281">
        <v>160</v>
      </c>
      <c r="O1281" s="1" t="s">
        <v>828</v>
      </c>
    </row>
    <row r="1282" spans="1:15">
      <c r="A1282" t="s">
        <v>1170</v>
      </c>
      <c r="B1282" t="s">
        <v>1171</v>
      </c>
      <c r="C1282" t="s">
        <v>709</v>
      </c>
      <c r="D1282" t="s">
        <v>136</v>
      </c>
      <c r="E1282">
        <v>2025</v>
      </c>
      <c r="F1282">
        <v>7</v>
      </c>
      <c r="G1282">
        <v>26</v>
      </c>
      <c r="H1282">
        <v>18945</v>
      </c>
      <c r="I1282">
        <v>0</v>
      </c>
      <c r="J1282">
        <v>3</v>
      </c>
      <c r="K1282">
        <v>315.8</v>
      </c>
      <c r="L1282">
        <v>0</v>
      </c>
      <c r="M1282">
        <v>12.1</v>
      </c>
      <c r="N1282">
        <v>184</v>
      </c>
      <c r="O1282">
        <v>131.80000000000001</v>
      </c>
    </row>
    <row r="1283" spans="1:15">
      <c r="A1283" t="s">
        <v>1170</v>
      </c>
      <c r="B1283" t="s">
        <v>1171</v>
      </c>
      <c r="C1283" t="s">
        <v>709</v>
      </c>
      <c r="D1283" t="s">
        <v>136</v>
      </c>
      <c r="E1283">
        <v>2025</v>
      </c>
      <c r="F1283">
        <v>8</v>
      </c>
      <c r="G1283">
        <v>13</v>
      </c>
      <c r="H1283">
        <v>9200</v>
      </c>
      <c r="I1283">
        <v>0</v>
      </c>
      <c r="J1283">
        <v>0</v>
      </c>
      <c r="K1283">
        <v>153.30000000000001</v>
      </c>
      <c r="L1283">
        <v>0</v>
      </c>
      <c r="M1283">
        <v>11.8</v>
      </c>
      <c r="N1283">
        <v>104</v>
      </c>
      <c r="O1283" s="1" t="s">
        <v>804</v>
      </c>
    </row>
    <row r="1284" spans="1:15">
      <c r="A1284" t="s">
        <v>1172</v>
      </c>
      <c r="B1284" t="s">
        <v>1173</v>
      </c>
      <c r="C1284" t="s">
        <v>668</v>
      </c>
      <c r="D1284" t="s">
        <v>20</v>
      </c>
      <c r="E1284">
        <v>2025</v>
      </c>
      <c r="F1284">
        <v>6</v>
      </c>
      <c r="G1284">
        <v>18</v>
      </c>
      <c r="H1284">
        <v>10036</v>
      </c>
      <c r="I1284">
        <v>0</v>
      </c>
      <c r="J1284">
        <v>0</v>
      </c>
      <c r="K1284">
        <v>167.3</v>
      </c>
      <c r="L1284">
        <v>0</v>
      </c>
      <c r="M1284">
        <v>9.3000000000000007</v>
      </c>
      <c r="N1284">
        <v>144</v>
      </c>
      <c r="O1284" s="1" t="s">
        <v>374</v>
      </c>
    </row>
    <row r="1285" spans="1:15">
      <c r="A1285" t="s">
        <v>1172</v>
      </c>
      <c r="B1285" t="s">
        <v>1173</v>
      </c>
      <c r="C1285" t="s">
        <v>668</v>
      </c>
      <c r="D1285" t="s">
        <v>20</v>
      </c>
      <c r="E1285">
        <v>2025</v>
      </c>
      <c r="F1285">
        <v>7</v>
      </c>
      <c r="G1285">
        <v>24</v>
      </c>
      <c r="H1285">
        <v>14074</v>
      </c>
      <c r="I1285">
        <v>0</v>
      </c>
      <c r="J1285">
        <v>1</v>
      </c>
      <c r="K1285">
        <v>234.6</v>
      </c>
      <c r="L1285">
        <v>0</v>
      </c>
      <c r="M1285">
        <v>9.8000000000000007</v>
      </c>
      <c r="N1285">
        <v>184</v>
      </c>
      <c r="O1285" s="1" t="s">
        <v>1174</v>
      </c>
    </row>
    <row r="1286" spans="1:15">
      <c r="A1286" t="s">
        <v>1172</v>
      </c>
      <c r="B1286" t="s">
        <v>1173</v>
      </c>
      <c r="C1286" t="s">
        <v>668</v>
      </c>
      <c r="D1286" t="s">
        <v>20</v>
      </c>
      <c r="E1286">
        <v>2025</v>
      </c>
      <c r="F1286">
        <v>8</v>
      </c>
      <c r="G1286">
        <v>21</v>
      </c>
      <c r="H1286">
        <v>8644</v>
      </c>
      <c r="I1286">
        <v>0</v>
      </c>
      <c r="J1286">
        <v>4</v>
      </c>
      <c r="K1286">
        <v>144.1</v>
      </c>
      <c r="L1286">
        <v>0</v>
      </c>
      <c r="M1286">
        <v>6.9</v>
      </c>
      <c r="N1286">
        <v>136</v>
      </c>
      <c r="O1286" s="1" t="s">
        <v>240</v>
      </c>
    </row>
    <row r="1287" spans="1:15">
      <c r="A1287" t="s">
        <v>1175</v>
      </c>
      <c r="B1287" t="s">
        <v>1176</v>
      </c>
      <c r="C1287" t="s">
        <v>700</v>
      </c>
      <c r="D1287" t="s">
        <v>136</v>
      </c>
      <c r="E1287">
        <v>2025</v>
      </c>
      <c r="F1287">
        <v>6</v>
      </c>
      <c r="G1287">
        <v>18</v>
      </c>
      <c r="H1287">
        <v>10643</v>
      </c>
      <c r="I1287">
        <v>633</v>
      </c>
      <c r="J1287">
        <v>0</v>
      </c>
      <c r="K1287">
        <v>177.4</v>
      </c>
      <c r="L1287">
        <v>10.6</v>
      </c>
      <c r="M1287">
        <v>9.9</v>
      </c>
      <c r="N1287">
        <v>144</v>
      </c>
      <c r="O1287" s="1" t="s">
        <v>460</v>
      </c>
    </row>
    <row r="1288" spans="1:15">
      <c r="A1288" t="s">
        <v>1175</v>
      </c>
      <c r="B1288" t="s">
        <v>1176</v>
      </c>
      <c r="C1288" t="s">
        <v>700</v>
      </c>
      <c r="D1288" t="s">
        <v>136</v>
      </c>
      <c r="E1288">
        <v>2025</v>
      </c>
      <c r="F1288">
        <v>7</v>
      </c>
      <c r="G1288">
        <v>18</v>
      </c>
      <c r="H1288">
        <v>10514</v>
      </c>
      <c r="I1288">
        <v>252</v>
      </c>
      <c r="J1288">
        <v>0</v>
      </c>
      <c r="K1288">
        <v>175.2</v>
      </c>
      <c r="L1288">
        <v>4.2</v>
      </c>
      <c r="M1288">
        <v>9.6999999999999993</v>
      </c>
      <c r="N1288">
        <v>144</v>
      </c>
      <c r="O1288" s="1" t="s">
        <v>62</v>
      </c>
    </row>
    <row r="1289" spans="1:15">
      <c r="A1289" t="s">
        <v>1175</v>
      </c>
      <c r="B1289" t="s">
        <v>1176</v>
      </c>
      <c r="C1289" t="s">
        <v>700</v>
      </c>
      <c r="D1289" t="s">
        <v>136</v>
      </c>
      <c r="E1289">
        <v>2025</v>
      </c>
      <c r="F1289">
        <v>8</v>
      </c>
      <c r="G1289">
        <v>15</v>
      </c>
      <c r="H1289">
        <v>8237</v>
      </c>
      <c r="I1289">
        <v>215</v>
      </c>
      <c r="J1289">
        <v>0</v>
      </c>
      <c r="K1289">
        <v>137.30000000000001</v>
      </c>
      <c r="L1289">
        <v>3.6</v>
      </c>
      <c r="M1289">
        <v>9.1999999999999993</v>
      </c>
      <c r="N1289">
        <v>120</v>
      </c>
      <c r="O1289" s="1" t="s">
        <v>1177</v>
      </c>
    </row>
    <row r="1290" spans="1:15">
      <c r="A1290" t="s">
        <v>1178</v>
      </c>
      <c r="B1290" t="s">
        <v>1179</v>
      </c>
      <c r="C1290" t="s">
        <v>713</v>
      </c>
      <c r="D1290" t="s">
        <v>136</v>
      </c>
      <c r="E1290">
        <v>2025</v>
      </c>
      <c r="F1290">
        <v>6</v>
      </c>
      <c r="G1290">
        <v>22</v>
      </c>
      <c r="H1290">
        <v>28366</v>
      </c>
      <c r="I1290">
        <v>0</v>
      </c>
      <c r="J1290">
        <v>5</v>
      </c>
      <c r="K1290">
        <v>472.8</v>
      </c>
      <c r="L1290">
        <v>0</v>
      </c>
      <c r="M1290">
        <v>21.5</v>
      </c>
      <c r="N1290">
        <v>136</v>
      </c>
      <c r="O1290">
        <v>336.8</v>
      </c>
    </row>
    <row r="1291" spans="1:15">
      <c r="A1291" t="s">
        <v>1178</v>
      </c>
      <c r="B1291" t="s">
        <v>1179</v>
      </c>
      <c r="C1291" t="s">
        <v>713</v>
      </c>
      <c r="D1291" t="s">
        <v>136</v>
      </c>
      <c r="E1291">
        <v>2025</v>
      </c>
      <c r="F1291">
        <v>7</v>
      </c>
      <c r="G1291">
        <v>26</v>
      </c>
      <c r="H1291">
        <v>29055</v>
      </c>
      <c r="I1291">
        <v>0</v>
      </c>
      <c r="J1291">
        <v>3</v>
      </c>
      <c r="K1291">
        <v>484.2</v>
      </c>
      <c r="L1291">
        <v>0</v>
      </c>
      <c r="M1291">
        <v>18.600000000000001</v>
      </c>
      <c r="N1291">
        <v>184</v>
      </c>
      <c r="O1291">
        <v>300.2</v>
      </c>
    </row>
    <row r="1292" spans="1:15">
      <c r="A1292" t="s">
        <v>1178</v>
      </c>
      <c r="B1292" t="s">
        <v>1179</v>
      </c>
      <c r="C1292" t="s">
        <v>713</v>
      </c>
      <c r="D1292" t="s">
        <v>136</v>
      </c>
      <c r="E1292">
        <v>2025</v>
      </c>
      <c r="F1292">
        <v>8</v>
      </c>
      <c r="G1292">
        <v>19</v>
      </c>
      <c r="H1292">
        <v>16362</v>
      </c>
      <c r="I1292">
        <v>0</v>
      </c>
      <c r="J1292">
        <v>5</v>
      </c>
      <c r="K1292">
        <v>272.7</v>
      </c>
      <c r="L1292">
        <v>0</v>
      </c>
      <c r="M1292">
        <v>14.4</v>
      </c>
      <c r="N1292">
        <v>112</v>
      </c>
      <c r="O1292">
        <v>160.69999999999999</v>
      </c>
    </row>
    <row r="1293" spans="1:15">
      <c r="A1293" t="s">
        <v>1180</v>
      </c>
      <c r="B1293" t="s">
        <v>1181</v>
      </c>
      <c r="C1293" t="s">
        <v>682</v>
      </c>
      <c r="D1293" t="s">
        <v>194</v>
      </c>
      <c r="E1293">
        <v>2025</v>
      </c>
      <c r="F1293">
        <v>6</v>
      </c>
      <c r="G1293">
        <v>17</v>
      </c>
      <c r="H1293">
        <v>10097</v>
      </c>
      <c r="I1293">
        <v>1389</v>
      </c>
      <c r="J1293">
        <v>2</v>
      </c>
      <c r="K1293">
        <v>168.3</v>
      </c>
      <c r="L1293">
        <v>23.2</v>
      </c>
      <c r="M1293">
        <v>9.9</v>
      </c>
      <c r="N1293">
        <v>120</v>
      </c>
      <c r="O1293" s="1" t="s">
        <v>400</v>
      </c>
    </row>
    <row r="1294" spans="1:15">
      <c r="A1294" t="s">
        <v>1180</v>
      </c>
      <c r="B1294" t="s">
        <v>1181</v>
      </c>
      <c r="C1294" t="s">
        <v>682</v>
      </c>
      <c r="D1294" t="s">
        <v>194</v>
      </c>
      <c r="E1294">
        <v>2025</v>
      </c>
      <c r="F1294">
        <v>7</v>
      </c>
      <c r="G1294">
        <v>18</v>
      </c>
      <c r="H1294">
        <v>10352</v>
      </c>
      <c r="I1294">
        <v>461</v>
      </c>
      <c r="J1294">
        <v>0</v>
      </c>
      <c r="K1294">
        <v>172.5</v>
      </c>
      <c r="L1294">
        <v>7.7</v>
      </c>
      <c r="M1294">
        <v>9.6</v>
      </c>
      <c r="N1294">
        <v>144</v>
      </c>
      <c r="O1294">
        <v>28.5</v>
      </c>
    </row>
    <row r="1295" spans="1:15">
      <c r="A1295" t="s">
        <v>1180</v>
      </c>
      <c r="B1295" t="s">
        <v>1181</v>
      </c>
      <c r="C1295" t="s">
        <v>682</v>
      </c>
      <c r="D1295" t="s">
        <v>194</v>
      </c>
      <c r="E1295">
        <v>2025</v>
      </c>
      <c r="F1295">
        <v>8</v>
      </c>
      <c r="G1295">
        <v>16</v>
      </c>
      <c r="H1295">
        <v>8838</v>
      </c>
      <c r="I1295">
        <v>866</v>
      </c>
      <c r="J1295">
        <v>0</v>
      </c>
      <c r="K1295">
        <v>147.30000000000001</v>
      </c>
      <c r="L1295">
        <v>14.4</v>
      </c>
      <c r="M1295">
        <v>9.1999999999999993</v>
      </c>
      <c r="N1295">
        <v>128</v>
      </c>
      <c r="O1295" s="1" t="s">
        <v>222</v>
      </c>
    </row>
    <row r="1296" spans="1:15">
      <c r="A1296" t="s">
        <v>1182</v>
      </c>
      <c r="B1296" t="s">
        <v>1183</v>
      </c>
      <c r="C1296" t="s">
        <v>964</v>
      </c>
      <c r="D1296" t="s">
        <v>194</v>
      </c>
      <c r="E1296">
        <v>2025</v>
      </c>
      <c r="F1296">
        <v>6</v>
      </c>
      <c r="G1296">
        <v>17</v>
      </c>
      <c r="H1296">
        <v>9186</v>
      </c>
      <c r="I1296">
        <v>0</v>
      </c>
      <c r="J1296">
        <v>0</v>
      </c>
      <c r="K1296">
        <v>153.1</v>
      </c>
      <c r="L1296">
        <v>0</v>
      </c>
      <c r="M1296">
        <v>9</v>
      </c>
      <c r="N1296">
        <v>136</v>
      </c>
      <c r="O1296" s="1" t="s">
        <v>688</v>
      </c>
    </row>
    <row r="1297" spans="1:15">
      <c r="A1297" t="s">
        <v>1182</v>
      </c>
      <c r="B1297" t="s">
        <v>1183</v>
      </c>
      <c r="C1297" t="s">
        <v>964</v>
      </c>
      <c r="D1297" t="s">
        <v>194</v>
      </c>
      <c r="E1297">
        <v>2025</v>
      </c>
      <c r="F1297">
        <v>7</v>
      </c>
      <c r="G1297">
        <v>21</v>
      </c>
      <c r="H1297">
        <v>12137</v>
      </c>
      <c r="I1297">
        <v>334</v>
      </c>
      <c r="J1297">
        <v>2</v>
      </c>
      <c r="K1297">
        <v>202.3</v>
      </c>
      <c r="L1297">
        <v>5.6</v>
      </c>
      <c r="M1297">
        <v>9.6</v>
      </c>
      <c r="N1297">
        <v>152</v>
      </c>
      <c r="O1297" s="1" t="s">
        <v>1184</v>
      </c>
    </row>
    <row r="1298" spans="1:15">
      <c r="A1298" t="s">
        <v>1182</v>
      </c>
      <c r="B1298" t="s">
        <v>1183</v>
      </c>
      <c r="C1298" t="s">
        <v>964</v>
      </c>
      <c r="D1298" t="s">
        <v>194</v>
      </c>
      <c r="E1298">
        <v>2025</v>
      </c>
      <c r="F1298">
        <v>8</v>
      </c>
      <c r="G1298">
        <v>15</v>
      </c>
      <c r="H1298">
        <v>7874</v>
      </c>
      <c r="I1298">
        <v>125</v>
      </c>
      <c r="J1298">
        <v>0</v>
      </c>
      <c r="K1298">
        <v>131.19999999999999</v>
      </c>
      <c r="L1298">
        <v>2.1</v>
      </c>
      <c r="M1298">
        <v>8.6999999999999993</v>
      </c>
      <c r="N1298">
        <v>120</v>
      </c>
      <c r="O1298" s="1" t="s">
        <v>77</v>
      </c>
    </row>
    <row r="1299" spans="1:15">
      <c r="A1299" t="s">
        <v>1185</v>
      </c>
      <c r="B1299" t="s">
        <v>1186</v>
      </c>
      <c r="C1299" t="s">
        <v>915</v>
      </c>
      <c r="D1299" t="s">
        <v>194</v>
      </c>
      <c r="E1299">
        <v>2025</v>
      </c>
      <c r="F1299">
        <v>6</v>
      </c>
      <c r="G1299">
        <v>19</v>
      </c>
      <c r="H1299">
        <v>10059</v>
      </c>
      <c r="I1299">
        <v>113</v>
      </c>
      <c r="J1299">
        <v>1</v>
      </c>
      <c r="K1299">
        <v>167.6</v>
      </c>
      <c r="L1299">
        <v>1.9</v>
      </c>
      <c r="M1299">
        <v>8.8000000000000007</v>
      </c>
      <c r="N1299">
        <v>144</v>
      </c>
      <c r="O1299" s="1" t="s">
        <v>672</v>
      </c>
    </row>
    <row r="1300" spans="1:15">
      <c r="A1300" t="s">
        <v>1185</v>
      </c>
      <c r="B1300" t="s">
        <v>1186</v>
      </c>
      <c r="C1300" t="s">
        <v>915</v>
      </c>
      <c r="D1300" t="s">
        <v>194</v>
      </c>
      <c r="E1300">
        <v>2025</v>
      </c>
      <c r="F1300">
        <v>7</v>
      </c>
      <c r="G1300">
        <v>19</v>
      </c>
      <c r="H1300">
        <v>10557</v>
      </c>
      <c r="I1300">
        <v>28</v>
      </c>
      <c r="J1300">
        <v>0</v>
      </c>
      <c r="K1300">
        <v>176</v>
      </c>
      <c r="L1300">
        <v>0.5</v>
      </c>
      <c r="M1300">
        <v>9.3000000000000007</v>
      </c>
      <c r="N1300">
        <v>152</v>
      </c>
      <c r="O1300">
        <v>24</v>
      </c>
    </row>
    <row r="1301" spans="1:15">
      <c r="A1301" t="s">
        <v>1185</v>
      </c>
      <c r="B1301" t="s">
        <v>1186</v>
      </c>
      <c r="C1301" t="s">
        <v>915</v>
      </c>
      <c r="D1301" t="s">
        <v>194</v>
      </c>
      <c r="E1301">
        <v>2025</v>
      </c>
      <c r="F1301">
        <v>8</v>
      </c>
      <c r="G1301">
        <v>16</v>
      </c>
      <c r="H1301">
        <v>8380</v>
      </c>
      <c r="I1301">
        <v>31</v>
      </c>
      <c r="J1301">
        <v>0</v>
      </c>
      <c r="K1301">
        <v>139.69999999999999</v>
      </c>
      <c r="L1301">
        <v>0.5</v>
      </c>
      <c r="M1301">
        <v>8.6999999999999993</v>
      </c>
      <c r="N1301">
        <v>128</v>
      </c>
      <c r="O1301" s="1" t="s">
        <v>1187</v>
      </c>
    </row>
    <row r="1302" spans="1:15">
      <c r="A1302" t="s">
        <v>1188</v>
      </c>
      <c r="B1302" t="s">
        <v>1189</v>
      </c>
      <c r="C1302" t="s">
        <v>713</v>
      </c>
      <c r="D1302" t="s">
        <v>194</v>
      </c>
      <c r="E1302">
        <v>2025</v>
      </c>
      <c r="F1302">
        <v>6</v>
      </c>
      <c r="G1302">
        <v>24</v>
      </c>
      <c r="H1302">
        <v>16917</v>
      </c>
      <c r="I1302">
        <v>0</v>
      </c>
      <c r="J1302">
        <v>4</v>
      </c>
      <c r="K1302">
        <v>282</v>
      </c>
      <c r="L1302">
        <v>0</v>
      </c>
      <c r="M1302">
        <v>11.8</v>
      </c>
      <c r="N1302">
        <v>160</v>
      </c>
      <c r="O1302">
        <v>122</v>
      </c>
    </row>
    <row r="1303" spans="1:15">
      <c r="A1303" t="s">
        <v>1188</v>
      </c>
      <c r="B1303" t="s">
        <v>1189</v>
      </c>
      <c r="C1303" t="s">
        <v>713</v>
      </c>
      <c r="D1303" t="s">
        <v>194</v>
      </c>
      <c r="E1303">
        <v>2025</v>
      </c>
      <c r="F1303">
        <v>7</v>
      </c>
      <c r="G1303">
        <v>27</v>
      </c>
      <c r="H1303">
        <v>20278</v>
      </c>
      <c r="I1303">
        <v>0</v>
      </c>
      <c r="J1303">
        <v>4</v>
      </c>
      <c r="K1303">
        <v>338</v>
      </c>
      <c r="L1303">
        <v>0</v>
      </c>
      <c r="M1303">
        <v>12.5</v>
      </c>
      <c r="N1303">
        <v>184</v>
      </c>
      <c r="O1303">
        <v>154</v>
      </c>
    </row>
    <row r="1304" spans="1:15">
      <c r="A1304" t="s">
        <v>1188</v>
      </c>
      <c r="B1304" t="s">
        <v>1189</v>
      </c>
      <c r="C1304" t="s">
        <v>713</v>
      </c>
      <c r="D1304" t="s">
        <v>194</v>
      </c>
      <c r="E1304">
        <v>2025</v>
      </c>
      <c r="F1304">
        <v>8</v>
      </c>
      <c r="G1304">
        <v>16</v>
      </c>
      <c r="H1304">
        <v>8053</v>
      </c>
      <c r="I1304">
        <v>0</v>
      </c>
      <c r="J1304">
        <v>2</v>
      </c>
      <c r="K1304">
        <v>134.19999999999999</v>
      </c>
      <c r="L1304">
        <v>0</v>
      </c>
      <c r="M1304">
        <v>8.4</v>
      </c>
      <c r="N1304">
        <v>112</v>
      </c>
      <c r="O1304" s="1" t="s">
        <v>616</v>
      </c>
    </row>
    <row r="1305" spans="1:15">
      <c r="A1305" t="s">
        <v>1190</v>
      </c>
      <c r="B1305" t="s">
        <v>1191</v>
      </c>
      <c r="C1305" t="s">
        <v>933</v>
      </c>
      <c r="D1305" t="s">
        <v>194</v>
      </c>
      <c r="E1305">
        <v>2025</v>
      </c>
      <c r="F1305">
        <v>6</v>
      </c>
      <c r="G1305">
        <v>17</v>
      </c>
      <c r="H1305">
        <v>9033</v>
      </c>
      <c r="I1305">
        <v>0</v>
      </c>
      <c r="J1305">
        <v>0</v>
      </c>
      <c r="K1305">
        <v>150.6</v>
      </c>
      <c r="L1305">
        <v>0</v>
      </c>
      <c r="M1305">
        <v>8.9</v>
      </c>
      <c r="N1305">
        <v>136</v>
      </c>
      <c r="O1305" s="1" t="s">
        <v>1165</v>
      </c>
    </row>
    <row r="1306" spans="1:15">
      <c r="A1306" t="s">
        <v>1190</v>
      </c>
      <c r="B1306" t="s">
        <v>1191</v>
      </c>
      <c r="C1306" t="s">
        <v>933</v>
      </c>
      <c r="D1306" t="s">
        <v>194</v>
      </c>
      <c r="E1306">
        <v>2025</v>
      </c>
      <c r="F1306">
        <v>7</v>
      </c>
      <c r="G1306">
        <v>19</v>
      </c>
      <c r="H1306">
        <v>12561</v>
      </c>
      <c r="I1306">
        <v>0</v>
      </c>
      <c r="J1306">
        <v>1</v>
      </c>
      <c r="K1306">
        <v>209.4</v>
      </c>
      <c r="L1306">
        <v>0</v>
      </c>
      <c r="M1306">
        <v>11</v>
      </c>
      <c r="N1306">
        <v>144</v>
      </c>
      <c r="O1306">
        <v>65.400000000000006</v>
      </c>
    </row>
    <row r="1307" spans="1:15">
      <c r="A1307" t="s">
        <v>1190</v>
      </c>
      <c r="B1307" t="s">
        <v>1191</v>
      </c>
      <c r="C1307" t="s">
        <v>933</v>
      </c>
      <c r="D1307" t="s">
        <v>194</v>
      </c>
      <c r="E1307">
        <v>2025</v>
      </c>
      <c r="F1307">
        <v>8</v>
      </c>
      <c r="G1307">
        <v>15</v>
      </c>
      <c r="H1307">
        <v>8028</v>
      </c>
      <c r="I1307">
        <v>0</v>
      </c>
      <c r="J1307">
        <v>0</v>
      </c>
      <c r="K1307">
        <v>133.80000000000001</v>
      </c>
      <c r="L1307">
        <v>0</v>
      </c>
      <c r="M1307">
        <v>8.9</v>
      </c>
      <c r="N1307">
        <v>120</v>
      </c>
      <c r="O1307" s="1" t="s">
        <v>1192</v>
      </c>
    </row>
    <row r="1308" spans="1:15">
      <c r="A1308" t="s">
        <v>1193</v>
      </c>
      <c r="B1308" t="s">
        <v>1194</v>
      </c>
      <c r="C1308" t="s">
        <v>978</v>
      </c>
      <c r="D1308" t="s">
        <v>136</v>
      </c>
      <c r="E1308">
        <v>2025</v>
      </c>
      <c r="F1308">
        <v>6</v>
      </c>
      <c r="G1308">
        <v>13</v>
      </c>
      <c r="H1308">
        <v>9018</v>
      </c>
      <c r="I1308">
        <v>0</v>
      </c>
      <c r="J1308">
        <v>0</v>
      </c>
      <c r="K1308">
        <v>150.30000000000001</v>
      </c>
      <c r="L1308">
        <v>0</v>
      </c>
      <c r="M1308">
        <v>11.6</v>
      </c>
      <c r="N1308">
        <v>104</v>
      </c>
      <c r="O1308" s="1" t="s">
        <v>564</v>
      </c>
    </row>
    <row r="1309" spans="1:15">
      <c r="A1309" t="s">
        <v>1193</v>
      </c>
      <c r="B1309" t="s">
        <v>1194</v>
      </c>
      <c r="C1309" t="s">
        <v>978</v>
      </c>
      <c r="D1309" t="s">
        <v>136</v>
      </c>
      <c r="E1309">
        <v>2025</v>
      </c>
      <c r="F1309">
        <v>7</v>
      </c>
      <c r="G1309">
        <v>25</v>
      </c>
      <c r="H1309">
        <v>14539</v>
      </c>
      <c r="I1309">
        <v>0</v>
      </c>
      <c r="J1309">
        <v>3</v>
      </c>
      <c r="K1309">
        <v>242.3</v>
      </c>
      <c r="L1309">
        <v>0</v>
      </c>
      <c r="M1309">
        <v>9.6999999999999993</v>
      </c>
      <c r="N1309">
        <v>176</v>
      </c>
      <c r="O1309" s="1" t="s">
        <v>1195</v>
      </c>
    </row>
    <row r="1310" spans="1:15">
      <c r="A1310" t="s">
        <v>1193</v>
      </c>
      <c r="B1310" t="s">
        <v>1194</v>
      </c>
      <c r="C1310" t="s">
        <v>978</v>
      </c>
      <c r="D1310" t="s">
        <v>136</v>
      </c>
      <c r="E1310">
        <v>2025</v>
      </c>
      <c r="F1310">
        <v>8</v>
      </c>
      <c r="G1310">
        <v>10</v>
      </c>
      <c r="H1310">
        <v>4250</v>
      </c>
      <c r="I1310">
        <v>0</v>
      </c>
      <c r="J1310">
        <v>3</v>
      </c>
      <c r="K1310">
        <v>70.8</v>
      </c>
      <c r="L1310">
        <v>0</v>
      </c>
      <c r="M1310">
        <v>7.1</v>
      </c>
      <c r="N1310">
        <v>56</v>
      </c>
      <c r="O1310" s="1" t="s">
        <v>1196</v>
      </c>
    </row>
    <row r="1311" spans="1:15">
      <c r="A1311" t="s">
        <v>1197</v>
      </c>
      <c r="B1311" t="s">
        <v>1198</v>
      </c>
      <c r="C1311" t="s">
        <v>182</v>
      </c>
      <c r="D1311" t="s">
        <v>136</v>
      </c>
      <c r="E1311">
        <v>2025</v>
      </c>
      <c r="F1311">
        <v>6</v>
      </c>
      <c r="G1311">
        <v>18</v>
      </c>
      <c r="H1311">
        <v>11124</v>
      </c>
      <c r="I1311">
        <v>1267</v>
      </c>
      <c r="J1311">
        <v>0</v>
      </c>
      <c r="K1311">
        <v>185.4</v>
      </c>
      <c r="L1311">
        <v>21.1</v>
      </c>
      <c r="M1311">
        <v>10.3</v>
      </c>
      <c r="N1311">
        <v>144</v>
      </c>
      <c r="O1311" s="1" t="s">
        <v>1199</v>
      </c>
    </row>
    <row r="1312" spans="1:15">
      <c r="A1312" t="s">
        <v>1197</v>
      </c>
      <c r="B1312" t="s">
        <v>1198</v>
      </c>
      <c r="C1312" t="s">
        <v>182</v>
      </c>
      <c r="D1312" t="s">
        <v>136</v>
      </c>
      <c r="E1312">
        <v>2025</v>
      </c>
      <c r="F1312">
        <v>7</v>
      </c>
      <c r="G1312">
        <v>18</v>
      </c>
      <c r="H1312">
        <v>11841</v>
      </c>
      <c r="I1312">
        <v>2061</v>
      </c>
      <c r="J1312">
        <v>0</v>
      </c>
      <c r="K1312">
        <v>197.4</v>
      </c>
      <c r="L1312">
        <v>34.4</v>
      </c>
      <c r="M1312">
        <v>11</v>
      </c>
      <c r="N1312">
        <v>144</v>
      </c>
      <c r="O1312" s="1" t="s">
        <v>317</v>
      </c>
    </row>
    <row r="1313" spans="1:15">
      <c r="A1313" t="s">
        <v>1197</v>
      </c>
      <c r="B1313" t="s">
        <v>1198</v>
      </c>
      <c r="C1313" t="s">
        <v>182</v>
      </c>
      <c r="D1313" t="s">
        <v>136</v>
      </c>
      <c r="E1313">
        <v>2025</v>
      </c>
      <c r="F1313">
        <v>8</v>
      </c>
      <c r="G1313">
        <v>18</v>
      </c>
      <c r="H1313">
        <v>11478</v>
      </c>
      <c r="I1313">
        <v>1140</v>
      </c>
      <c r="J1313">
        <v>2</v>
      </c>
      <c r="K1313">
        <v>191.3</v>
      </c>
      <c r="L1313">
        <v>19</v>
      </c>
      <c r="M1313">
        <v>10.6</v>
      </c>
      <c r="N1313">
        <v>128</v>
      </c>
      <c r="O1313" s="1" t="s">
        <v>1200</v>
      </c>
    </row>
    <row r="1314" spans="1:15">
      <c r="A1314" t="s">
        <v>1201</v>
      </c>
      <c r="B1314" t="s">
        <v>1202</v>
      </c>
      <c r="C1314" t="s">
        <v>795</v>
      </c>
      <c r="D1314" t="s">
        <v>194</v>
      </c>
      <c r="E1314">
        <v>2025</v>
      </c>
      <c r="F1314">
        <v>6</v>
      </c>
      <c r="G1314">
        <v>19</v>
      </c>
      <c r="H1314">
        <v>9720</v>
      </c>
      <c r="I1314">
        <v>0</v>
      </c>
      <c r="J1314">
        <v>0</v>
      </c>
      <c r="K1314">
        <v>162</v>
      </c>
      <c r="L1314">
        <v>0</v>
      </c>
      <c r="M1314">
        <v>8.5</v>
      </c>
      <c r="N1314">
        <v>152</v>
      </c>
      <c r="O1314">
        <v>10</v>
      </c>
    </row>
    <row r="1315" spans="1:15">
      <c r="A1315" t="s">
        <v>1201</v>
      </c>
      <c r="B1315" t="s">
        <v>1202</v>
      </c>
      <c r="C1315" t="s">
        <v>795</v>
      </c>
      <c r="D1315" t="s">
        <v>194</v>
      </c>
      <c r="E1315">
        <v>2025</v>
      </c>
      <c r="F1315">
        <v>7</v>
      </c>
      <c r="G1315">
        <v>17</v>
      </c>
      <c r="H1315">
        <v>9245</v>
      </c>
      <c r="I1315">
        <v>124</v>
      </c>
      <c r="J1315">
        <v>0</v>
      </c>
      <c r="K1315">
        <v>154.1</v>
      </c>
      <c r="L1315">
        <v>2.1</v>
      </c>
      <c r="M1315">
        <v>9.1</v>
      </c>
      <c r="N1315">
        <v>136</v>
      </c>
      <c r="O1315" s="1" t="s">
        <v>1126</v>
      </c>
    </row>
    <row r="1316" spans="1:15">
      <c r="A1316" t="s">
        <v>1201</v>
      </c>
      <c r="B1316" t="s">
        <v>1202</v>
      </c>
      <c r="C1316" t="s">
        <v>795</v>
      </c>
      <c r="D1316" t="s">
        <v>194</v>
      </c>
      <c r="E1316">
        <v>2025</v>
      </c>
      <c r="F1316">
        <v>8</v>
      </c>
      <c r="G1316">
        <v>16</v>
      </c>
      <c r="H1316">
        <v>9360</v>
      </c>
      <c r="I1316">
        <v>920</v>
      </c>
      <c r="J1316">
        <v>0</v>
      </c>
      <c r="K1316">
        <v>156</v>
      </c>
      <c r="L1316">
        <v>15.3</v>
      </c>
      <c r="M1316">
        <v>9.8000000000000007</v>
      </c>
      <c r="N1316">
        <v>128</v>
      </c>
      <c r="O1316">
        <v>28</v>
      </c>
    </row>
    <row r="1317" spans="1:15">
      <c r="A1317" t="s">
        <v>1203</v>
      </c>
      <c r="B1317" t="s">
        <v>1204</v>
      </c>
      <c r="C1317" t="s">
        <v>646</v>
      </c>
      <c r="D1317" t="s">
        <v>194</v>
      </c>
      <c r="E1317">
        <v>2025</v>
      </c>
      <c r="F1317">
        <v>6</v>
      </c>
      <c r="G1317">
        <v>17</v>
      </c>
      <c r="H1317">
        <v>9347</v>
      </c>
      <c r="I1317">
        <v>125</v>
      </c>
      <c r="J1317">
        <v>0</v>
      </c>
      <c r="K1317">
        <v>155.80000000000001</v>
      </c>
      <c r="L1317">
        <v>2.1</v>
      </c>
      <c r="M1317">
        <v>9.1999999999999993</v>
      </c>
      <c r="N1317">
        <v>136</v>
      </c>
      <c r="O1317" s="1" t="s">
        <v>334</v>
      </c>
    </row>
    <row r="1318" spans="1:15">
      <c r="A1318" t="s">
        <v>1203</v>
      </c>
      <c r="B1318" t="s">
        <v>1204</v>
      </c>
      <c r="C1318" t="s">
        <v>646</v>
      </c>
      <c r="D1318" t="s">
        <v>194</v>
      </c>
      <c r="E1318">
        <v>2025</v>
      </c>
      <c r="F1318">
        <v>7</v>
      </c>
      <c r="G1318">
        <v>23</v>
      </c>
      <c r="H1318">
        <v>13924</v>
      </c>
      <c r="I1318">
        <v>0</v>
      </c>
      <c r="J1318">
        <v>0</v>
      </c>
      <c r="K1318">
        <v>232.1</v>
      </c>
      <c r="L1318">
        <v>0</v>
      </c>
      <c r="M1318">
        <v>10.1</v>
      </c>
      <c r="N1318">
        <v>184</v>
      </c>
      <c r="O1318" s="1" t="s">
        <v>632</v>
      </c>
    </row>
    <row r="1319" spans="1:15">
      <c r="A1319" t="s">
        <v>1203</v>
      </c>
      <c r="B1319" t="s">
        <v>1204</v>
      </c>
      <c r="C1319" t="s">
        <v>646</v>
      </c>
      <c r="D1319" t="s">
        <v>194</v>
      </c>
      <c r="E1319">
        <v>2025</v>
      </c>
      <c r="F1319">
        <v>8</v>
      </c>
      <c r="G1319">
        <v>17</v>
      </c>
      <c r="H1319">
        <v>8683</v>
      </c>
      <c r="I1319">
        <v>0</v>
      </c>
      <c r="J1319">
        <v>1</v>
      </c>
      <c r="K1319">
        <v>144.69999999999999</v>
      </c>
      <c r="L1319">
        <v>0</v>
      </c>
      <c r="M1319">
        <v>8.5</v>
      </c>
      <c r="N1319">
        <v>128</v>
      </c>
      <c r="O1319" s="1" t="s">
        <v>468</v>
      </c>
    </row>
    <row r="1320" spans="1:15">
      <c r="A1320" t="s">
        <v>1205</v>
      </c>
      <c r="B1320" t="s">
        <v>1206</v>
      </c>
      <c r="C1320" t="s">
        <v>1069</v>
      </c>
      <c r="D1320" t="s">
        <v>194</v>
      </c>
      <c r="E1320">
        <v>2025</v>
      </c>
      <c r="F1320">
        <v>6</v>
      </c>
      <c r="G1320">
        <v>17</v>
      </c>
      <c r="H1320">
        <v>9528</v>
      </c>
      <c r="I1320">
        <v>0</v>
      </c>
      <c r="J1320">
        <v>0</v>
      </c>
      <c r="K1320">
        <v>158.80000000000001</v>
      </c>
      <c r="L1320">
        <v>0</v>
      </c>
      <c r="M1320">
        <v>9.3000000000000007</v>
      </c>
      <c r="N1320">
        <v>136</v>
      </c>
      <c r="O1320" s="1" t="s">
        <v>290</v>
      </c>
    </row>
    <row r="1321" spans="1:15">
      <c r="A1321" t="s">
        <v>1205</v>
      </c>
      <c r="B1321" t="s">
        <v>1206</v>
      </c>
      <c r="C1321" t="s">
        <v>1069</v>
      </c>
      <c r="D1321" t="s">
        <v>194</v>
      </c>
      <c r="E1321">
        <v>2025</v>
      </c>
      <c r="F1321">
        <v>7</v>
      </c>
      <c r="G1321">
        <v>19</v>
      </c>
      <c r="H1321">
        <v>10637</v>
      </c>
      <c r="I1321">
        <v>0</v>
      </c>
      <c r="J1321">
        <v>0</v>
      </c>
      <c r="K1321">
        <v>177.3</v>
      </c>
      <c r="L1321">
        <v>0</v>
      </c>
      <c r="M1321">
        <v>9.3000000000000007</v>
      </c>
      <c r="N1321">
        <v>152</v>
      </c>
      <c r="O1321" s="1" t="s">
        <v>553</v>
      </c>
    </row>
    <row r="1322" spans="1:15">
      <c r="A1322" t="s">
        <v>1205</v>
      </c>
      <c r="B1322" t="s">
        <v>1206</v>
      </c>
      <c r="C1322" t="s">
        <v>1069</v>
      </c>
      <c r="D1322" t="s">
        <v>194</v>
      </c>
      <c r="E1322">
        <v>2025</v>
      </c>
      <c r="F1322">
        <v>8</v>
      </c>
      <c r="G1322">
        <v>16</v>
      </c>
      <c r="H1322">
        <v>8358</v>
      </c>
      <c r="I1322">
        <v>0</v>
      </c>
      <c r="J1322">
        <v>0</v>
      </c>
      <c r="K1322">
        <v>139.30000000000001</v>
      </c>
      <c r="L1322">
        <v>0</v>
      </c>
      <c r="M1322">
        <v>8.6999999999999993</v>
      </c>
      <c r="N1322">
        <v>128</v>
      </c>
      <c r="O1322" s="1" t="s">
        <v>1075</v>
      </c>
    </row>
    <row r="1323" spans="1:15">
      <c r="A1323" t="s">
        <v>1207</v>
      </c>
      <c r="B1323" t="s">
        <v>1208</v>
      </c>
      <c r="C1323" t="s">
        <v>709</v>
      </c>
      <c r="D1323" t="s">
        <v>194</v>
      </c>
      <c r="E1323">
        <v>2025</v>
      </c>
      <c r="F1323">
        <v>6</v>
      </c>
      <c r="G1323">
        <v>18</v>
      </c>
      <c r="H1323">
        <v>10450</v>
      </c>
      <c r="I1323">
        <v>0</v>
      </c>
      <c r="J1323">
        <v>0</v>
      </c>
      <c r="K1323">
        <v>174.2</v>
      </c>
      <c r="L1323">
        <v>0</v>
      </c>
      <c r="M1323">
        <v>9.6999999999999993</v>
      </c>
      <c r="N1323">
        <v>144</v>
      </c>
      <c r="O1323" s="1" t="s">
        <v>906</v>
      </c>
    </row>
    <row r="1324" spans="1:15">
      <c r="A1324" t="s">
        <v>1207</v>
      </c>
      <c r="B1324" t="s">
        <v>1208</v>
      </c>
      <c r="C1324" t="s">
        <v>709</v>
      </c>
      <c r="D1324" t="s">
        <v>194</v>
      </c>
      <c r="E1324">
        <v>2025</v>
      </c>
      <c r="F1324">
        <v>7</v>
      </c>
      <c r="G1324">
        <v>20</v>
      </c>
      <c r="H1324">
        <v>11455</v>
      </c>
      <c r="I1324">
        <v>117</v>
      </c>
      <c r="J1324">
        <v>0</v>
      </c>
      <c r="K1324">
        <v>190.9</v>
      </c>
      <c r="L1324">
        <v>2</v>
      </c>
      <c r="M1324">
        <v>9.5</v>
      </c>
      <c r="N1324">
        <v>160</v>
      </c>
      <c r="O1324" s="1" t="s">
        <v>271</v>
      </c>
    </row>
    <row r="1325" spans="1:15">
      <c r="A1325" t="s">
        <v>1207</v>
      </c>
      <c r="B1325" t="s">
        <v>1208</v>
      </c>
      <c r="C1325" t="s">
        <v>709</v>
      </c>
      <c r="D1325" t="s">
        <v>194</v>
      </c>
      <c r="E1325">
        <v>2025</v>
      </c>
      <c r="F1325">
        <v>8</v>
      </c>
      <c r="G1325">
        <v>19</v>
      </c>
      <c r="H1325">
        <v>10429</v>
      </c>
      <c r="I1325">
        <v>472</v>
      </c>
      <c r="J1325">
        <v>2</v>
      </c>
      <c r="K1325">
        <v>173.8</v>
      </c>
      <c r="L1325">
        <v>7.9</v>
      </c>
      <c r="M1325">
        <v>9.1</v>
      </c>
      <c r="N1325">
        <v>136</v>
      </c>
      <c r="O1325" s="1" t="s">
        <v>507</v>
      </c>
    </row>
    <row r="1326" spans="1:15">
      <c r="A1326" t="s">
        <v>1209</v>
      </c>
      <c r="B1326" t="s">
        <v>1210</v>
      </c>
      <c r="C1326" t="s">
        <v>646</v>
      </c>
      <c r="D1326" t="s">
        <v>194</v>
      </c>
      <c r="E1326">
        <v>2025</v>
      </c>
      <c r="F1326">
        <v>6</v>
      </c>
      <c r="G1326">
        <v>18</v>
      </c>
      <c r="H1326">
        <v>9657</v>
      </c>
      <c r="I1326">
        <v>0</v>
      </c>
      <c r="J1326">
        <v>0</v>
      </c>
      <c r="K1326">
        <v>161</v>
      </c>
      <c r="L1326">
        <v>0</v>
      </c>
      <c r="M1326">
        <v>8.9</v>
      </c>
      <c r="N1326">
        <v>144</v>
      </c>
      <c r="O1326">
        <v>17</v>
      </c>
    </row>
    <row r="1327" spans="1:15">
      <c r="A1327" t="s">
        <v>1209</v>
      </c>
      <c r="B1327" t="s">
        <v>1210</v>
      </c>
      <c r="C1327" t="s">
        <v>646</v>
      </c>
      <c r="D1327" t="s">
        <v>194</v>
      </c>
      <c r="E1327">
        <v>2025</v>
      </c>
      <c r="F1327">
        <v>7</v>
      </c>
      <c r="G1327">
        <v>23</v>
      </c>
      <c r="H1327">
        <v>12133</v>
      </c>
      <c r="I1327">
        <v>0</v>
      </c>
      <c r="J1327">
        <v>0</v>
      </c>
      <c r="K1327">
        <v>202.2</v>
      </c>
      <c r="L1327">
        <v>0</v>
      </c>
      <c r="M1327">
        <v>8.8000000000000007</v>
      </c>
      <c r="N1327">
        <v>184</v>
      </c>
      <c r="O1327" s="1" t="s">
        <v>180</v>
      </c>
    </row>
    <row r="1328" spans="1:15">
      <c r="A1328" t="s">
        <v>1209</v>
      </c>
      <c r="B1328" t="s">
        <v>1210</v>
      </c>
      <c r="C1328" t="s">
        <v>646</v>
      </c>
      <c r="D1328" t="s">
        <v>194</v>
      </c>
      <c r="E1328">
        <v>2025</v>
      </c>
      <c r="F1328">
        <v>8</v>
      </c>
      <c r="G1328">
        <v>17</v>
      </c>
      <c r="H1328">
        <v>8474</v>
      </c>
      <c r="I1328">
        <v>0</v>
      </c>
      <c r="J1328">
        <v>0</v>
      </c>
      <c r="K1328">
        <v>141.19999999999999</v>
      </c>
      <c r="L1328">
        <v>0</v>
      </c>
      <c r="M1328">
        <v>8.3000000000000007</v>
      </c>
      <c r="N1328">
        <v>136</v>
      </c>
      <c r="O1328" s="1" t="s">
        <v>1211</v>
      </c>
    </row>
    <row r="1329" spans="1:15">
      <c r="A1329" t="s">
        <v>1212</v>
      </c>
      <c r="B1329" t="s">
        <v>1213</v>
      </c>
      <c r="C1329" t="s">
        <v>1108</v>
      </c>
      <c r="D1329" t="s">
        <v>194</v>
      </c>
      <c r="E1329">
        <v>2025</v>
      </c>
      <c r="F1329">
        <v>6</v>
      </c>
      <c r="G1329">
        <v>18</v>
      </c>
      <c r="H1329">
        <v>12024</v>
      </c>
      <c r="I1329">
        <v>1939</v>
      </c>
      <c r="J1329">
        <v>0</v>
      </c>
      <c r="K1329">
        <v>200.4</v>
      </c>
      <c r="L1329">
        <v>32.299999999999997</v>
      </c>
      <c r="M1329">
        <v>11.1</v>
      </c>
      <c r="N1329">
        <v>144</v>
      </c>
      <c r="O1329" s="1" t="s">
        <v>139</v>
      </c>
    </row>
    <row r="1330" spans="1:15">
      <c r="A1330" t="s">
        <v>1212</v>
      </c>
      <c r="B1330" t="s">
        <v>1213</v>
      </c>
      <c r="C1330" t="s">
        <v>1108</v>
      </c>
      <c r="D1330" t="s">
        <v>194</v>
      </c>
      <c r="E1330">
        <v>2025</v>
      </c>
      <c r="F1330">
        <v>7</v>
      </c>
      <c r="G1330">
        <v>19</v>
      </c>
      <c r="H1330">
        <v>11545</v>
      </c>
      <c r="I1330">
        <v>1434</v>
      </c>
      <c r="J1330">
        <v>0</v>
      </c>
      <c r="K1330">
        <v>192.4</v>
      </c>
      <c r="L1330">
        <v>23.9</v>
      </c>
      <c r="M1330">
        <v>10.1</v>
      </c>
      <c r="N1330">
        <v>152</v>
      </c>
      <c r="O1330" s="1" t="s">
        <v>484</v>
      </c>
    </row>
    <row r="1331" spans="1:15">
      <c r="A1331" t="s">
        <v>1212</v>
      </c>
      <c r="B1331" t="s">
        <v>1213</v>
      </c>
      <c r="C1331" t="s">
        <v>1108</v>
      </c>
      <c r="D1331" t="s">
        <v>194</v>
      </c>
      <c r="E1331">
        <v>2025</v>
      </c>
      <c r="F1331">
        <v>8</v>
      </c>
      <c r="G1331">
        <v>15</v>
      </c>
      <c r="H1331">
        <v>8783</v>
      </c>
      <c r="I1331">
        <v>1041</v>
      </c>
      <c r="J1331">
        <v>0</v>
      </c>
      <c r="K1331">
        <v>146.4</v>
      </c>
      <c r="L1331">
        <v>17.399999999999999</v>
      </c>
      <c r="M1331">
        <v>9.8000000000000007</v>
      </c>
      <c r="N1331">
        <v>120</v>
      </c>
      <c r="O1331" s="1" t="s">
        <v>555</v>
      </c>
    </row>
    <row r="1332" spans="1:15">
      <c r="A1332" t="s">
        <v>1214</v>
      </c>
      <c r="B1332" t="s">
        <v>1215</v>
      </c>
      <c r="C1332" t="s">
        <v>705</v>
      </c>
      <c r="D1332" t="s">
        <v>136</v>
      </c>
      <c r="E1332">
        <v>2025</v>
      </c>
      <c r="F1332">
        <v>6</v>
      </c>
      <c r="G1332">
        <v>18</v>
      </c>
      <c r="H1332">
        <v>12439</v>
      </c>
      <c r="I1332">
        <v>2102</v>
      </c>
      <c r="J1332">
        <v>0</v>
      </c>
      <c r="K1332">
        <v>207.3</v>
      </c>
      <c r="L1332">
        <v>35</v>
      </c>
      <c r="M1332">
        <v>11.5</v>
      </c>
      <c r="N1332">
        <v>144</v>
      </c>
      <c r="O1332" s="1" t="s">
        <v>1200</v>
      </c>
    </row>
    <row r="1333" spans="1:15">
      <c r="A1333" t="s">
        <v>1214</v>
      </c>
      <c r="B1333" t="s">
        <v>1215</v>
      </c>
      <c r="C1333" t="s">
        <v>705</v>
      </c>
      <c r="D1333" t="s">
        <v>136</v>
      </c>
      <c r="E1333">
        <v>2025</v>
      </c>
      <c r="F1333">
        <v>7</v>
      </c>
      <c r="G1333">
        <v>19</v>
      </c>
      <c r="H1333">
        <v>12639</v>
      </c>
      <c r="I1333">
        <v>1807</v>
      </c>
      <c r="J1333">
        <v>0</v>
      </c>
      <c r="K1333">
        <v>210.6</v>
      </c>
      <c r="L1333">
        <v>30.1</v>
      </c>
      <c r="M1333">
        <v>11.1</v>
      </c>
      <c r="N1333">
        <v>152</v>
      </c>
      <c r="O1333" s="1" t="s">
        <v>1216</v>
      </c>
    </row>
    <row r="1334" spans="1:15">
      <c r="A1334" t="s">
        <v>1214</v>
      </c>
      <c r="B1334" t="s">
        <v>1215</v>
      </c>
      <c r="C1334" t="s">
        <v>705</v>
      </c>
      <c r="D1334" t="s">
        <v>136</v>
      </c>
      <c r="E1334">
        <v>2025</v>
      </c>
      <c r="F1334">
        <v>8</v>
      </c>
      <c r="G1334">
        <v>16</v>
      </c>
      <c r="H1334">
        <v>9144</v>
      </c>
      <c r="I1334">
        <v>532</v>
      </c>
      <c r="J1334">
        <v>0</v>
      </c>
      <c r="K1334">
        <v>152.4</v>
      </c>
      <c r="L1334">
        <v>8.9</v>
      </c>
      <c r="M1334">
        <v>9.5</v>
      </c>
      <c r="N1334">
        <v>128</v>
      </c>
      <c r="O1334" s="1" t="s">
        <v>494</v>
      </c>
    </row>
    <row r="1335" spans="1:15">
      <c r="A1335" t="s">
        <v>1217</v>
      </c>
      <c r="B1335" t="s">
        <v>1218</v>
      </c>
      <c r="C1335" t="s">
        <v>763</v>
      </c>
      <c r="D1335" t="s">
        <v>20</v>
      </c>
      <c r="E1335">
        <v>2025</v>
      </c>
      <c r="F1335">
        <v>6</v>
      </c>
      <c r="G1335">
        <v>19</v>
      </c>
      <c r="H1335">
        <v>11896</v>
      </c>
      <c r="I1335">
        <v>810</v>
      </c>
      <c r="J1335">
        <v>0</v>
      </c>
      <c r="K1335">
        <v>198.3</v>
      </c>
      <c r="L1335">
        <v>13.5</v>
      </c>
      <c r="M1335">
        <v>10.4</v>
      </c>
      <c r="N1335">
        <v>152</v>
      </c>
      <c r="O1335" s="1" t="s">
        <v>564</v>
      </c>
    </row>
    <row r="1336" spans="1:15">
      <c r="A1336" t="s">
        <v>1217</v>
      </c>
      <c r="B1336" t="s">
        <v>1218</v>
      </c>
      <c r="C1336" t="s">
        <v>763</v>
      </c>
      <c r="D1336" t="s">
        <v>20</v>
      </c>
      <c r="E1336">
        <v>2025</v>
      </c>
      <c r="F1336">
        <v>7</v>
      </c>
      <c r="G1336">
        <v>18</v>
      </c>
      <c r="H1336">
        <v>11040</v>
      </c>
      <c r="I1336">
        <v>547</v>
      </c>
      <c r="J1336">
        <v>0</v>
      </c>
      <c r="K1336">
        <v>184</v>
      </c>
      <c r="L1336">
        <v>9.1</v>
      </c>
      <c r="M1336">
        <v>10.199999999999999</v>
      </c>
      <c r="N1336">
        <v>144</v>
      </c>
      <c r="O1336">
        <v>40</v>
      </c>
    </row>
    <row r="1337" spans="1:15">
      <c r="A1337" t="s">
        <v>1217</v>
      </c>
      <c r="B1337" t="s">
        <v>1218</v>
      </c>
      <c r="C1337" t="s">
        <v>763</v>
      </c>
      <c r="D1337" t="s">
        <v>20</v>
      </c>
      <c r="E1337">
        <v>2025</v>
      </c>
      <c r="F1337">
        <v>8</v>
      </c>
      <c r="G1337">
        <v>16</v>
      </c>
      <c r="H1337">
        <v>9568</v>
      </c>
      <c r="I1337">
        <v>640</v>
      </c>
      <c r="J1337">
        <v>0</v>
      </c>
      <c r="K1337">
        <v>159.5</v>
      </c>
      <c r="L1337">
        <v>10.7</v>
      </c>
      <c r="M1337">
        <v>10</v>
      </c>
      <c r="N1337">
        <v>128</v>
      </c>
      <c r="O1337">
        <v>31.5</v>
      </c>
    </row>
    <row r="1338" spans="1:15">
      <c r="A1338" t="s">
        <v>1219</v>
      </c>
      <c r="B1338" t="s">
        <v>1220</v>
      </c>
      <c r="C1338" t="s">
        <v>664</v>
      </c>
      <c r="D1338" t="s">
        <v>136</v>
      </c>
      <c r="E1338">
        <v>2025</v>
      </c>
      <c r="F1338">
        <v>6</v>
      </c>
      <c r="G1338">
        <v>18</v>
      </c>
      <c r="H1338">
        <v>10011</v>
      </c>
      <c r="I1338">
        <v>0</v>
      </c>
      <c r="J1338">
        <v>1</v>
      </c>
      <c r="K1338">
        <v>166.8</v>
      </c>
      <c r="L1338">
        <v>0</v>
      </c>
      <c r="M1338">
        <v>9.3000000000000007</v>
      </c>
      <c r="N1338">
        <v>136</v>
      </c>
      <c r="O1338" s="1" t="s">
        <v>397</v>
      </c>
    </row>
    <row r="1339" spans="1:15">
      <c r="A1339" t="s">
        <v>1219</v>
      </c>
      <c r="B1339" t="s">
        <v>1220</v>
      </c>
      <c r="C1339" t="s">
        <v>664</v>
      </c>
      <c r="D1339" t="s">
        <v>136</v>
      </c>
      <c r="E1339">
        <v>2025</v>
      </c>
      <c r="F1339">
        <v>7</v>
      </c>
      <c r="G1339">
        <v>23</v>
      </c>
      <c r="H1339">
        <v>13637</v>
      </c>
      <c r="I1339">
        <v>0</v>
      </c>
      <c r="J1339">
        <v>0</v>
      </c>
      <c r="K1339">
        <v>227.3</v>
      </c>
      <c r="L1339">
        <v>0</v>
      </c>
      <c r="M1339">
        <v>9.9</v>
      </c>
      <c r="N1339">
        <v>184</v>
      </c>
      <c r="O1339" s="1" t="s">
        <v>1221</v>
      </c>
    </row>
    <row r="1340" spans="1:15">
      <c r="A1340" t="s">
        <v>1219</v>
      </c>
      <c r="B1340" t="s">
        <v>1220</v>
      </c>
      <c r="C1340" t="s">
        <v>664</v>
      </c>
      <c r="D1340" t="s">
        <v>136</v>
      </c>
      <c r="E1340">
        <v>2025</v>
      </c>
      <c r="F1340">
        <v>8</v>
      </c>
      <c r="G1340">
        <v>20</v>
      </c>
      <c r="H1340">
        <v>10904</v>
      </c>
      <c r="I1340">
        <v>0</v>
      </c>
      <c r="J1340">
        <v>3</v>
      </c>
      <c r="K1340">
        <v>181.7</v>
      </c>
      <c r="L1340">
        <v>0</v>
      </c>
      <c r="M1340">
        <v>9.1</v>
      </c>
      <c r="N1340">
        <v>136</v>
      </c>
      <c r="O1340" s="1" t="s">
        <v>473</v>
      </c>
    </row>
    <row r="1341" spans="1:15">
      <c r="A1341" t="s">
        <v>1222</v>
      </c>
      <c r="B1341" t="s">
        <v>1223</v>
      </c>
      <c r="C1341" t="s">
        <v>682</v>
      </c>
      <c r="D1341" t="s">
        <v>136</v>
      </c>
      <c r="E1341">
        <v>2025</v>
      </c>
      <c r="F1341">
        <v>6</v>
      </c>
      <c r="G1341">
        <v>20</v>
      </c>
      <c r="H1341">
        <v>11945</v>
      </c>
      <c r="I1341">
        <v>1761</v>
      </c>
      <c r="J1341">
        <v>1</v>
      </c>
      <c r="K1341">
        <v>199.1</v>
      </c>
      <c r="L1341">
        <v>29.4</v>
      </c>
      <c r="M1341">
        <v>10</v>
      </c>
      <c r="N1341">
        <v>152</v>
      </c>
      <c r="O1341" s="1" t="s">
        <v>603</v>
      </c>
    </row>
    <row r="1342" spans="1:15">
      <c r="A1342" t="s">
        <v>1222</v>
      </c>
      <c r="B1342" t="s">
        <v>1223</v>
      </c>
      <c r="C1342" t="s">
        <v>682</v>
      </c>
      <c r="D1342" t="s">
        <v>136</v>
      </c>
      <c r="E1342">
        <v>2025</v>
      </c>
      <c r="F1342">
        <v>7</v>
      </c>
      <c r="G1342">
        <v>19</v>
      </c>
      <c r="H1342">
        <v>13770</v>
      </c>
      <c r="I1342">
        <v>2208</v>
      </c>
      <c r="J1342">
        <v>0</v>
      </c>
      <c r="K1342">
        <v>229.5</v>
      </c>
      <c r="L1342">
        <v>36.799999999999997</v>
      </c>
      <c r="M1342">
        <v>12.1</v>
      </c>
      <c r="N1342">
        <v>152</v>
      </c>
      <c r="O1342">
        <v>77.5</v>
      </c>
    </row>
    <row r="1343" spans="1:15">
      <c r="A1343" t="s">
        <v>1222</v>
      </c>
      <c r="B1343" t="s">
        <v>1223</v>
      </c>
      <c r="C1343" t="s">
        <v>682</v>
      </c>
      <c r="D1343" t="s">
        <v>136</v>
      </c>
      <c r="E1343">
        <v>2025</v>
      </c>
      <c r="F1343">
        <v>8</v>
      </c>
      <c r="G1343">
        <v>8</v>
      </c>
      <c r="H1343">
        <v>4060</v>
      </c>
      <c r="I1343">
        <v>0</v>
      </c>
      <c r="J1343">
        <v>0</v>
      </c>
      <c r="K1343">
        <v>67.7</v>
      </c>
      <c r="L1343">
        <v>0</v>
      </c>
      <c r="M1343">
        <v>8.5</v>
      </c>
      <c r="N1343">
        <v>64</v>
      </c>
      <c r="O1343" s="1" t="s">
        <v>1224</v>
      </c>
    </row>
    <row r="1344" spans="1:15">
      <c r="A1344" t="s">
        <v>1225</v>
      </c>
      <c r="B1344" t="s">
        <v>1226</v>
      </c>
      <c r="C1344" t="s">
        <v>682</v>
      </c>
      <c r="D1344" t="s">
        <v>194</v>
      </c>
      <c r="E1344">
        <v>2025</v>
      </c>
      <c r="F1344">
        <v>6</v>
      </c>
      <c r="G1344">
        <v>19</v>
      </c>
      <c r="H1344">
        <v>10185</v>
      </c>
      <c r="I1344">
        <v>0</v>
      </c>
      <c r="J1344">
        <v>0</v>
      </c>
      <c r="K1344">
        <v>169.8</v>
      </c>
      <c r="L1344">
        <v>0</v>
      </c>
      <c r="M1344">
        <v>8.9</v>
      </c>
      <c r="N1344">
        <v>152</v>
      </c>
      <c r="O1344" s="1" t="s">
        <v>818</v>
      </c>
    </row>
    <row r="1345" spans="1:15">
      <c r="A1345" t="s">
        <v>1225</v>
      </c>
      <c r="B1345" t="s">
        <v>1226</v>
      </c>
      <c r="C1345" t="s">
        <v>682</v>
      </c>
      <c r="D1345" t="s">
        <v>194</v>
      </c>
      <c r="E1345">
        <v>2025</v>
      </c>
      <c r="F1345">
        <v>7</v>
      </c>
      <c r="G1345">
        <v>19</v>
      </c>
      <c r="H1345">
        <v>10552</v>
      </c>
      <c r="I1345">
        <v>0</v>
      </c>
      <c r="J1345">
        <v>0</v>
      </c>
      <c r="K1345">
        <v>175.9</v>
      </c>
      <c r="L1345">
        <v>0</v>
      </c>
      <c r="M1345">
        <v>9.3000000000000007</v>
      </c>
      <c r="N1345">
        <v>152</v>
      </c>
      <c r="O1345" s="1" t="s">
        <v>230</v>
      </c>
    </row>
    <row r="1346" spans="1:15">
      <c r="A1346" t="s">
        <v>1225</v>
      </c>
      <c r="B1346" t="s">
        <v>1226</v>
      </c>
      <c r="C1346" t="s">
        <v>682</v>
      </c>
      <c r="D1346" t="s">
        <v>194</v>
      </c>
      <c r="E1346">
        <v>2025</v>
      </c>
      <c r="F1346">
        <v>8</v>
      </c>
      <c r="G1346">
        <v>16</v>
      </c>
      <c r="H1346">
        <v>8307</v>
      </c>
      <c r="I1346">
        <v>0</v>
      </c>
      <c r="J1346">
        <v>0</v>
      </c>
      <c r="K1346">
        <v>138.4</v>
      </c>
      <c r="L1346">
        <v>0</v>
      </c>
      <c r="M1346">
        <v>8.6</v>
      </c>
      <c r="N1346">
        <v>128</v>
      </c>
      <c r="O1346" s="1" t="s">
        <v>335</v>
      </c>
    </row>
    <row r="1347" spans="1:15">
      <c r="A1347" t="s">
        <v>1227</v>
      </c>
      <c r="B1347" t="s">
        <v>1228</v>
      </c>
      <c r="C1347" t="s">
        <v>733</v>
      </c>
      <c r="D1347" t="s">
        <v>194</v>
      </c>
      <c r="E1347">
        <v>2025</v>
      </c>
      <c r="F1347">
        <v>6</v>
      </c>
      <c r="G1347">
        <v>18</v>
      </c>
      <c r="H1347">
        <v>9957</v>
      </c>
      <c r="I1347">
        <v>0</v>
      </c>
      <c r="J1347">
        <v>0</v>
      </c>
      <c r="K1347">
        <v>166</v>
      </c>
      <c r="L1347">
        <v>0</v>
      </c>
      <c r="M1347">
        <v>9.1999999999999993</v>
      </c>
      <c r="N1347">
        <v>144</v>
      </c>
      <c r="O1347">
        <v>22</v>
      </c>
    </row>
    <row r="1348" spans="1:15">
      <c r="A1348" t="s">
        <v>1227</v>
      </c>
      <c r="B1348" t="s">
        <v>1228</v>
      </c>
      <c r="C1348" t="s">
        <v>733</v>
      </c>
      <c r="D1348" t="s">
        <v>194</v>
      </c>
      <c r="E1348">
        <v>2025</v>
      </c>
      <c r="F1348">
        <v>7</v>
      </c>
      <c r="G1348">
        <v>20</v>
      </c>
      <c r="H1348">
        <v>10492</v>
      </c>
      <c r="I1348">
        <v>0</v>
      </c>
      <c r="J1348">
        <v>1</v>
      </c>
      <c r="K1348">
        <v>174.9</v>
      </c>
      <c r="L1348">
        <v>0</v>
      </c>
      <c r="M1348">
        <v>8.6999999999999993</v>
      </c>
      <c r="N1348">
        <v>152</v>
      </c>
      <c r="O1348" s="1" t="s">
        <v>167</v>
      </c>
    </row>
    <row r="1349" spans="1:15">
      <c r="A1349" t="s">
        <v>1227</v>
      </c>
      <c r="B1349" t="s">
        <v>1228</v>
      </c>
      <c r="C1349" t="s">
        <v>733</v>
      </c>
      <c r="D1349" t="s">
        <v>194</v>
      </c>
      <c r="E1349">
        <v>2025</v>
      </c>
      <c r="F1349">
        <v>8</v>
      </c>
      <c r="G1349">
        <v>15</v>
      </c>
      <c r="H1349">
        <v>7334</v>
      </c>
      <c r="I1349">
        <v>0</v>
      </c>
      <c r="J1349">
        <v>0</v>
      </c>
      <c r="K1349">
        <v>122.2</v>
      </c>
      <c r="L1349">
        <v>0</v>
      </c>
      <c r="M1349">
        <v>8.1</v>
      </c>
      <c r="N1349">
        <v>120</v>
      </c>
      <c r="O1349" s="1" t="s">
        <v>342</v>
      </c>
    </row>
    <row r="1350" spans="1:15">
      <c r="A1350" t="s">
        <v>1229</v>
      </c>
      <c r="B1350" t="s">
        <v>1230</v>
      </c>
      <c r="C1350" t="s">
        <v>682</v>
      </c>
      <c r="D1350" t="s">
        <v>136</v>
      </c>
      <c r="E1350">
        <v>2025</v>
      </c>
      <c r="F1350">
        <v>6</v>
      </c>
      <c r="G1350">
        <v>18</v>
      </c>
      <c r="H1350">
        <v>12490</v>
      </c>
      <c r="I1350">
        <v>2435</v>
      </c>
      <c r="J1350">
        <v>0</v>
      </c>
      <c r="K1350">
        <v>208.2</v>
      </c>
      <c r="L1350">
        <v>40.6</v>
      </c>
      <c r="M1350">
        <v>11.6</v>
      </c>
      <c r="N1350">
        <v>144</v>
      </c>
      <c r="O1350" s="1" t="s">
        <v>1231</v>
      </c>
    </row>
    <row r="1351" spans="1:15">
      <c r="A1351" t="s">
        <v>1229</v>
      </c>
      <c r="B1351" t="s">
        <v>1230</v>
      </c>
      <c r="C1351" t="s">
        <v>682</v>
      </c>
      <c r="D1351" t="s">
        <v>136</v>
      </c>
      <c r="E1351">
        <v>2025</v>
      </c>
      <c r="F1351">
        <v>7</v>
      </c>
      <c r="G1351">
        <v>19</v>
      </c>
      <c r="H1351">
        <v>12252</v>
      </c>
      <c r="I1351">
        <v>1414</v>
      </c>
      <c r="J1351">
        <v>0</v>
      </c>
      <c r="K1351">
        <v>204.2</v>
      </c>
      <c r="L1351">
        <v>23.6</v>
      </c>
      <c r="M1351">
        <v>10.7</v>
      </c>
      <c r="N1351">
        <v>152</v>
      </c>
      <c r="O1351" s="1" t="s">
        <v>270</v>
      </c>
    </row>
    <row r="1352" spans="1:15">
      <c r="A1352" t="s">
        <v>1229</v>
      </c>
      <c r="B1352" t="s">
        <v>1230</v>
      </c>
      <c r="C1352" t="s">
        <v>682</v>
      </c>
      <c r="D1352" t="s">
        <v>136</v>
      </c>
      <c r="E1352">
        <v>2025</v>
      </c>
      <c r="F1352">
        <v>8</v>
      </c>
      <c r="G1352">
        <v>16</v>
      </c>
      <c r="H1352">
        <v>10419</v>
      </c>
      <c r="I1352">
        <v>1794</v>
      </c>
      <c r="J1352">
        <v>0</v>
      </c>
      <c r="K1352">
        <v>173.6</v>
      </c>
      <c r="L1352">
        <v>29.9</v>
      </c>
      <c r="M1352">
        <v>10.8</v>
      </c>
      <c r="N1352">
        <v>128</v>
      </c>
      <c r="O1352" s="1" t="s">
        <v>98</v>
      </c>
    </row>
    <row r="1353" spans="1:15">
      <c r="A1353" t="s">
        <v>1232</v>
      </c>
      <c r="B1353" t="s">
        <v>1233</v>
      </c>
      <c r="C1353" t="s">
        <v>733</v>
      </c>
      <c r="D1353" t="s">
        <v>194</v>
      </c>
      <c r="E1353">
        <v>2025</v>
      </c>
      <c r="F1353">
        <v>6</v>
      </c>
      <c r="G1353">
        <v>19</v>
      </c>
      <c r="H1353">
        <v>10749</v>
      </c>
      <c r="I1353">
        <v>116</v>
      </c>
      <c r="J1353">
        <v>0</v>
      </c>
      <c r="K1353">
        <v>179.2</v>
      </c>
      <c r="L1353">
        <v>1.9</v>
      </c>
      <c r="M1353">
        <v>9.4</v>
      </c>
      <c r="N1353">
        <v>152</v>
      </c>
      <c r="O1353" s="1" t="s">
        <v>442</v>
      </c>
    </row>
    <row r="1354" spans="1:15">
      <c r="A1354" t="s">
        <v>1232</v>
      </c>
      <c r="B1354" t="s">
        <v>1233</v>
      </c>
      <c r="C1354" t="s">
        <v>733</v>
      </c>
      <c r="D1354" t="s">
        <v>194</v>
      </c>
      <c r="E1354">
        <v>2025</v>
      </c>
      <c r="F1354">
        <v>7</v>
      </c>
      <c r="G1354">
        <v>22</v>
      </c>
      <c r="H1354">
        <v>10315</v>
      </c>
      <c r="I1354">
        <v>76</v>
      </c>
      <c r="J1354">
        <v>0</v>
      </c>
      <c r="K1354">
        <v>171.9</v>
      </c>
      <c r="L1354">
        <v>1.3</v>
      </c>
      <c r="M1354">
        <v>7.8</v>
      </c>
      <c r="N1354">
        <v>176</v>
      </c>
      <c r="O1354">
        <v>-4.0999999999999996</v>
      </c>
    </row>
    <row r="1355" spans="1:15">
      <c r="A1355" t="s">
        <v>1232</v>
      </c>
      <c r="B1355" t="s">
        <v>1233</v>
      </c>
      <c r="C1355" t="s">
        <v>733</v>
      </c>
      <c r="D1355" t="s">
        <v>194</v>
      </c>
      <c r="E1355">
        <v>2025</v>
      </c>
      <c r="F1355">
        <v>8</v>
      </c>
      <c r="G1355">
        <v>17</v>
      </c>
      <c r="H1355">
        <v>8727</v>
      </c>
      <c r="I1355">
        <v>0</v>
      </c>
      <c r="J1355">
        <v>0</v>
      </c>
      <c r="K1355">
        <v>145.4</v>
      </c>
      <c r="L1355">
        <v>0</v>
      </c>
      <c r="M1355">
        <v>8.6</v>
      </c>
      <c r="N1355">
        <v>136</v>
      </c>
      <c r="O1355" s="1" t="s">
        <v>1123</v>
      </c>
    </row>
    <row r="1356" spans="1:15">
      <c r="A1356" t="s">
        <v>1234</v>
      </c>
      <c r="B1356" t="s">
        <v>1235</v>
      </c>
      <c r="C1356" t="s">
        <v>950</v>
      </c>
      <c r="D1356" t="s">
        <v>194</v>
      </c>
      <c r="E1356">
        <v>2025</v>
      </c>
      <c r="F1356">
        <v>6</v>
      </c>
      <c r="G1356">
        <v>17</v>
      </c>
      <c r="H1356">
        <v>9671</v>
      </c>
      <c r="I1356">
        <v>0</v>
      </c>
      <c r="J1356">
        <v>0</v>
      </c>
      <c r="K1356">
        <v>161.19999999999999</v>
      </c>
      <c r="L1356">
        <v>0</v>
      </c>
      <c r="M1356">
        <v>9.5</v>
      </c>
      <c r="N1356">
        <v>136</v>
      </c>
      <c r="O1356" s="1" t="s">
        <v>971</v>
      </c>
    </row>
    <row r="1357" spans="1:15">
      <c r="A1357" t="s">
        <v>1234</v>
      </c>
      <c r="B1357" t="s">
        <v>1235</v>
      </c>
      <c r="C1357" t="s">
        <v>950</v>
      </c>
      <c r="D1357" t="s">
        <v>194</v>
      </c>
      <c r="E1357">
        <v>2025</v>
      </c>
      <c r="F1357">
        <v>7</v>
      </c>
      <c r="G1357">
        <v>16</v>
      </c>
      <c r="H1357">
        <v>8879</v>
      </c>
      <c r="I1357">
        <v>0</v>
      </c>
      <c r="J1357">
        <v>0</v>
      </c>
      <c r="K1357">
        <v>148</v>
      </c>
      <c r="L1357">
        <v>0</v>
      </c>
      <c r="M1357">
        <v>9.1999999999999993</v>
      </c>
      <c r="N1357">
        <v>128</v>
      </c>
      <c r="O1357">
        <v>20</v>
      </c>
    </row>
    <row r="1358" spans="1:15">
      <c r="A1358" t="s">
        <v>1234</v>
      </c>
      <c r="B1358" t="s">
        <v>1235</v>
      </c>
      <c r="C1358" t="s">
        <v>950</v>
      </c>
      <c r="D1358" t="s">
        <v>194</v>
      </c>
      <c r="E1358">
        <v>2025</v>
      </c>
      <c r="F1358">
        <v>8</v>
      </c>
      <c r="G1358">
        <v>14</v>
      </c>
      <c r="H1358">
        <v>7172</v>
      </c>
      <c r="I1358">
        <v>0</v>
      </c>
      <c r="J1358">
        <v>0</v>
      </c>
      <c r="K1358">
        <v>119.5</v>
      </c>
      <c r="L1358">
        <v>0</v>
      </c>
      <c r="M1358">
        <v>8.5</v>
      </c>
      <c r="N1358">
        <v>112</v>
      </c>
      <c r="O1358">
        <v>7.5</v>
      </c>
    </row>
    <row r="1359" spans="1:15">
      <c r="A1359" t="s">
        <v>1236</v>
      </c>
      <c r="B1359" t="s">
        <v>1237</v>
      </c>
      <c r="C1359" t="s">
        <v>622</v>
      </c>
      <c r="D1359" t="s">
        <v>194</v>
      </c>
      <c r="E1359">
        <v>2025</v>
      </c>
      <c r="F1359">
        <v>6</v>
      </c>
      <c r="G1359">
        <v>19</v>
      </c>
      <c r="H1359">
        <v>10621</v>
      </c>
      <c r="I1359">
        <v>0</v>
      </c>
      <c r="J1359">
        <v>0</v>
      </c>
      <c r="K1359">
        <v>177</v>
      </c>
      <c r="L1359">
        <v>0</v>
      </c>
      <c r="M1359">
        <v>9.3000000000000007</v>
      </c>
      <c r="N1359">
        <v>152</v>
      </c>
      <c r="O1359">
        <v>25</v>
      </c>
    </row>
    <row r="1360" spans="1:15">
      <c r="A1360" t="s">
        <v>1236</v>
      </c>
      <c r="B1360" t="s">
        <v>1237</v>
      </c>
      <c r="C1360" t="s">
        <v>622</v>
      </c>
      <c r="D1360" t="s">
        <v>194</v>
      </c>
      <c r="E1360">
        <v>2025</v>
      </c>
      <c r="F1360">
        <v>7</v>
      </c>
      <c r="G1360">
        <v>19</v>
      </c>
      <c r="H1360">
        <v>10746</v>
      </c>
      <c r="I1360">
        <v>103</v>
      </c>
      <c r="J1360">
        <v>0</v>
      </c>
      <c r="K1360">
        <v>179.1</v>
      </c>
      <c r="L1360">
        <v>1.7</v>
      </c>
      <c r="M1360">
        <v>9.4</v>
      </c>
      <c r="N1360">
        <v>152</v>
      </c>
      <c r="O1360" s="1" t="s">
        <v>276</v>
      </c>
    </row>
    <row r="1361" spans="1:15">
      <c r="A1361" t="s">
        <v>1236</v>
      </c>
      <c r="B1361" t="s">
        <v>1237</v>
      </c>
      <c r="C1361" t="s">
        <v>622</v>
      </c>
      <c r="D1361" t="s">
        <v>194</v>
      </c>
      <c r="E1361">
        <v>2025</v>
      </c>
      <c r="F1361">
        <v>8</v>
      </c>
      <c r="G1361">
        <v>16</v>
      </c>
      <c r="H1361">
        <v>8784</v>
      </c>
      <c r="I1361">
        <v>0</v>
      </c>
      <c r="J1361">
        <v>0</v>
      </c>
      <c r="K1361">
        <v>146.4</v>
      </c>
      <c r="L1361">
        <v>0</v>
      </c>
      <c r="M1361">
        <v>9.1999999999999993</v>
      </c>
      <c r="N1361">
        <v>128</v>
      </c>
      <c r="O1361" s="1" t="s">
        <v>478</v>
      </c>
    </row>
    <row r="1362" spans="1:15">
      <c r="A1362" t="s">
        <v>1238</v>
      </c>
      <c r="B1362" t="s">
        <v>1239</v>
      </c>
      <c r="C1362" t="s">
        <v>757</v>
      </c>
      <c r="D1362" t="s">
        <v>194</v>
      </c>
      <c r="E1362">
        <v>2025</v>
      </c>
      <c r="F1362">
        <v>6</v>
      </c>
      <c r="G1362">
        <v>18</v>
      </c>
      <c r="H1362">
        <v>10125</v>
      </c>
      <c r="I1362">
        <v>314</v>
      </c>
      <c r="J1362">
        <v>0</v>
      </c>
      <c r="K1362">
        <v>168.8</v>
      </c>
      <c r="L1362">
        <v>5.2</v>
      </c>
      <c r="M1362">
        <v>9.4</v>
      </c>
      <c r="N1362">
        <v>144</v>
      </c>
      <c r="O1362" s="1" t="s">
        <v>63</v>
      </c>
    </row>
    <row r="1363" spans="1:15">
      <c r="A1363" t="s">
        <v>1238</v>
      </c>
      <c r="B1363" t="s">
        <v>1239</v>
      </c>
      <c r="C1363" t="s">
        <v>757</v>
      </c>
      <c r="D1363" t="s">
        <v>194</v>
      </c>
      <c r="E1363">
        <v>2025</v>
      </c>
      <c r="F1363">
        <v>7</v>
      </c>
      <c r="G1363">
        <v>23</v>
      </c>
      <c r="H1363">
        <v>13423</v>
      </c>
      <c r="I1363">
        <v>669</v>
      </c>
      <c r="J1363">
        <v>0</v>
      </c>
      <c r="K1363">
        <v>223.7</v>
      </c>
      <c r="L1363">
        <v>11.2</v>
      </c>
      <c r="M1363">
        <v>9.6999999999999993</v>
      </c>
      <c r="N1363">
        <v>184</v>
      </c>
      <c r="O1363" s="1" t="s">
        <v>1240</v>
      </c>
    </row>
    <row r="1364" spans="1:15">
      <c r="A1364" t="s">
        <v>1238</v>
      </c>
      <c r="B1364" t="s">
        <v>1239</v>
      </c>
      <c r="C1364" t="s">
        <v>757</v>
      </c>
      <c r="D1364" t="s">
        <v>194</v>
      </c>
      <c r="E1364">
        <v>2025</v>
      </c>
      <c r="F1364">
        <v>8</v>
      </c>
      <c r="G1364">
        <v>17</v>
      </c>
      <c r="H1364">
        <v>9220</v>
      </c>
      <c r="I1364">
        <v>469</v>
      </c>
      <c r="J1364">
        <v>0</v>
      </c>
      <c r="K1364">
        <v>153.69999999999999</v>
      </c>
      <c r="L1364">
        <v>7.8</v>
      </c>
      <c r="M1364">
        <v>9</v>
      </c>
      <c r="N1364">
        <v>136</v>
      </c>
      <c r="O1364" s="1" t="s">
        <v>643</v>
      </c>
    </row>
    <row r="1365" spans="1:15">
      <c r="A1365" t="s">
        <v>1241</v>
      </c>
      <c r="B1365" t="s">
        <v>1242</v>
      </c>
      <c r="C1365" t="s">
        <v>757</v>
      </c>
      <c r="D1365" t="s">
        <v>194</v>
      </c>
      <c r="E1365">
        <v>2025</v>
      </c>
      <c r="F1365">
        <v>6</v>
      </c>
      <c r="G1365">
        <v>18</v>
      </c>
      <c r="H1365">
        <v>11179</v>
      </c>
      <c r="I1365">
        <v>1388</v>
      </c>
      <c r="J1365">
        <v>0</v>
      </c>
      <c r="K1365">
        <v>186.3</v>
      </c>
      <c r="L1365">
        <v>23.1</v>
      </c>
      <c r="M1365">
        <v>10.4</v>
      </c>
      <c r="N1365">
        <v>144</v>
      </c>
      <c r="O1365" s="1" t="s">
        <v>29</v>
      </c>
    </row>
    <row r="1366" spans="1:15">
      <c r="A1366" t="s">
        <v>1241</v>
      </c>
      <c r="B1366" t="s">
        <v>1242</v>
      </c>
      <c r="C1366" t="s">
        <v>757</v>
      </c>
      <c r="D1366" t="s">
        <v>194</v>
      </c>
      <c r="E1366">
        <v>2025</v>
      </c>
      <c r="F1366">
        <v>7</v>
      </c>
      <c r="G1366">
        <v>19</v>
      </c>
      <c r="H1366">
        <v>13234</v>
      </c>
      <c r="I1366">
        <v>1427</v>
      </c>
      <c r="J1366">
        <v>1</v>
      </c>
      <c r="K1366">
        <v>220.6</v>
      </c>
      <c r="L1366">
        <v>23.8</v>
      </c>
      <c r="M1366">
        <v>11.6</v>
      </c>
      <c r="N1366">
        <v>144</v>
      </c>
      <c r="O1366">
        <v>76.599999999999994</v>
      </c>
    </row>
    <row r="1367" spans="1:15">
      <c r="A1367" t="s">
        <v>1241</v>
      </c>
      <c r="B1367" t="s">
        <v>1242</v>
      </c>
      <c r="C1367" t="s">
        <v>757</v>
      </c>
      <c r="D1367" t="s">
        <v>194</v>
      </c>
      <c r="E1367">
        <v>2025</v>
      </c>
      <c r="F1367">
        <v>8</v>
      </c>
      <c r="G1367">
        <v>17</v>
      </c>
      <c r="H1367">
        <v>10206</v>
      </c>
      <c r="I1367">
        <v>1033</v>
      </c>
      <c r="J1367">
        <v>0</v>
      </c>
      <c r="K1367">
        <v>170.1</v>
      </c>
      <c r="L1367">
        <v>17.2</v>
      </c>
      <c r="M1367">
        <v>10</v>
      </c>
      <c r="N1367">
        <v>136</v>
      </c>
      <c r="O1367" s="1" t="s">
        <v>1243</v>
      </c>
    </row>
    <row r="1368" spans="1:15">
      <c r="A1368" t="s">
        <v>1244</v>
      </c>
      <c r="B1368" t="s">
        <v>1245</v>
      </c>
      <c r="C1368" t="s">
        <v>757</v>
      </c>
      <c r="D1368" t="s">
        <v>194</v>
      </c>
      <c r="E1368">
        <v>2025</v>
      </c>
      <c r="F1368">
        <v>6</v>
      </c>
      <c r="G1368">
        <v>18</v>
      </c>
      <c r="H1368">
        <v>10755</v>
      </c>
      <c r="I1368">
        <v>645</v>
      </c>
      <c r="J1368">
        <v>0</v>
      </c>
      <c r="K1368">
        <v>179.2</v>
      </c>
      <c r="L1368">
        <v>10.8</v>
      </c>
      <c r="M1368">
        <v>10</v>
      </c>
      <c r="N1368">
        <v>144</v>
      </c>
      <c r="O1368" s="1" t="s">
        <v>582</v>
      </c>
    </row>
    <row r="1369" spans="1:15">
      <c r="A1369" t="s">
        <v>1244</v>
      </c>
      <c r="B1369" t="s">
        <v>1245</v>
      </c>
      <c r="C1369" t="s">
        <v>757</v>
      </c>
      <c r="D1369" t="s">
        <v>194</v>
      </c>
      <c r="E1369">
        <v>2025</v>
      </c>
      <c r="F1369">
        <v>7</v>
      </c>
      <c r="G1369">
        <v>18</v>
      </c>
      <c r="H1369">
        <v>10749</v>
      </c>
      <c r="I1369">
        <v>605</v>
      </c>
      <c r="J1369">
        <v>0</v>
      </c>
      <c r="K1369">
        <v>179.2</v>
      </c>
      <c r="L1369">
        <v>10.1</v>
      </c>
      <c r="M1369">
        <v>10</v>
      </c>
      <c r="N1369">
        <v>144</v>
      </c>
      <c r="O1369" s="1" t="s">
        <v>582</v>
      </c>
    </row>
    <row r="1370" spans="1:15">
      <c r="A1370" t="s">
        <v>1244</v>
      </c>
      <c r="B1370" t="s">
        <v>1245</v>
      </c>
      <c r="C1370" t="s">
        <v>757</v>
      </c>
      <c r="D1370" t="s">
        <v>194</v>
      </c>
      <c r="E1370">
        <v>2025</v>
      </c>
      <c r="F1370">
        <v>8</v>
      </c>
      <c r="G1370">
        <v>16</v>
      </c>
      <c r="H1370">
        <v>8718</v>
      </c>
      <c r="I1370">
        <v>560</v>
      </c>
      <c r="J1370">
        <v>0</v>
      </c>
      <c r="K1370">
        <v>145.30000000000001</v>
      </c>
      <c r="L1370">
        <v>9.3000000000000007</v>
      </c>
      <c r="M1370">
        <v>9.1</v>
      </c>
      <c r="N1370">
        <v>128</v>
      </c>
      <c r="O1370" s="1" t="s">
        <v>1177</v>
      </c>
    </row>
    <row r="1371" spans="1:15">
      <c r="A1371" t="s">
        <v>1246</v>
      </c>
      <c r="B1371" t="s">
        <v>1247</v>
      </c>
      <c r="C1371" t="s">
        <v>733</v>
      </c>
      <c r="D1371" t="s">
        <v>194</v>
      </c>
      <c r="E1371">
        <v>2025</v>
      </c>
      <c r="F1371">
        <v>6</v>
      </c>
      <c r="G1371">
        <v>14</v>
      </c>
      <c r="H1371">
        <v>8081</v>
      </c>
      <c r="I1371">
        <v>244</v>
      </c>
      <c r="J1371">
        <v>0</v>
      </c>
      <c r="K1371">
        <v>134.69999999999999</v>
      </c>
      <c r="L1371">
        <v>4.0999999999999996</v>
      </c>
      <c r="M1371">
        <v>9.6</v>
      </c>
      <c r="N1371">
        <v>112</v>
      </c>
      <c r="O1371" s="1" t="s">
        <v>469</v>
      </c>
    </row>
    <row r="1372" spans="1:15">
      <c r="A1372" t="s">
        <v>1246</v>
      </c>
      <c r="B1372" t="s">
        <v>1247</v>
      </c>
      <c r="C1372" t="s">
        <v>733</v>
      </c>
      <c r="D1372" t="s">
        <v>194</v>
      </c>
      <c r="E1372">
        <v>2025</v>
      </c>
      <c r="F1372">
        <v>7</v>
      </c>
      <c r="G1372">
        <v>22</v>
      </c>
      <c r="H1372">
        <v>12213</v>
      </c>
      <c r="I1372">
        <v>80</v>
      </c>
      <c r="J1372">
        <v>0</v>
      </c>
      <c r="K1372">
        <v>203.6</v>
      </c>
      <c r="L1372">
        <v>1.3</v>
      </c>
      <c r="M1372">
        <v>9.3000000000000007</v>
      </c>
      <c r="N1372">
        <v>176</v>
      </c>
      <c r="O1372" s="1" t="s">
        <v>599</v>
      </c>
    </row>
    <row r="1373" spans="1:15">
      <c r="A1373" t="s">
        <v>1246</v>
      </c>
      <c r="B1373" t="s">
        <v>1247</v>
      </c>
      <c r="C1373" t="s">
        <v>733</v>
      </c>
      <c r="D1373" t="s">
        <v>194</v>
      </c>
      <c r="E1373">
        <v>2025</v>
      </c>
      <c r="F1373">
        <v>8</v>
      </c>
      <c r="G1373">
        <v>17</v>
      </c>
      <c r="H1373">
        <v>8992</v>
      </c>
      <c r="I1373">
        <v>0</v>
      </c>
      <c r="J1373">
        <v>0</v>
      </c>
      <c r="K1373">
        <v>149.9</v>
      </c>
      <c r="L1373">
        <v>0</v>
      </c>
      <c r="M1373">
        <v>8.8000000000000007</v>
      </c>
      <c r="N1373">
        <v>136</v>
      </c>
      <c r="O1373" s="1" t="s">
        <v>584</v>
      </c>
    </row>
    <row r="1374" spans="1:15">
      <c r="A1374" t="s">
        <v>1248</v>
      </c>
      <c r="B1374" t="s">
        <v>1249</v>
      </c>
      <c r="C1374" t="s">
        <v>691</v>
      </c>
      <c r="D1374" t="s">
        <v>194</v>
      </c>
      <c r="E1374">
        <v>2025</v>
      </c>
      <c r="F1374">
        <v>6</v>
      </c>
      <c r="G1374">
        <v>16</v>
      </c>
      <c r="H1374">
        <v>9394</v>
      </c>
      <c r="I1374">
        <v>1112</v>
      </c>
      <c r="J1374">
        <v>0</v>
      </c>
      <c r="K1374">
        <v>156.6</v>
      </c>
      <c r="L1374">
        <v>18.5</v>
      </c>
      <c r="M1374">
        <v>9.8000000000000007</v>
      </c>
      <c r="N1374">
        <v>128</v>
      </c>
      <c r="O1374" s="1" t="s">
        <v>74</v>
      </c>
    </row>
    <row r="1375" spans="1:15">
      <c r="A1375" t="s">
        <v>1248</v>
      </c>
      <c r="B1375" t="s">
        <v>1249</v>
      </c>
      <c r="C1375" t="s">
        <v>691</v>
      </c>
      <c r="D1375" t="s">
        <v>194</v>
      </c>
      <c r="E1375">
        <v>2025</v>
      </c>
      <c r="F1375">
        <v>7</v>
      </c>
      <c r="G1375">
        <v>19</v>
      </c>
      <c r="H1375">
        <v>11092</v>
      </c>
      <c r="I1375">
        <v>857</v>
      </c>
      <c r="J1375">
        <v>0</v>
      </c>
      <c r="K1375">
        <v>184.9</v>
      </c>
      <c r="L1375">
        <v>14.3</v>
      </c>
      <c r="M1375">
        <v>9.6999999999999993</v>
      </c>
      <c r="N1375">
        <v>152</v>
      </c>
      <c r="O1375" s="1" t="s">
        <v>280</v>
      </c>
    </row>
    <row r="1376" spans="1:15">
      <c r="A1376" t="s">
        <v>1248</v>
      </c>
      <c r="B1376" t="s">
        <v>1249</v>
      </c>
      <c r="C1376" t="s">
        <v>691</v>
      </c>
      <c r="D1376" t="s">
        <v>194</v>
      </c>
      <c r="E1376">
        <v>2025</v>
      </c>
      <c r="F1376">
        <v>8</v>
      </c>
      <c r="G1376">
        <v>14</v>
      </c>
      <c r="H1376">
        <v>9178</v>
      </c>
      <c r="I1376">
        <v>1322</v>
      </c>
      <c r="J1376">
        <v>0</v>
      </c>
      <c r="K1376">
        <v>153</v>
      </c>
      <c r="L1376">
        <v>22</v>
      </c>
      <c r="M1376">
        <v>10.9</v>
      </c>
      <c r="N1376">
        <v>112</v>
      </c>
      <c r="O1376">
        <v>41</v>
      </c>
    </row>
    <row r="1377" spans="1:15">
      <c r="A1377" t="s">
        <v>1250</v>
      </c>
      <c r="B1377" t="s">
        <v>1251</v>
      </c>
      <c r="C1377" t="s">
        <v>970</v>
      </c>
      <c r="D1377" t="s">
        <v>194</v>
      </c>
      <c r="E1377">
        <v>2025</v>
      </c>
      <c r="F1377">
        <v>6</v>
      </c>
      <c r="G1377">
        <v>19</v>
      </c>
      <c r="H1377">
        <v>10442</v>
      </c>
      <c r="I1377">
        <v>0</v>
      </c>
      <c r="J1377">
        <v>0</v>
      </c>
      <c r="K1377">
        <v>174</v>
      </c>
      <c r="L1377">
        <v>0</v>
      </c>
      <c r="M1377">
        <v>9.1999999999999993</v>
      </c>
      <c r="N1377">
        <v>152</v>
      </c>
      <c r="O1377">
        <v>22</v>
      </c>
    </row>
    <row r="1378" spans="1:15">
      <c r="A1378" t="s">
        <v>1250</v>
      </c>
      <c r="B1378" t="s">
        <v>1251</v>
      </c>
      <c r="C1378" t="s">
        <v>970</v>
      </c>
      <c r="D1378" t="s">
        <v>194</v>
      </c>
      <c r="E1378">
        <v>2025</v>
      </c>
      <c r="F1378">
        <v>7</v>
      </c>
      <c r="G1378">
        <v>18</v>
      </c>
      <c r="H1378">
        <v>10023</v>
      </c>
      <c r="I1378">
        <v>0</v>
      </c>
      <c r="J1378">
        <v>0</v>
      </c>
      <c r="K1378">
        <v>167</v>
      </c>
      <c r="L1378">
        <v>0</v>
      </c>
      <c r="M1378">
        <v>9.3000000000000007</v>
      </c>
      <c r="N1378">
        <v>144</v>
      </c>
      <c r="O1378">
        <v>23</v>
      </c>
    </row>
    <row r="1379" spans="1:15">
      <c r="A1379" t="s">
        <v>1250</v>
      </c>
      <c r="B1379" t="s">
        <v>1251</v>
      </c>
      <c r="C1379" t="s">
        <v>970</v>
      </c>
      <c r="D1379" t="s">
        <v>194</v>
      </c>
      <c r="E1379">
        <v>2025</v>
      </c>
      <c r="F1379">
        <v>8</v>
      </c>
      <c r="G1379">
        <v>15</v>
      </c>
      <c r="H1379">
        <v>7977</v>
      </c>
      <c r="I1379">
        <v>0</v>
      </c>
      <c r="J1379">
        <v>0</v>
      </c>
      <c r="K1379">
        <v>133</v>
      </c>
      <c r="L1379">
        <v>0</v>
      </c>
      <c r="M1379">
        <v>8.9</v>
      </c>
      <c r="N1379">
        <v>120</v>
      </c>
      <c r="O1379">
        <v>13</v>
      </c>
    </row>
    <row r="1380" spans="1:15">
      <c r="A1380" t="s">
        <v>1252</v>
      </c>
      <c r="B1380" t="s">
        <v>1253</v>
      </c>
      <c r="C1380" t="s">
        <v>933</v>
      </c>
      <c r="D1380" t="s">
        <v>194</v>
      </c>
      <c r="E1380">
        <v>2025</v>
      </c>
      <c r="F1380">
        <v>6</v>
      </c>
      <c r="G1380">
        <v>16</v>
      </c>
      <c r="H1380">
        <v>8401</v>
      </c>
      <c r="I1380">
        <v>0</v>
      </c>
      <c r="J1380">
        <v>0</v>
      </c>
      <c r="K1380">
        <v>140</v>
      </c>
      <c r="L1380">
        <v>0</v>
      </c>
      <c r="M1380">
        <v>8.8000000000000007</v>
      </c>
      <c r="N1380">
        <v>128</v>
      </c>
      <c r="O1380">
        <v>12</v>
      </c>
    </row>
    <row r="1381" spans="1:15">
      <c r="A1381" t="s">
        <v>1252</v>
      </c>
      <c r="B1381" t="s">
        <v>1253</v>
      </c>
      <c r="C1381" t="s">
        <v>933</v>
      </c>
      <c r="D1381" t="s">
        <v>194</v>
      </c>
      <c r="E1381">
        <v>2025</v>
      </c>
      <c r="F1381">
        <v>7</v>
      </c>
      <c r="G1381">
        <v>19</v>
      </c>
      <c r="H1381">
        <v>10165</v>
      </c>
      <c r="I1381">
        <v>0</v>
      </c>
      <c r="J1381">
        <v>0</v>
      </c>
      <c r="K1381">
        <v>169.4</v>
      </c>
      <c r="L1381">
        <v>0</v>
      </c>
      <c r="M1381">
        <v>8.9</v>
      </c>
      <c r="N1381">
        <v>152</v>
      </c>
      <c r="O1381" s="1" t="s">
        <v>105</v>
      </c>
    </row>
    <row r="1382" spans="1:15">
      <c r="A1382" t="s">
        <v>1252</v>
      </c>
      <c r="B1382" t="s">
        <v>1253</v>
      </c>
      <c r="C1382" t="s">
        <v>933</v>
      </c>
      <c r="D1382" t="s">
        <v>194</v>
      </c>
      <c r="E1382">
        <v>2025</v>
      </c>
      <c r="F1382">
        <v>8</v>
      </c>
      <c r="G1382">
        <v>15</v>
      </c>
      <c r="H1382">
        <v>7555</v>
      </c>
      <c r="I1382">
        <v>37</v>
      </c>
      <c r="J1382">
        <v>0</v>
      </c>
      <c r="K1382">
        <v>125.9</v>
      </c>
      <c r="L1382">
        <v>0.6</v>
      </c>
      <c r="M1382">
        <v>8.4</v>
      </c>
      <c r="N1382">
        <v>120</v>
      </c>
      <c r="O1382" s="1" t="s">
        <v>1254</v>
      </c>
    </row>
    <row r="1383" spans="1:15">
      <c r="A1383" t="s">
        <v>1255</v>
      </c>
      <c r="B1383" t="s">
        <v>1256</v>
      </c>
      <c r="C1383" t="s">
        <v>905</v>
      </c>
      <c r="D1383" t="s">
        <v>194</v>
      </c>
      <c r="E1383">
        <v>2025</v>
      </c>
      <c r="F1383">
        <v>6</v>
      </c>
      <c r="G1383">
        <v>18</v>
      </c>
      <c r="H1383">
        <v>10262</v>
      </c>
      <c r="I1383">
        <v>0</v>
      </c>
      <c r="J1383">
        <v>0</v>
      </c>
      <c r="K1383">
        <v>171</v>
      </c>
      <c r="L1383">
        <v>0</v>
      </c>
      <c r="M1383">
        <v>9.5</v>
      </c>
      <c r="N1383">
        <v>144</v>
      </c>
      <c r="O1383">
        <v>27</v>
      </c>
    </row>
    <row r="1384" spans="1:15">
      <c r="A1384" t="s">
        <v>1255</v>
      </c>
      <c r="B1384" t="s">
        <v>1256</v>
      </c>
      <c r="C1384" t="s">
        <v>905</v>
      </c>
      <c r="D1384" t="s">
        <v>194</v>
      </c>
      <c r="E1384">
        <v>2025</v>
      </c>
      <c r="F1384">
        <v>7</v>
      </c>
      <c r="G1384">
        <v>19</v>
      </c>
      <c r="H1384">
        <v>9487</v>
      </c>
      <c r="I1384">
        <v>0</v>
      </c>
      <c r="J1384">
        <v>0</v>
      </c>
      <c r="K1384">
        <v>158.1</v>
      </c>
      <c r="L1384">
        <v>0</v>
      </c>
      <c r="M1384">
        <v>8.3000000000000007</v>
      </c>
      <c r="N1384">
        <v>152</v>
      </c>
      <c r="O1384" s="1" t="s">
        <v>605</v>
      </c>
    </row>
    <row r="1385" spans="1:15">
      <c r="A1385" t="s">
        <v>1255</v>
      </c>
      <c r="B1385" t="s">
        <v>1256</v>
      </c>
      <c r="C1385" t="s">
        <v>905</v>
      </c>
      <c r="D1385" t="s">
        <v>194</v>
      </c>
      <c r="E1385">
        <v>2025</v>
      </c>
      <c r="F1385">
        <v>8</v>
      </c>
      <c r="G1385">
        <v>13</v>
      </c>
      <c r="H1385">
        <v>7082</v>
      </c>
      <c r="I1385">
        <v>0</v>
      </c>
      <c r="J1385">
        <v>0</v>
      </c>
      <c r="K1385">
        <v>118</v>
      </c>
      <c r="L1385">
        <v>0</v>
      </c>
      <c r="M1385">
        <v>9.1</v>
      </c>
      <c r="N1385">
        <v>104</v>
      </c>
      <c r="O1385">
        <v>14</v>
      </c>
    </row>
    <row r="1386" spans="1:15">
      <c r="A1386" t="s">
        <v>1257</v>
      </c>
      <c r="B1386" t="s">
        <v>1258</v>
      </c>
      <c r="C1386" t="s">
        <v>709</v>
      </c>
      <c r="D1386" t="s">
        <v>194</v>
      </c>
      <c r="E1386">
        <v>2025</v>
      </c>
      <c r="F1386">
        <v>6</v>
      </c>
      <c r="G1386">
        <v>19</v>
      </c>
      <c r="H1386">
        <v>11520</v>
      </c>
      <c r="I1386">
        <v>0</v>
      </c>
      <c r="J1386">
        <v>0</v>
      </c>
      <c r="K1386">
        <v>192</v>
      </c>
      <c r="L1386">
        <v>0</v>
      </c>
      <c r="M1386">
        <v>10.1</v>
      </c>
      <c r="N1386">
        <v>152</v>
      </c>
      <c r="O1386">
        <v>40</v>
      </c>
    </row>
    <row r="1387" spans="1:15">
      <c r="A1387" t="s">
        <v>1257</v>
      </c>
      <c r="B1387" t="s">
        <v>1258</v>
      </c>
      <c r="C1387" t="s">
        <v>709</v>
      </c>
      <c r="D1387" t="s">
        <v>194</v>
      </c>
      <c r="E1387">
        <v>2025</v>
      </c>
      <c r="F1387">
        <v>7</v>
      </c>
      <c r="G1387">
        <v>30</v>
      </c>
      <c r="H1387">
        <v>26321</v>
      </c>
      <c r="I1387">
        <v>0</v>
      </c>
      <c r="J1387">
        <v>8</v>
      </c>
      <c r="K1387">
        <v>438.7</v>
      </c>
      <c r="L1387">
        <v>0</v>
      </c>
      <c r="M1387">
        <v>14.6</v>
      </c>
      <c r="N1387">
        <v>176</v>
      </c>
      <c r="O1387">
        <v>262.7</v>
      </c>
    </row>
    <row r="1388" spans="1:15">
      <c r="A1388" t="s">
        <v>1257</v>
      </c>
      <c r="B1388" t="s">
        <v>1258</v>
      </c>
      <c r="C1388" t="s">
        <v>709</v>
      </c>
      <c r="D1388" t="s">
        <v>194</v>
      </c>
      <c r="E1388">
        <v>2025</v>
      </c>
      <c r="F1388">
        <v>8</v>
      </c>
      <c r="G1388">
        <v>14</v>
      </c>
      <c r="H1388">
        <v>9050</v>
      </c>
      <c r="I1388">
        <v>0</v>
      </c>
      <c r="J1388">
        <v>3</v>
      </c>
      <c r="K1388">
        <v>150.80000000000001</v>
      </c>
      <c r="L1388">
        <v>0</v>
      </c>
      <c r="M1388">
        <v>10.8</v>
      </c>
      <c r="N1388">
        <v>88</v>
      </c>
      <c r="O1388" s="1" t="s">
        <v>1259</v>
      </c>
    </row>
    <row r="1389" spans="1:15">
      <c r="A1389" t="s">
        <v>1260</v>
      </c>
      <c r="B1389" t="s">
        <v>1261</v>
      </c>
      <c r="C1389" t="s">
        <v>1069</v>
      </c>
      <c r="D1389" t="s">
        <v>194</v>
      </c>
      <c r="E1389">
        <v>2025</v>
      </c>
      <c r="F1389">
        <v>6</v>
      </c>
      <c r="G1389">
        <v>19</v>
      </c>
      <c r="H1389">
        <v>10627</v>
      </c>
      <c r="I1389">
        <v>0</v>
      </c>
      <c r="J1389">
        <v>0</v>
      </c>
      <c r="K1389">
        <v>177.1</v>
      </c>
      <c r="L1389">
        <v>0</v>
      </c>
      <c r="M1389">
        <v>9.3000000000000007</v>
      </c>
      <c r="N1389">
        <v>152</v>
      </c>
      <c r="O1389" s="1" t="s">
        <v>642</v>
      </c>
    </row>
    <row r="1390" spans="1:15">
      <c r="A1390" t="s">
        <v>1260</v>
      </c>
      <c r="B1390" t="s">
        <v>1261</v>
      </c>
      <c r="C1390" t="s">
        <v>1069</v>
      </c>
      <c r="D1390" t="s">
        <v>194</v>
      </c>
      <c r="E1390">
        <v>2025</v>
      </c>
      <c r="F1390">
        <v>7</v>
      </c>
      <c r="G1390">
        <v>17</v>
      </c>
      <c r="H1390">
        <v>9816</v>
      </c>
      <c r="I1390">
        <v>0</v>
      </c>
      <c r="J1390">
        <v>0</v>
      </c>
      <c r="K1390">
        <v>163.6</v>
      </c>
      <c r="L1390">
        <v>0</v>
      </c>
      <c r="M1390">
        <v>9.6</v>
      </c>
      <c r="N1390">
        <v>136</v>
      </c>
      <c r="O1390" s="1" t="s">
        <v>599</v>
      </c>
    </row>
    <row r="1391" spans="1:15">
      <c r="A1391" t="s">
        <v>1260</v>
      </c>
      <c r="B1391" t="s">
        <v>1261</v>
      </c>
      <c r="C1391" t="s">
        <v>1069</v>
      </c>
      <c r="D1391" t="s">
        <v>194</v>
      </c>
      <c r="E1391">
        <v>2025</v>
      </c>
      <c r="F1391">
        <v>8</v>
      </c>
      <c r="G1391">
        <v>13</v>
      </c>
      <c r="H1391">
        <v>6482</v>
      </c>
      <c r="I1391">
        <v>0</v>
      </c>
      <c r="J1391">
        <v>0</v>
      </c>
      <c r="K1391">
        <v>108</v>
      </c>
      <c r="L1391">
        <v>0</v>
      </c>
      <c r="M1391">
        <v>8.3000000000000007</v>
      </c>
      <c r="N1391">
        <v>104</v>
      </c>
      <c r="O1391">
        <v>4</v>
      </c>
    </row>
    <row r="1392" spans="1:15">
      <c r="A1392" t="s">
        <v>1262</v>
      </c>
      <c r="B1392" t="s">
        <v>1006</v>
      </c>
      <c r="C1392" t="s">
        <v>905</v>
      </c>
      <c r="D1392" t="s">
        <v>20</v>
      </c>
      <c r="E1392">
        <v>2025</v>
      </c>
      <c r="F1392">
        <v>6</v>
      </c>
      <c r="G1392">
        <v>18</v>
      </c>
      <c r="H1392">
        <v>10134</v>
      </c>
      <c r="I1392">
        <v>0</v>
      </c>
      <c r="J1392">
        <v>0</v>
      </c>
      <c r="K1392">
        <v>168.9</v>
      </c>
      <c r="L1392">
        <v>0</v>
      </c>
      <c r="M1392">
        <v>9.4</v>
      </c>
      <c r="N1392">
        <v>144</v>
      </c>
      <c r="O1392" s="1" t="s">
        <v>166</v>
      </c>
    </row>
    <row r="1393" spans="1:15">
      <c r="A1393" t="s">
        <v>1262</v>
      </c>
      <c r="B1393" t="s">
        <v>1006</v>
      </c>
      <c r="C1393" t="s">
        <v>905</v>
      </c>
      <c r="D1393" t="s">
        <v>20</v>
      </c>
      <c r="E1393">
        <v>2025</v>
      </c>
      <c r="F1393">
        <v>7</v>
      </c>
      <c r="G1393">
        <v>18</v>
      </c>
      <c r="H1393">
        <v>9473</v>
      </c>
      <c r="I1393">
        <v>0</v>
      </c>
      <c r="J1393">
        <v>0</v>
      </c>
      <c r="K1393">
        <v>157.9</v>
      </c>
      <c r="L1393">
        <v>0</v>
      </c>
      <c r="M1393">
        <v>8.8000000000000007</v>
      </c>
      <c r="N1393">
        <v>144</v>
      </c>
      <c r="O1393" s="1" t="s">
        <v>584</v>
      </c>
    </row>
    <row r="1394" spans="1:15">
      <c r="A1394" t="s">
        <v>1262</v>
      </c>
      <c r="B1394" t="s">
        <v>1006</v>
      </c>
      <c r="C1394" t="s">
        <v>905</v>
      </c>
      <c r="D1394" t="s">
        <v>20</v>
      </c>
      <c r="E1394">
        <v>2025</v>
      </c>
      <c r="F1394">
        <v>8</v>
      </c>
      <c r="G1394">
        <v>14</v>
      </c>
      <c r="H1394">
        <v>7790</v>
      </c>
      <c r="I1394">
        <v>0</v>
      </c>
      <c r="J1394">
        <v>0</v>
      </c>
      <c r="K1394">
        <v>129.80000000000001</v>
      </c>
      <c r="L1394">
        <v>0</v>
      </c>
      <c r="M1394">
        <v>9.3000000000000007</v>
      </c>
      <c r="N1394">
        <v>112</v>
      </c>
      <c r="O1394" s="1" t="s">
        <v>818</v>
      </c>
    </row>
    <row r="1395" spans="1:15">
      <c r="A1395" t="s">
        <v>1263</v>
      </c>
      <c r="B1395" t="s">
        <v>1264</v>
      </c>
      <c r="C1395" t="s">
        <v>691</v>
      </c>
      <c r="D1395" t="s">
        <v>194</v>
      </c>
      <c r="E1395">
        <v>2025</v>
      </c>
      <c r="F1395">
        <v>6</v>
      </c>
      <c r="G1395">
        <v>18</v>
      </c>
      <c r="H1395">
        <v>10595</v>
      </c>
      <c r="I1395">
        <v>145</v>
      </c>
      <c r="J1395">
        <v>0</v>
      </c>
      <c r="K1395">
        <v>176.6</v>
      </c>
      <c r="L1395">
        <v>2.4</v>
      </c>
      <c r="M1395">
        <v>9.8000000000000007</v>
      </c>
      <c r="N1395">
        <v>144</v>
      </c>
      <c r="O1395" s="1" t="s">
        <v>70</v>
      </c>
    </row>
    <row r="1396" spans="1:15">
      <c r="A1396" t="s">
        <v>1263</v>
      </c>
      <c r="B1396" t="s">
        <v>1264</v>
      </c>
      <c r="C1396" t="s">
        <v>691</v>
      </c>
      <c r="D1396" t="s">
        <v>194</v>
      </c>
      <c r="E1396">
        <v>2025</v>
      </c>
      <c r="F1396">
        <v>7</v>
      </c>
      <c r="G1396">
        <v>19</v>
      </c>
      <c r="H1396">
        <v>11961</v>
      </c>
      <c r="I1396">
        <v>130</v>
      </c>
      <c r="J1396">
        <v>0</v>
      </c>
      <c r="K1396">
        <v>199.4</v>
      </c>
      <c r="L1396">
        <v>2.2000000000000002</v>
      </c>
      <c r="M1396">
        <v>10.5</v>
      </c>
      <c r="N1396">
        <v>152</v>
      </c>
      <c r="O1396" s="1" t="s">
        <v>1265</v>
      </c>
    </row>
    <row r="1397" spans="1:15">
      <c r="A1397" t="s">
        <v>1263</v>
      </c>
      <c r="B1397" t="s">
        <v>1264</v>
      </c>
      <c r="C1397" t="s">
        <v>691</v>
      </c>
      <c r="D1397" t="s">
        <v>194</v>
      </c>
      <c r="E1397">
        <v>2025</v>
      </c>
      <c r="F1397">
        <v>8</v>
      </c>
      <c r="G1397">
        <v>12</v>
      </c>
      <c r="H1397">
        <v>6145</v>
      </c>
      <c r="I1397">
        <v>0</v>
      </c>
      <c r="J1397">
        <v>0</v>
      </c>
      <c r="K1397">
        <v>102.4</v>
      </c>
      <c r="L1397">
        <v>0</v>
      </c>
      <c r="M1397">
        <v>8.5</v>
      </c>
      <c r="N1397">
        <v>96</v>
      </c>
      <c r="O1397" s="1" t="s">
        <v>129</v>
      </c>
    </row>
    <row r="1398" spans="1:15">
      <c r="A1398" t="s">
        <v>1266</v>
      </c>
      <c r="B1398" t="s">
        <v>1267</v>
      </c>
      <c r="C1398" t="s">
        <v>76</v>
      </c>
      <c r="D1398" t="s">
        <v>20</v>
      </c>
      <c r="E1398">
        <v>2025</v>
      </c>
      <c r="F1398">
        <v>6</v>
      </c>
      <c r="G1398">
        <v>18</v>
      </c>
      <c r="H1398">
        <v>9985</v>
      </c>
      <c r="I1398">
        <v>60</v>
      </c>
      <c r="J1398">
        <v>0</v>
      </c>
      <c r="K1398">
        <v>166.4</v>
      </c>
      <c r="L1398">
        <v>1</v>
      </c>
      <c r="M1398">
        <v>9.1999999999999993</v>
      </c>
      <c r="N1398">
        <v>144</v>
      </c>
      <c r="O1398" s="1" t="s">
        <v>373</v>
      </c>
    </row>
    <row r="1399" spans="1:15">
      <c r="A1399" t="s">
        <v>1266</v>
      </c>
      <c r="B1399" t="s">
        <v>1267</v>
      </c>
      <c r="C1399" t="s">
        <v>76</v>
      </c>
      <c r="D1399" t="s">
        <v>20</v>
      </c>
      <c r="E1399">
        <v>2025</v>
      </c>
      <c r="F1399">
        <v>7</v>
      </c>
      <c r="G1399">
        <v>19</v>
      </c>
      <c r="H1399">
        <v>10392</v>
      </c>
      <c r="I1399">
        <v>480</v>
      </c>
      <c r="J1399">
        <v>0</v>
      </c>
      <c r="K1399">
        <v>173.2</v>
      </c>
      <c r="L1399">
        <v>8</v>
      </c>
      <c r="M1399">
        <v>9.1</v>
      </c>
      <c r="N1399">
        <v>152</v>
      </c>
      <c r="O1399" s="1" t="s">
        <v>1028</v>
      </c>
    </row>
    <row r="1400" spans="1:15">
      <c r="A1400" t="s">
        <v>1266</v>
      </c>
      <c r="B1400" t="s">
        <v>1267</v>
      </c>
      <c r="C1400" t="s">
        <v>76</v>
      </c>
      <c r="D1400" t="s">
        <v>20</v>
      </c>
      <c r="E1400">
        <v>2025</v>
      </c>
      <c r="F1400">
        <v>8</v>
      </c>
      <c r="G1400">
        <v>16</v>
      </c>
      <c r="H1400">
        <v>8429</v>
      </c>
      <c r="I1400">
        <v>120</v>
      </c>
      <c r="J1400">
        <v>0</v>
      </c>
      <c r="K1400">
        <v>140.5</v>
      </c>
      <c r="L1400">
        <v>2</v>
      </c>
      <c r="M1400">
        <v>8.8000000000000007</v>
      </c>
      <c r="N1400">
        <v>128</v>
      </c>
      <c r="O1400">
        <v>12.5</v>
      </c>
    </row>
    <row r="1401" spans="1:15">
      <c r="A1401" t="s">
        <v>1268</v>
      </c>
      <c r="B1401" t="s">
        <v>1269</v>
      </c>
      <c r="C1401" t="s">
        <v>915</v>
      </c>
      <c r="D1401" t="s">
        <v>136</v>
      </c>
      <c r="E1401">
        <v>2025</v>
      </c>
      <c r="F1401">
        <v>6</v>
      </c>
      <c r="G1401">
        <v>18</v>
      </c>
      <c r="H1401">
        <v>10377</v>
      </c>
      <c r="I1401">
        <v>161</v>
      </c>
      <c r="J1401">
        <v>0</v>
      </c>
      <c r="K1401">
        <v>173</v>
      </c>
      <c r="L1401">
        <v>2.7</v>
      </c>
      <c r="M1401">
        <v>9.6</v>
      </c>
      <c r="N1401">
        <v>144</v>
      </c>
      <c r="O1401">
        <v>29</v>
      </c>
    </row>
    <row r="1402" spans="1:15">
      <c r="A1402" t="s">
        <v>1268</v>
      </c>
      <c r="B1402" t="s">
        <v>1269</v>
      </c>
      <c r="C1402" t="s">
        <v>915</v>
      </c>
      <c r="D1402" t="s">
        <v>136</v>
      </c>
      <c r="E1402">
        <v>2025</v>
      </c>
      <c r="F1402">
        <v>7</v>
      </c>
      <c r="G1402">
        <v>18</v>
      </c>
      <c r="H1402">
        <v>10054</v>
      </c>
      <c r="I1402">
        <v>60</v>
      </c>
      <c r="J1402">
        <v>0</v>
      </c>
      <c r="K1402">
        <v>167.6</v>
      </c>
      <c r="L1402">
        <v>1</v>
      </c>
      <c r="M1402">
        <v>9.3000000000000007</v>
      </c>
      <c r="N1402">
        <v>144</v>
      </c>
      <c r="O1402" s="1" t="s">
        <v>672</v>
      </c>
    </row>
    <row r="1403" spans="1:15">
      <c r="A1403" t="s">
        <v>1268</v>
      </c>
      <c r="B1403" t="s">
        <v>1269</v>
      </c>
      <c r="C1403" t="s">
        <v>915</v>
      </c>
      <c r="D1403" t="s">
        <v>136</v>
      </c>
      <c r="E1403">
        <v>2025</v>
      </c>
      <c r="F1403">
        <v>8</v>
      </c>
      <c r="G1403">
        <v>15</v>
      </c>
      <c r="H1403">
        <v>8305</v>
      </c>
      <c r="I1403">
        <v>314</v>
      </c>
      <c r="J1403">
        <v>0</v>
      </c>
      <c r="K1403">
        <v>138.4</v>
      </c>
      <c r="L1403">
        <v>5.2</v>
      </c>
      <c r="M1403">
        <v>9.1999999999999993</v>
      </c>
      <c r="N1403">
        <v>120</v>
      </c>
      <c r="O1403" s="1" t="s">
        <v>478</v>
      </c>
    </row>
    <row r="1404" spans="1:15">
      <c r="A1404" t="s">
        <v>1270</v>
      </c>
      <c r="B1404" t="s">
        <v>1271</v>
      </c>
      <c r="C1404" t="s">
        <v>763</v>
      </c>
      <c r="D1404" t="s">
        <v>194</v>
      </c>
      <c r="E1404">
        <v>2025</v>
      </c>
      <c r="F1404">
        <v>6</v>
      </c>
      <c r="G1404">
        <v>19</v>
      </c>
      <c r="H1404">
        <v>13820</v>
      </c>
      <c r="I1404">
        <v>2024</v>
      </c>
      <c r="J1404">
        <v>0</v>
      </c>
      <c r="K1404">
        <v>230.3</v>
      </c>
      <c r="L1404">
        <v>33.700000000000003</v>
      </c>
      <c r="M1404">
        <v>12.1</v>
      </c>
      <c r="N1404">
        <v>152</v>
      </c>
      <c r="O1404" s="1" t="s">
        <v>1272</v>
      </c>
    </row>
    <row r="1405" spans="1:15">
      <c r="A1405" t="s">
        <v>1270</v>
      </c>
      <c r="B1405" t="s">
        <v>1271</v>
      </c>
      <c r="C1405" t="s">
        <v>763</v>
      </c>
      <c r="D1405" t="s">
        <v>194</v>
      </c>
      <c r="E1405">
        <v>2025</v>
      </c>
      <c r="F1405">
        <v>7</v>
      </c>
      <c r="G1405">
        <v>19</v>
      </c>
      <c r="H1405">
        <v>13186</v>
      </c>
      <c r="I1405">
        <v>1994</v>
      </c>
      <c r="J1405">
        <v>0</v>
      </c>
      <c r="K1405">
        <v>219.8</v>
      </c>
      <c r="L1405">
        <v>33.200000000000003</v>
      </c>
      <c r="M1405">
        <v>11.6</v>
      </c>
      <c r="N1405">
        <v>152</v>
      </c>
      <c r="O1405" s="1" t="s">
        <v>1273</v>
      </c>
    </row>
    <row r="1406" spans="1:15">
      <c r="A1406" t="s">
        <v>1270</v>
      </c>
      <c r="B1406" t="s">
        <v>1271</v>
      </c>
      <c r="C1406" t="s">
        <v>763</v>
      </c>
      <c r="D1406" t="s">
        <v>194</v>
      </c>
      <c r="E1406">
        <v>2025</v>
      </c>
      <c r="F1406">
        <v>8</v>
      </c>
      <c r="G1406">
        <v>20</v>
      </c>
      <c r="H1406">
        <v>10920</v>
      </c>
      <c r="I1406">
        <v>1713</v>
      </c>
      <c r="J1406">
        <v>3</v>
      </c>
      <c r="K1406">
        <v>182</v>
      </c>
      <c r="L1406">
        <v>28.6</v>
      </c>
      <c r="M1406">
        <v>9.1</v>
      </c>
      <c r="N1406">
        <v>136</v>
      </c>
      <c r="O1406">
        <v>46</v>
      </c>
    </row>
    <row r="1407" spans="1:15">
      <c r="A1407" t="s">
        <v>1274</v>
      </c>
      <c r="B1407" t="s">
        <v>132</v>
      </c>
      <c r="C1407" t="s">
        <v>709</v>
      </c>
      <c r="D1407" t="s">
        <v>194</v>
      </c>
      <c r="E1407">
        <v>2025</v>
      </c>
      <c r="F1407">
        <v>6</v>
      </c>
      <c r="G1407">
        <v>19</v>
      </c>
      <c r="H1407">
        <v>10321</v>
      </c>
      <c r="I1407">
        <v>0</v>
      </c>
      <c r="J1407">
        <v>0</v>
      </c>
      <c r="K1407">
        <v>172</v>
      </c>
      <c r="L1407">
        <v>0</v>
      </c>
      <c r="M1407">
        <v>9.1</v>
      </c>
      <c r="N1407">
        <v>152</v>
      </c>
      <c r="O1407">
        <v>20</v>
      </c>
    </row>
    <row r="1408" spans="1:15">
      <c r="A1408" t="s">
        <v>1274</v>
      </c>
      <c r="B1408" t="s">
        <v>132</v>
      </c>
      <c r="C1408" t="s">
        <v>709</v>
      </c>
      <c r="D1408" t="s">
        <v>194</v>
      </c>
      <c r="E1408">
        <v>2025</v>
      </c>
      <c r="F1408">
        <v>7</v>
      </c>
      <c r="G1408">
        <v>25</v>
      </c>
      <c r="H1408">
        <v>14041</v>
      </c>
      <c r="I1408">
        <v>0</v>
      </c>
      <c r="J1408">
        <v>3</v>
      </c>
      <c r="K1408">
        <v>234</v>
      </c>
      <c r="L1408">
        <v>0</v>
      </c>
      <c r="M1408">
        <v>9.4</v>
      </c>
      <c r="N1408">
        <v>176</v>
      </c>
      <c r="O1408">
        <v>58</v>
      </c>
    </row>
    <row r="1409" spans="1:15">
      <c r="A1409" t="s">
        <v>1274</v>
      </c>
      <c r="B1409" t="s">
        <v>132</v>
      </c>
      <c r="C1409" t="s">
        <v>709</v>
      </c>
      <c r="D1409" t="s">
        <v>194</v>
      </c>
      <c r="E1409">
        <v>2025</v>
      </c>
      <c r="F1409">
        <v>8</v>
      </c>
      <c r="G1409">
        <v>13</v>
      </c>
      <c r="H1409">
        <v>5915</v>
      </c>
      <c r="I1409">
        <v>0</v>
      </c>
      <c r="J1409">
        <v>1</v>
      </c>
      <c r="K1409">
        <v>98.6</v>
      </c>
      <c r="L1409">
        <v>0</v>
      </c>
      <c r="M1409">
        <v>7.6</v>
      </c>
      <c r="N1409">
        <v>96</v>
      </c>
      <c r="O1409" s="1" t="s">
        <v>1275</v>
      </c>
    </row>
    <row r="1410" spans="1:15">
      <c r="A1410" t="s">
        <v>1276</v>
      </c>
      <c r="B1410" t="s">
        <v>1277</v>
      </c>
      <c r="C1410" t="s">
        <v>709</v>
      </c>
      <c r="D1410" t="s">
        <v>194</v>
      </c>
      <c r="E1410">
        <v>2025</v>
      </c>
      <c r="F1410">
        <v>6</v>
      </c>
      <c r="G1410">
        <v>19</v>
      </c>
      <c r="H1410">
        <v>10330</v>
      </c>
      <c r="I1410">
        <v>0</v>
      </c>
      <c r="J1410">
        <v>0</v>
      </c>
      <c r="K1410">
        <v>172.2</v>
      </c>
      <c r="L1410">
        <v>0</v>
      </c>
      <c r="M1410">
        <v>9.1</v>
      </c>
      <c r="N1410">
        <v>152</v>
      </c>
      <c r="O1410" s="1" t="s">
        <v>734</v>
      </c>
    </row>
    <row r="1411" spans="1:15">
      <c r="A1411" t="s">
        <v>1276</v>
      </c>
      <c r="B1411" t="s">
        <v>1277</v>
      </c>
      <c r="C1411" t="s">
        <v>709</v>
      </c>
      <c r="D1411" t="s">
        <v>194</v>
      </c>
      <c r="E1411">
        <v>2025</v>
      </c>
      <c r="F1411">
        <v>7</v>
      </c>
      <c r="G1411">
        <v>27</v>
      </c>
      <c r="H1411">
        <v>20349</v>
      </c>
      <c r="I1411">
        <v>0</v>
      </c>
      <c r="J1411">
        <v>5</v>
      </c>
      <c r="K1411">
        <v>339.2</v>
      </c>
      <c r="L1411">
        <v>0</v>
      </c>
      <c r="M1411">
        <v>12.6</v>
      </c>
      <c r="N1411">
        <v>176</v>
      </c>
      <c r="O1411">
        <v>163.19999999999999</v>
      </c>
    </row>
    <row r="1412" spans="1:15">
      <c r="A1412" t="s">
        <v>1276</v>
      </c>
      <c r="B1412" t="s">
        <v>1277</v>
      </c>
      <c r="C1412" t="s">
        <v>709</v>
      </c>
      <c r="D1412" t="s">
        <v>194</v>
      </c>
      <c r="E1412">
        <v>2025</v>
      </c>
      <c r="F1412">
        <v>8</v>
      </c>
      <c r="G1412">
        <v>14</v>
      </c>
      <c r="H1412">
        <v>8110</v>
      </c>
      <c r="I1412">
        <v>0</v>
      </c>
      <c r="J1412">
        <v>1</v>
      </c>
      <c r="K1412">
        <v>135.19999999999999</v>
      </c>
      <c r="L1412">
        <v>0</v>
      </c>
      <c r="M1412">
        <v>9.6999999999999993</v>
      </c>
      <c r="N1412">
        <v>104</v>
      </c>
      <c r="O1412" s="1" t="s">
        <v>62</v>
      </c>
    </row>
    <row r="1413" spans="1:15">
      <c r="A1413" t="s">
        <v>1278</v>
      </c>
      <c r="B1413" t="s">
        <v>1279</v>
      </c>
      <c r="C1413" t="s">
        <v>773</v>
      </c>
      <c r="D1413" t="s">
        <v>194</v>
      </c>
      <c r="E1413">
        <v>2025</v>
      </c>
      <c r="F1413">
        <v>6</v>
      </c>
      <c r="G1413">
        <v>18</v>
      </c>
      <c r="H1413">
        <v>10376</v>
      </c>
      <c r="I1413">
        <v>0</v>
      </c>
      <c r="J1413">
        <v>0</v>
      </c>
      <c r="K1413">
        <v>172.9</v>
      </c>
      <c r="L1413">
        <v>0</v>
      </c>
      <c r="M1413">
        <v>9.6</v>
      </c>
      <c r="N1413">
        <v>144</v>
      </c>
      <c r="O1413" s="1" t="s">
        <v>55</v>
      </c>
    </row>
    <row r="1414" spans="1:15">
      <c r="A1414" t="s">
        <v>1278</v>
      </c>
      <c r="B1414" t="s">
        <v>1279</v>
      </c>
      <c r="C1414" t="s">
        <v>773</v>
      </c>
      <c r="D1414" t="s">
        <v>194</v>
      </c>
      <c r="E1414">
        <v>2025</v>
      </c>
      <c r="F1414">
        <v>7</v>
      </c>
      <c r="G1414">
        <v>14</v>
      </c>
      <c r="H1414">
        <v>8126</v>
      </c>
      <c r="I1414">
        <v>0</v>
      </c>
      <c r="J1414">
        <v>0</v>
      </c>
      <c r="K1414">
        <v>135.4</v>
      </c>
      <c r="L1414">
        <v>0</v>
      </c>
      <c r="M1414">
        <v>9.6999999999999993</v>
      </c>
      <c r="N1414">
        <v>112</v>
      </c>
      <c r="O1414" s="1" t="s">
        <v>1061</v>
      </c>
    </row>
    <row r="1415" spans="1:15">
      <c r="A1415" t="s">
        <v>1278</v>
      </c>
      <c r="B1415" t="s">
        <v>1279</v>
      </c>
      <c r="C1415" t="s">
        <v>773</v>
      </c>
      <c r="D1415" t="s">
        <v>194</v>
      </c>
      <c r="E1415">
        <v>2025</v>
      </c>
      <c r="F1415">
        <v>8</v>
      </c>
      <c r="G1415">
        <v>12</v>
      </c>
      <c r="H1415">
        <v>6277</v>
      </c>
      <c r="I1415">
        <v>0</v>
      </c>
      <c r="J1415">
        <v>0</v>
      </c>
      <c r="K1415">
        <v>104.6</v>
      </c>
      <c r="L1415">
        <v>0</v>
      </c>
      <c r="M1415">
        <v>8.6999999999999993</v>
      </c>
      <c r="N1415">
        <v>96</v>
      </c>
      <c r="O1415" s="1" t="s">
        <v>131</v>
      </c>
    </row>
    <row r="1416" spans="1:15">
      <c r="A1416" t="s">
        <v>1280</v>
      </c>
      <c r="B1416" t="s">
        <v>1281</v>
      </c>
      <c r="C1416" t="s">
        <v>682</v>
      </c>
      <c r="D1416" t="s">
        <v>194</v>
      </c>
      <c r="E1416">
        <v>2025</v>
      </c>
      <c r="F1416">
        <v>6</v>
      </c>
      <c r="G1416">
        <v>18</v>
      </c>
      <c r="H1416">
        <v>10616</v>
      </c>
      <c r="I1416">
        <v>397</v>
      </c>
      <c r="J1416">
        <v>0</v>
      </c>
      <c r="K1416">
        <v>176.9</v>
      </c>
      <c r="L1416">
        <v>6.6</v>
      </c>
      <c r="M1416">
        <v>9.8000000000000007</v>
      </c>
      <c r="N1416">
        <v>144</v>
      </c>
      <c r="O1416" s="1" t="s">
        <v>280</v>
      </c>
    </row>
    <row r="1417" spans="1:15">
      <c r="A1417" t="s">
        <v>1280</v>
      </c>
      <c r="B1417" t="s">
        <v>1281</v>
      </c>
      <c r="C1417" t="s">
        <v>682</v>
      </c>
      <c r="D1417" t="s">
        <v>194</v>
      </c>
      <c r="E1417">
        <v>2025</v>
      </c>
      <c r="F1417">
        <v>7</v>
      </c>
      <c r="G1417">
        <v>19</v>
      </c>
      <c r="H1417">
        <v>13411</v>
      </c>
      <c r="I1417">
        <v>2329</v>
      </c>
      <c r="J1417">
        <v>0</v>
      </c>
      <c r="K1417">
        <v>223.5</v>
      </c>
      <c r="L1417">
        <v>38.799999999999997</v>
      </c>
      <c r="M1417">
        <v>11.8</v>
      </c>
      <c r="N1417">
        <v>152</v>
      </c>
      <c r="O1417">
        <v>71.5</v>
      </c>
    </row>
    <row r="1418" spans="1:15">
      <c r="A1418" t="s">
        <v>1280</v>
      </c>
      <c r="B1418" t="s">
        <v>1281</v>
      </c>
      <c r="C1418" t="s">
        <v>682</v>
      </c>
      <c r="D1418" t="s">
        <v>194</v>
      </c>
      <c r="E1418">
        <v>2025</v>
      </c>
      <c r="F1418">
        <v>8</v>
      </c>
      <c r="G1418">
        <v>15</v>
      </c>
      <c r="H1418">
        <v>8320</v>
      </c>
      <c r="I1418">
        <v>818</v>
      </c>
      <c r="J1418">
        <v>0</v>
      </c>
      <c r="K1418">
        <v>138.69999999999999</v>
      </c>
      <c r="L1418">
        <v>13.6</v>
      </c>
      <c r="M1418">
        <v>9.1999999999999993</v>
      </c>
      <c r="N1418">
        <v>120</v>
      </c>
      <c r="O1418" s="1" t="s">
        <v>489</v>
      </c>
    </row>
    <row r="1419" spans="1:15">
      <c r="A1419" t="s">
        <v>1282</v>
      </c>
      <c r="B1419" t="s">
        <v>1283</v>
      </c>
      <c r="C1419" t="s">
        <v>682</v>
      </c>
      <c r="D1419" t="s">
        <v>194</v>
      </c>
      <c r="E1419">
        <v>2025</v>
      </c>
      <c r="F1419">
        <v>6</v>
      </c>
      <c r="G1419">
        <v>18</v>
      </c>
      <c r="H1419">
        <v>11026</v>
      </c>
      <c r="I1419">
        <v>629</v>
      </c>
      <c r="J1419">
        <v>0</v>
      </c>
      <c r="K1419">
        <v>183.8</v>
      </c>
      <c r="L1419">
        <v>10.5</v>
      </c>
      <c r="M1419">
        <v>10.199999999999999</v>
      </c>
      <c r="N1419">
        <v>144</v>
      </c>
      <c r="O1419" s="1" t="s">
        <v>797</v>
      </c>
    </row>
    <row r="1420" spans="1:15">
      <c r="A1420" t="s">
        <v>1282</v>
      </c>
      <c r="B1420" t="s">
        <v>1283</v>
      </c>
      <c r="C1420" t="s">
        <v>682</v>
      </c>
      <c r="D1420" t="s">
        <v>194</v>
      </c>
      <c r="E1420">
        <v>2025</v>
      </c>
      <c r="F1420">
        <v>7</v>
      </c>
      <c r="G1420">
        <v>18</v>
      </c>
      <c r="H1420">
        <v>10974</v>
      </c>
      <c r="I1420">
        <v>870</v>
      </c>
      <c r="J1420">
        <v>0</v>
      </c>
      <c r="K1420">
        <v>182.9</v>
      </c>
      <c r="L1420">
        <v>14.5</v>
      </c>
      <c r="M1420">
        <v>10.199999999999999</v>
      </c>
      <c r="N1420">
        <v>144</v>
      </c>
      <c r="O1420" s="1" t="s">
        <v>204</v>
      </c>
    </row>
    <row r="1421" spans="1:15">
      <c r="A1421" t="s">
        <v>1282</v>
      </c>
      <c r="B1421" t="s">
        <v>1283</v>
      </c>
      <c r="C1421" t="s">
        <v>682</v>
      </c>
      <c r="D1421" t="s">
        <v>194</v>
      </c>
      <c r="E1421">
        <v>2025</v>
      </c>
      <c r="F1421">
        <v>8</v>
      </c>
      <c r="G1421">
        <v>11</v>
      </c>
      <c r="H1421">
        <v>5557</v>
      </c>
      <c r="I1421">
        <v>282</v>
      </c>
      <c r="J1421">
        <v>0</v>
      </c>
      <c r="K1421">
        <v>92.6</v>
      </c>
      <c r="L1421">
        <v>4.7</v>
      </c>
      <c r="M1421">
        <v>8.4</v>
      </c>
      <c r="N1421">
        <v>88</v>
      </c>
      <c r="O1421" s="1" t="s">
        <v>849</v>
      </c>
    </row>
    <row r="1422" spans="1:15">
      <c r="A1422" t="s">
        <v>1284</v>
      </c>
      <c r="B1422" t="s">
        <v>1285</v>
      </c>
      <c r="C1422" t="s">
        <v>182</v>
      </c>
      <c r="D1422" t="s">
        <v>194</v>
      </c>
      <c r="E1422">
        <v>2025</v>
      </c>
      <c r="F1422">
        <v>6</v>
      </c>
      <c r="G1422">
        <v>19</v>
      </c>
      <c r="H1422">
        <v>10731</v>
      </c>
      <c r="I1422">
        <v>75</v>
      </c>
      <c r="J1422">
        <v>0</v>
      </c>
      <c r="K1422">
        <v>178.8</v>
      </c>
      <c r="L1422">
        <v>1.2</v>
      </c>
      <c r="M1422">
        <v>9.4</v>
      </c>
      <c r="N1422">
        <v>152</v>
      </c>
      <c r="O1422" s="1" t="s">
        <v>480</v>
      </c>
    </row>
    <row r="1423" spans="1:15">
      <c r="A1423" t="s">
        <v>1284</v>
      </c>
      <c r="B1423" t="s">
        <v>1285</v>
      </c>
      <c r="C1423" t="s">
        <v>182</v>
      </c>
      <c r="D1423" t="s">
        <v>194</v>
      </c>
      <c r="E1423">
        <v>2025</v>
      </c>
      <c r="F1423">
        <v>7</v>
      </c>
      <c r="G1423">
        <v>18</v>
      </c>
      <c r="H1423">
        <v>10122</v>
      </c>
      <c r="I1423">
        <v>54</v>
      </c>
      <c r="J1423">
        <v>0</v>
      </c>
      <c r="K1423">
        <v>168.7</v>
      </c>
      <c r="L1423">
        <v>0.9</v>
      </c>
      <c r="M1423">
        <v>9.4</v>
      </c>
      <c r="N1423">
        <v>144</v>
      </c>
      <c r="O1423" s="1" t="s">
        <v>66</v>
      </c>
    </row>
    <row r="1424" spans="1:15">
      <c r="A1424" t="s">
        <v>1284</v>
      </c>
      <c r="B1424" t="s">
        <v>1285</v>
      </c>
      <c r="C1424" t="s">
        <v>182</v>
      </c>
      <c r="D1424" t="s">
        <v>194</v>
      </c>
      <c r="E1424">
        <v>2025</v>
      </c>
      <c r="F1424">
        <v>8</v>
      </c>
      <c r="G1424">
        <v>15</v>
      </c>
      <c r="H1424">
        <v>7209</v>
      </c>
      <c r="I1424">
        <v>35</v>
      </c>
      <c r="J1424">
        <v>0</v>
      </c>
      <c r="K1424">
        <v>120.2</v>
      </c>
      <c r="L1424">
        <v>0.6</v>
      </c>
      <c r="M1424">
        <v>8</v>
      </c>
      <c r="N1424">
        <v>120</v>
      </c>
      <c r="O1424" s="1" t="s">
        <v>821</v>
      </c>
    </row>
    <row r="1425" spans="1:15">
      <c r="A1425" t="s">
        <v>1286</v>
      </c>
      <c r="B1425" t="s">
        <v>1287</v>
      </c>
      <c r="C1425" t="s">
        <v>763</v>
      </c>
      <c r="D1425" t="s">
        <v>136</v>
      </c>
      <c r="E1425">
        <v>2025</v>
      </c>
      <c r="F1425">
        <v>6</v>
      </c>
      <c r="G1425">
        <v>18</v>
      </c>
      <c r="H1425">
        <v>11479</v>
      </c>
      <c r="I1425">
        <v>1543</v>
      </c>
      <c r="J1425">
        <v>0</v>
      </c>
      <c r="K1425">
        <v>191.3</v>
      </c>
      <c r="L1425">
        <v>25.7</v>
      </c>
      <c r="M1425">
        <v>10.6</v>
      </c>
      <c r="N1425">
        <v>144</v>
      </c>
      <c r="O1425" s="1" t="s">
        <v>1288</v>
      </c>
    </row>
    <row r="1426" spans="1:15">
      <c r="A1426" t="s">
        <v>1286</v>
      </c>
      <c r="B1426" t="s">
        <v>1287</v>
      </c>
      <c r="C1426" t="s">
        <v>763</v>
      </c>
      <c r="D1426" t="s">
        <v>136</v>
      </c>
      <c r="E1426">
        <v>2025</v>
      </c>
      <c r="F1426">
        <v>7</v>
      </c>
      <c r="G1426">
        <v>20</v>
      </c>
      <c r="H1426">
        <v>14524</v>
      </c>
      <c r="I1426">
        <v>1444</v>
      </c>
      <c r="J1426">
        <v>1</v>
      </c>
      <c r="K1426">
        <v>242.1</v>
      </c>
      <c r="L1426">
        <v>24.1</v>
      </c>
      <c r="M1426">
        <v>12.1</v>
      </c>
      <c r="N1426">
        <v>152</v>
      </c>
      <c r="O1426">
        <v>90.1</v>
      </c>
    </row>
    <row r="1427" spans="1:15">
      <c r="A1427" t="s">
        <v>1286</v>
      </c>
      <c r="B1427" t="s">
        <v>1287</v>
      </c>
      <c r="C1427" t="s">
        <v>763</v>
      </c>
      <c r="D1427" t="s">
        <v>136</v>
      </c>
      <c r="E1427">
        <v>2025</v>
      </c>
      <c r="F1427">
        <v>8</v>
      </c>
      <c r="G1427">
        <v>15</v>
      </c>
      <c r="H1427">
        <v>10183</v>
      </c>
      <c r="I1427">
        <v>1352</v>
      </c>
      <c r="J1427">
        <v>0</v>
      </c>
      <c r="K1427">
        <v>169.7</v>
      </c>
      <c r="L1427">
        <v>22.5</v>
      </c>
      <c r="M1427">
        <v>11.3</v>
      </c>
      <c r="N1427">
        <v>120</v>
      </c>
      <c r="O1427" s="1" t="s">
        <v>1289</v>
      </c>
    </row>
    <row r="1428" spans="1:15">
      <c r="A1428" t="s">
        <v>1290</v>
      </c>
      <c r="B1428" t="s">
        <v>1291</v>
      </c>
      <c r="C1428" t="s">
        <v>622</v>
      </c>
      <c r="D1428" t="s">
        <v>136</v>
      </c>
      <c r="E1428">
        <v>2025</v>
      </c>
      <c r="F1428">
        <v>6</v>
      </c>
      <c r="G1428">
        <v>18</v>
      </c>
      <c r="H1428">
        <v>9753</v>
      </c>
      <c r="I1428">
        <v>37</v>
      </c>
      <c r="J1428">
        <v>0</v>
      </c>
      <c r="K1428">
        <v>162.6</v>
      </c>
      <c r="L1428">
        <v>0.6</v>
      </c>
      <c r="M1428">
        <v>9</v>
      </c>
      <c r="N1428">
        <v>144</v>
      </c>
      <c r="O1428" s="1" t="s">
        <v>46</v>
      </c>
    </row>
    <row r="1429" spans="1:15">
      <c r="A1429" t="s">
        <v>1290</v>
      </c>
      <c r="B1429" t="s">
        <v>1291</v>
      </c>
      <c r="C1429" t="s">
        <v>622</v>
      </c>
      <c r="D1429" t="s">
        <v>136</v>
      </c>
      <c r="E1429">
        <v>2025</v>
      </c>
      <c r="F1429">
        <v>7</v>
      </c>
      <c r="G1429">
        <v>18</v>
      </c>
      <c r="H1429">
        <v>10057</v>
      </c>
      <c r="I1429">
        <v>123</v>
      </c>
      <c r="J1429">
        <v>0</v>
      </c>
      <c r="K1429">
        <v>167.6</v>
      </c>
      <c r="L1429">
        <v>2</v>
      </c>
      <c r="M1429">
        <v>9.3000000000000007</v>
      </c>
      <c r="N1429">
        <v>144</v>
      </c>
      <c r="O1429" s="1" t="s">
        <v>672</v>
      </c>
    </row>
    <row r="1430" spans="1:15">
      <c r="A1430" t="s">
        <v>1290</v>
      </c>
      <c r="B1430" t="s">
        <v>1291</v>
      </c>
      <c r="C1430" t="s">
        <v>622</v>
      </c>
      <c r="D1430" t="s">
        <v>136</v>
      </c>
      <c r="E1430">
        <v>2025</v>
      </c>
      <c r="F1430">
        <v>8</v>
      </c>
      <c r="G1430">
        <v>13</v>
      </c>
      <c r="H1430">
        <v>6728</v>
      </c>
      <c r="I1430">
        <v>84</v>
      </c>
      <c r="J1430">
        <v>0</v>
      </c>
      <c r="K1430">
        <v>112.1</v>
      </c>
      <c r="L1430">
        <v>1.4</v>
      </c>
      <c r="M1430">
        <v>8.6</v>
      </c>
      <c r="N1430">
        <v>104</v>
      </c>
      <c r="O1430" s="1" t="s">
        <v>240</v>
      </c>
    </row>
    <row r="1431" spans="1:15">
      <c r="A1431" t="s">
        <v>1292</v>
      </c>
      <c r="B1431" t="s">
        <v>1293</v>
      </c>
      <c r="C1431" t="s">
        <v>856</v>
      </c>
      <c r="D1431" t="s">
        <v>136</v>
      </c>
      <c r="E1431">
        <v>2025</v>
      </c>
      <c r="F1431">
        <v>6</v>
      </c>
      <c r="G1431">
        <v>15</v>
      </c>
      <c r="H1431">
        <v>9385</v>
      </c>
      <c r="I1431">
        <v>0</v>
      </c>
      <c r="J1431">
        <v>0</v>
      </c>
      <c r="K1431">
        <v>156.4</v>
      </c>
      <c r="L1431">
        <v>0</v>
      </c>
      <c r="M1431">
        <v>10.4</v>
      </c>
      <c r="N1431">
        <v>120</v>
      </c>
      <c r="O1431" s="1" t="s">
        <v>410</v>
      </c>
    </row>
    <row r="1432" spans="1:15">
      <c r="A1432" t="s">
        <v>1292</v>
      </c>
      <c r="B1432" t="s">
        <v>1293</v>
      </c>
      <c r="C1432" t="s">
        <v>856</v>
      </c>
      <c r="D1432" t="s">
        <v>136</v>
      </c>
      <c r="E1432">
        <v>2025</v>
      </c>
      <c r="F1432">
        <v>7</v>
      </c>
      <c r="G1432">
        <v>19</v>
      </c>
      <c r="H1432">
        <v>12513</v>
      </c>
      <c r="I1432">
        <v>0</v>
      </c>
      <c r="J1432">
        <v>0</v>
      </c>
      <c r="K1432">
        <v>208.6</v>
      </c>
      <c r="L1432">
        <v>0</v>
      </c>
      <c r="M1432">
        <v>11</v>
      </c>
      <c r="N1432">
        <v>152</v>
      </c>
      <c r="O1432" s="1" t="s">
        <v>1294</v>
      </c>
    </row>
    <row r="1433" spans="1:15">
      <c r="A1433" t="s">
        <v>1292</v>
      </c>
      <c r="B1433" t="s">
        <v>1293</v>
      </c>
      <c r="C1433" t="s">
        <v>856</v>
      </c>
      <c r="D1433" t="s">
        <v>136</v>
      </c>
      <c r="E1433">
        <v>2025</v>
      </c>
      <c r="F1433">
        <v>8</v>
      </c>
      <c r="G1433">
        <v>14</v>
      </c>
      <c r="H1433">
        <v>6976</v>
      </c>
      <c r="I1433">
        <v>0</v>
      </c>
      <c r="J1433">
        <v>0</v>
      </c>
      <c r="K1433">
        <v>116.3</v>
      </c>
      <c r="L1433">
        <v>0</v>
      </c>
      <c r="M1433">
        <v>8.3000000000000007</v>
      </c>
      <c r="N1433">
        <v>112</v>
      </c>
      <c r="O1433" s="1" t="s">
        <v>1120</v>
      </c>
    </row>
    <row r="1434" spans="1:15">
      <c r="A1434" t="s">
        <v>1295</v>
      </c>
      <c r="B1434" t="s">
        <v>1296</v>
      </c>
      <c r="C1434" t="s">
        <v>700</v>
      </c>
      <c r="D1434" t="s">
        <v>136</v>
      </c>
      <c r="E1434">
        <v>2025</v>
      </c>
      <c r="F1434">
        <v>7</v>
      </c>
      <c r="G1434">
        <v>16</v>
      </c>
      <c r="H1434">
        <v>8659</v>
      </c>
      <c r="I1434">
        <v>411</v>
      </c>
      <c r="J1434">
        <v>0</v>
      </c>
      <c r="K1434">
        <v>144.30000000000001</v>
      </c>
      <c r="L1434">
        <v>6.8</v>
      </c>
      <c r="M1434">
        <v>9</v>
      </c>
      <c r="N1434">
        <v>128</v>
      </c>
      <c r="O1434" s="1" t="s">
        <v>902</v>
      </c>
    </row>
    <row r="1435" spans="1:15">
      <c r="A1435" t="s">
        <v>1295</v>
      </c>
      <c r="B1435" t="s">
        <v>1296</v>
      </c>
      <c r="C1435" t="s">
        <v>700</v>
      </c>
      <c r="D1435" t="s">
        <v>136</v>
      </c>
      <c r="E1435">
        <v>2025</v>
      </c>
      <c r="F1435">
        <v>8</v>
      </c>
      <c r="G1435">
        <v>16</v>
      </c>
      <c r="H1435">
        <v>9464</v>
      </c>
      <c r="I1435">
        <v>518</v>
      </c>
      <c r="J1435">
        <v>0</v>
      </c>
      <c r="K1435">
        <v>157.69999999999999</v>
      </c>
      <c r="L1435">
        <v>8.6</v>
      </c>
      <c r="M1435">
        <v>9.9</v>
      </c>
      <c r="N1435">
        <v>128</v>
      </c>
      <c r="O1435" s="1" t="s">
        <v>1297</v>
      </c>
    </row>
    <row r="1436" spans="1:15">
      <c r="A1436" t="s">
        <v>1298</v>
      </c>
      <c r="B1436" t="s">
        <v>1006</v>
      </c>
      <c r="C1436" t="s">
        <v>915</v>
      </c>
      <c r="D1436" t="s">
        <v>194</v>
      </c>
      <c r="E1436">
        <v>2025</v>
      </c>
      <c r="F1436">
        <v>8</v>
      </c>
      <c r="G1436">
        <v>2</v>
      </c>
      <c r="H1436">
        <v>595</v>
      </c>
      <c r="I1436">
        <v>0</v>
      </c>
      <c r="J1436">
        <v>0</v>
      </c>
      <c r="K1436">
        <v>9.9</v>
      </c>
      <c r="L1436">
        <v>0</v>
      </c>
      <c r="M1436">
        <v>5</v>
      </c>
      <c r="N1436">
        <v>16</v>
      </c>
      <c r="O1436">
        <v>-6.1</v>
      </c>
    </row>
    <row r="1437" spans="1:15">
      <c r="A1437" t="s">
        <v>1299</v>
      </c>
      <c r="B1437" t="s">
        <v>1300</v>
      </c>
      <c r="C1437" t="s">
        <v>964</v>
      </c>
      <c r="D1437" t="s">
        <v>194</v>
      </c>
      <c r="E1437">
        <v>2025</v>
      </c>
      <c r="F1437">
        <v>8</v>
      </c>
      <c r="G1437">
        <v>6</v>
      </c>
      <c r="H1437">
        <v>2778</v>
      </c>
      <c r="I1437">
        <v>0</v>
      </c>
      <c r="J1437">
        <v>0</v>
      </c>
      <c r="K1437">
        <v>46.3</v>
      </c>
      <c r="L1437">
        <v>0</v>
      </c>
      <c r="M1437">
        <v>7.7</v>
      </c>
      <c r="N1437">
        <v>48</v>
      </c>
      <c r="O1437">
        <v>-1.7</v>
      </c>
    </row>
    <row r="1438" spans="1:15">
      <c r="A1438" t="s">
        <v>1301</v>
      </c>
      <c r="B1438" t="s">
        <v>1302</v>
      </c>
      <c r="C1438" t="s">
        <v>964</v>
      </c>
      <c r="D1438" t="s">
        <v>194</v>
      </c>
      <c r="E1438">
        <v>2025</v>
      </c>
      <c r="F1438">
        <v>8</v>
      </c>
      <c r="G1438">
        <v>6</v>
      </c>
      <c r="H1438">
        <v>3083</v>
      </c>
      <c r="I1438">
        <v>0</v>
      </c>
      <c r="J1438">
        <v>0</v>
      </c>
      <c r="K1438">
        <v>51.4</v>
      </c>
      <c r="L1438">
        <v>0</v>
      </c>
      <c r="M1438">
        <v>8.6</v>
      </c>
      <c r="N1438">
        <v>48</v>
      </c>
      <c r="O1438" s="1" t="s">
        <v>1303</v>
      </c>
    </row>
    <row r="1439" spans="1:15">
      <c r="A1439" t="s">
        <v>1304</v>
      </c>
      <c r="B1439" t="s">
        <v>1305</v>
      </c>
      <c r="C1439" t="s">
        <v>970</v>
      </c>
      <c r="D1439" t="s">
        <v>194</v>
      </c>
      <c r="E1439">
        <v>2025</v>
      </c>
      <c r="F1439">
        <v>8</v>
      </c>
      <c r="G1439">
        <v>6</v>
      </c>
      <c r="H1439">
        <v>2765</v>
      </c>
      <c r="I1439">
        <v>0</v>
      </c>
      <c r="J1439">
        <v>0</v>
      </c>
      <c r="K1439">
        <v>46.1</v>
      </c>
      <c r="L1439">
        <v>0</v>
      </c>
      <c r="M1439">
        <v>7.7</v>
      </c>
      <c r="N1439">
        <v>48</v>
      </c>
      <c r="O1439">
        <v>-1.9</v>
      </c>
    </row>
    <row r="1440" spans="1:15">
      <c r="A1440" t="s">
        <v>1306</v>
      </c>
      <c r="B1440" t="s">
        <v>1307</v>
      </c>
      <c r="C1440" t="s">
        <v>970</v>
      </c>
      <c r="D1440" t="s">
        <v>194</v>
      </c>
      <c r="E1440">
        <v>2025</v>
      </c>
      <c r="F1440">
        <v>8</v>
      </c>
      <c r="G1440">
        <v>6</v>
      </c>
      <c r="H1440">
        <v>2786</v>
      </c>
      <c r="I1440">
        <v>0</v>
      </c>
      <c r="J1440">
        <v>0</v>
      </c>
      <c r="K1440">
        <v>46.4</v>
      </c>
      <c r="L1440">
        <v>0</v>
      </c>
      <c r="M1440">
        <v>7.7</v>
      </c>
      <c r="N1440">
        <v>48</v>
      </c>
      <c r="O1440">
        <v>-1.6</v>
      </c>
    </row>
    <row r="1441" spans="1:15">
      <c r="A1441" t="s">
        <v>1308</v>
      </c>
      <c r="B1441" t="s">
        <v>1309</v>
      </c>
      <c r="C1441" t="s">
        <v>905</v>
      </c>
      <c r="D1441" t="s">
        <v>194</v>
      </c>
      <c r="E1441">
        <v>2025</v>
      </c>
      <c r="F1441">
        <v>8</v>
      </c>
      <c r="G1441">
        <v>6</v>
      </c>
      <c r="H1441">
        <v>3277</v>
      </c>
      <c r="I1441">
        <v>0</v>
      </c>
      <c r="J1441">
        <v>0</v>
      </c>
      <c r="K1441">
        <v>54.6</v>
      </c>
      <c r="L1441">
        <v>0</v>
      </c>
      <c r="M1441">
        <v>9.1</v>
      </c>
      <c r="N1441">
        <v>48</v>
      </c>
      <c r="O1441" s="1" t="s">
        <v>1310</v>
      </c>
    </row>
    <row r="1442" spans="1:15">
      <c r="A1442" t="s">
        <v>1311</v>
      </c>
      <c r="B1442" t="s">
        <v>1312</v>
      </c>
      <c r="C1442" t="s">
        <v>886</v>
      </c>
      <c r="D1442" t="s">
        <v>194</v>
      </c>
      <c r="E1442">
        <v>2025</v>
      </c>
      <c r="F1442">
        <v>8</v>
      </c>
      <c r="G1442">
        <v>6</v>
      </c>
      <c r="H1442">
        <v>3822</v>
      </c>
      <c r="I1442">
        <v>0</v>
      </c>
      <c r="J1442">
        <v>0</v>
      </c>
      <c r="K1442">
        <v>63.7</v>
      </c>
      <c r="L1442">
        <v>0</v>
      </c>
      <c r="M1442">
        <v>10.6</v>
      </c>
      <c r="N1442">
        <v>48</v>
      </c>
      <c r="O1442" s="1" t="s">
        <v>1313</v>
      </c>
    </row>
    <row r="1443" spans="1:15">
      <c r="A1443" t="s">
        <v>1314</v>
      </c>
      <c r="B1443" t="s">
        <v>1315</v>
      </c>
      <c r="C1443" t="s">
        <v>886</v>
      </c>
      <c r="D1443" t="s">
        <v>194</v>
      </c>
      <c r="E1443">
        <v>2025</v>
      </c>
      <c r="F1443">
        <v>8</v>
      </c>
      <c r="G1443">
        <v>8</v>
      </c>
      <c r="H1443">
        <v>4370</v>
      </c>
      <c r="I1443">
        <v>0</v>
      </c>
      <c r="J1443">
        <v>0</v>
      </c>
      <c r="K1443">
        <v>72.8</v>
      </c>
      <c r="L1443">
        <v>0</v>
      </c>
      <c r="M1443">
        <v>9.1</v>
      </c>
      <c r="N1443">
        <v>64</v>
      </c>
      <c r="O1443" s="1" t="s">
        <v>590</v>
      </c>
    </row>
    <row r="1444" spans="1:15">
      <c r="A1444" t="s">
        <v>1316</v>
      </c>
      <c r="B1444" t="s">
        <v>1056</v>
      </c>
      <c r="C1444" t="s">
        <v>757</v>
      </c>
      <c r="D1444" t="s">
        <v>194</v>
      </c>
      <c r="E1444">
        <v>2025</v>
      </c>
      <c r="F1444">
        <v>8</v>
      </c>
      <c r="G1444">
        <v>6</v>
      </c>
      <c r="H1444">
        <v>2787</v>
      </c>
      <c r="I1444">
        <v>0</v>
      </c>
      <c r="J1444">
        <v>0</v>
      </c>
      <c r="K1444">
        <v>46.4</v>
      </c>
      <c r="L1444">
        <v>0</v>
      </c>
      <c r="M1444">
        <v>7.7</v>
      </c>
      <c r="N1444">
        <v>48</v>
      </c>
      <c r="O1444">
        <v>-1.6</v>
      </c>
    </row>
    <row r="1445" spans="1:15">
      <c r="A1445" t="s">
        <v>1317</v>
      </c>
      <c r="B1445" t="s">
        <v>1318</v>
      </c>
      <c r="C1445" t="s">
        <v>1108</v>
      </c>
      <c r="D1445" t="s">
        <v>194</v>
      </c>
      <c r="E1445">
        <v>2025</v>
      </c>
      <c r="F1445">
        <v>8</v>
      </c>
      <c r="G1445">
        <v>7</v>
      </c>
      <c r="H1445">
        <v>3794</v>
      </c>
      <c r="I1445">
        <v>191</v>
      </c>
      <c r="J1445">
        <v>0</v>
      </c>
      <c r="K1445">
        <v>63.2</v>
      </c>
      <c r="L1445">
        <v>3.2</v>
      </c>
      <c r="M1445">
        <v>9</v>
      </c>
      <c r="N1445">
        <v>56</v>
      </c>
      <c r="O1445" s="1" t="s">
        <v>1319</v>
      </c>
    </row>
    <row r="1446" spans="1:15">
      <c r="A1446" t="s">
        <v>1320</v>
      </c>
      <c r="B1446" t="s">
        <v>1321</v>
      </c>
      <c r="C1446" t="s">
        <v>700</v>
      </c>
      <c r="D1446" t="s">
        <v>194</v>
      </c>
      <c r="E1446">
        <v>2025</v>
      </c>
      <c r="F1446">
        <v>8</v>
      </c>
      <c r="G1446">
        <v>6</v>
      </c>
      <c r="H1446">
        <v>3204</v>
      </c>
      <c r="I1446">
        <v>32</v>
      </c>
      <c r="J1446">
        <v>0</v>
      </c>
      <c r="K1446">
        <v>53.4</v>
      </c>
      <c r="L1446">
        <v>0.5</v>
      </c>
      <c r="M1446">
        <v>8.9</v>
      </c>
      <c r="N1446">
        <v>48</v>
      </c>
      <c r="O1446" s="1" t="s">
        <v>1322</v>
      </c>
    </row>
    <row r="1447" spans="1:15">
      <c r="A1447" t="s">
        <v>1323</v>
      </c>
      <c r="B1447" t="s">
        <v>1324</v>
      </c>
      <c r="C1447" t="s">
        <v>654</v>
      </c>
      <c r="D1447" t="s">
        <v>194</v>
      </c>
      <c r="E1447">
        <v>2025</v>
      </c>
      <c r="F1447">
        <v>8</v>
      </c>
      <c r="G1447">
        <v>6</v>
      </c>
      <c r="H1447">
        <v>2662</v>
      </c>
      <c r="I1447">
        <v>0</v>
      </c>
      <c r="J1447">
        <v>0</v>
      </c>
      <c r="K1447">
        <v>44.4</v>
      </c>
      <c r="L1447">
        <v>0</v>
      </c>
      <c r="M1447">
        <v>7.4</v>
      </c>
      <c r="N1447">
        <v>48</v>
      </c>
      <c r="O1447">
        <v>-3.6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553-4C95-47BA-BC1D-73652B8A0CE6}">
  <dimension ref="A1:AX503"/>
  <sheetViews>
    <sheetView topLeftCell="K1" workbookViewId="0">
      <selection activeCell="W3" sqref="W3"/>
    </sheetView>
  </sheetViews>
  <sheetFormatPr baseColWidth="10" defaultColWidth="8.83203125" defaultRowHeight="17"/>
  <cols>
    <col min="3" max="3" width="11.6640625" customWidth="1"/>
    <col min="15" max="15" width="8.6640625" customWidth="1"/>
  </cols>
  <sheetData>
    <row r="1" spans="1:50">
      <c r="E1" s="4" t="s">
        <v>1332</v>
      </c>
      <c r="F1" s="4"/>
      <c r="G1" s="4"/>
      <c r="H1" s="4" t="s">
        <v>1333</v>
      </c>
      <c r="I1" s="4"/>
      <c r="J1" s="4"/>
      <c r="L1" t="s">
        <v>1341</v>
      </c>
      <c r="O1" s="4" t="s">
        <v>1334</v>
      </c>
      <c r="P1" s="4"/>
      <c r="Q1" s="4"/>
      <c r="R1" s="4"/>
      <c r="S1" s="4" t="s">
        <v>1340</v>
      </c>
      <c r="T1" s="4"/>
      <c r="U1" s="4"/>
      <c r="V1" s="4"/>
      <c r="W1" s="4" t="s">
        <v>1342</v>
      </c>
      <c r="X1" s="4"/>
      <c r="Y1" s="4"/>
      <c r="Z1" s="4"/>
      <c r="AA1" s="4" t="s">
        <v>1338</v>
      </c>
      <c r="AB1" s="4"/>
      <c r="AC1" s="4"/>
      <c r="AD1" s="4"/>
      <c r="AE1" s="4" t="s">
        <v>1397</v>
      </c>
      <c r="AF1" s="4"/>
      <c r="AG1" s="4"/>
      <c r="AH1" s="4"/>
      <c r="AI1" s="4" t="s">
        <v>1343</v>
      </c>
      <c r="AJ1" s="4"/>
      <c r="AK1" s="4"/>
      <c r="AL1" s="4"/>
      <c r="AM1" s="4" t="s">
        <v>1339</v>
      </c>
      <c r="AN1" s="4"/>
      <c r="AO1" s="4"/>
      <c r="AP1" s="4"/>
      <c r="AQ1" s="4" t="s">
        <v>1398</v>
      </c>
      <c r="AR1" s="4"/>
      <c r="AS1" s="4"/>
      <c r="AT1" s="4"/>
      <c r="AU1" s="4" t="s">
        <v>1344</v>
      </c>
      <c r="AV1" s="4"/>
      <c r="AW1" s="4"/>
      <c r="AX1" s="4"/>
    </row>
    <row r="2" spans="1:50">
      <c r="A2" t="s">
        <v>1326</v>
      </c>
      <c r="B2" t="s">
        <v>1325</v>
      </c>
      <c r="C2" t="s">
        <v>1328</v>
      </c>
      <c r="D2" t="s">
        <v>1329</v>
      </c>
      <c r="E2">
        <v>6</v>
      </c>
      <c r="F2">
        <v>7</v>
      </c>
      <c r="G2">
        <v>8</v>
      </c>
      <c r="H2">
        <v>6</v>
      </c>
      <c r="I2">
        <v>7</v>
      </c>
      <c r="J2">
        <v>8</v>
      </c>
      <c r="L2">
        <v>8</v>
      </c>
      <c r="N2" t="s">
        <v>1328</v>
      </c>
      <c r="O2" t="s">
        <v>1331</v>
      </c>
      <c r="P2" t="s">
        <v>1335</v>
      </c>
      <c r="Q2" t="s">
        <v>1336</v>
      </c>
      <c r="R2" t="s">
        <v>1337</v>
      </c>
      <c r="S2" t="s">
        <v>1331</v>
      </c>
      <c r="T2" t="s">
        <v>1335</v>
      </c>
      <c r="U2" t="s">
        <v>1336</v>
      </c>
      <c r="V2" t="s">
        <v>1337</v>
      </c>
      <c r="W2" t="s">
        <v>1331</v>
      </c>
      <c r="X2" t="s">
        <v>1335</v>
      </c>
      <c r="Y2" t="s">
        <v>1336</v>
      </c>
      <c r="Z2" t="s">
        <v>1337</v>
      </c>
      <c r="AA2" t="s">
        <v>1331</v>
      </c>
      <c r="AB2" t="s">
        <v>1335</v>
      </c>
      <c r="AC2" t="s">
        <v>1336</v>
      </c>
      <c r="AD2" t="s">
        <v>1337</v>
      </c>
      <c r="AE2" t="s">
        <v>1331</v>
      </c>
      <c r="AF2" t="s">
        <v>1335</v>
      </c>
      <c r="AG2" t="s">
        <v>1336</v>
      </c>
      <c r="AH2" t="s">
        <v>1337</v>
      </c>
      <c r="AI2" t="s">
        <v>1331</v>
      </c>
      <c r="AJ2" t="s">
        <v>1335</v>
      </c>
      <c r="AK2" t="s">
        <v>1336</v>
      </c>
      <c r="AL2" t="s">
        <v>1337</v>
      </c>
      <c r="AM2" t="s">
        <v>1331</v>
      </c>
      <c r="AN2" t="s">
        <v>1335</v>
      </c>
      <c r="AO2" t="s">
        <v>1336</v>
      </c>
      <c r="AP2" t="s">
        <v>1337</v>
      </c>
      <c r="AQ2" t="s">
        <v>1331</v>
      </c>
      <c r="AR2" t="s">
        <v>1335</v>
      </c>
      <c r="AS2" t="s">
        <v>1336</v>
      </c>
      <c r="AT2" t="s">
        <v>1337</v>
      </c>
      <c r="AU2" t="s">
        <v>1331</v>
      </c>
      <c r="AV2" t="s">
        <v>1335</v>
      </c>
      <c r="AW2" t="s">
        <v>1336</v>
      </c>
      <c r="AX2" t="s">
        <v>1337</v>
      </c>
    </row>
    <row r="3" spans="1:50">
      <c r="A3" cm="1">
        <f t="array" ref="A3:A503">_xlfn.UNIQUE(monthly_work_hours!A2:A1447)</f>
        <v>1199158</v>
      </c>
      <c r="B3" t="str">
        <f>_xlfn.XLOOKUP(A3,monthly_work_hours!A:A,monthly_work_hours!B:B)</f>
        <v>윤상규</v>
      </c>
      <c r="C3" t="str">
        <f>_xlfn.XLOOKUP(A3,monthly_work_hours!A:A,monthly_work_hours!C:C)</f>
        <v>SL생산기술팀</v>
      </c>
      <c r="D3" t="str">
        <f>_xlfn.XLOOKUP(A3,monthly_work_hours!A:A,monthly_work_hours!D:D)</f>
        <v>기능주임</v>
      </c>
      <c r="E3">
        <f>SUMIFS(monthly_work_hours!$K:$K,monthly_work_hours!$A:$A,'FTE 계산'!$A3,monthly_work_hours!$F:$F,'FTE 계산'!E$2)</f>
        <v>134.19999999999999</v>
      </c>
      <c r="F3">
        <f>SUMIFS(monthly_work_hours!$K:$K,monthly_work_hours!$A:$A,'FTE 계산'!$A3,monthly_work_hours!$F:$F,'FTE 계산'!F$2)</f>
        <v>118.2</v>
      </c>
      <c r="G3">
        <f>SUMIFS(monthly_work_hours!$K:$K,monthly_work_hours!$A:$A,'FTE 계산'!$A3,monthly_work_hours!$F:$F,'FTE 계산'!G$2)</f>
        <v>82.5</v>
      </c>
      <c r="H3">
        <f>(SUMIFS(monthly_work_hours!$G:$G,monthly_work_hours!$A:$A,'FTE 계산'!$A3,monthly_work_hours!$F:$F,'FTE 계산'!H$2)) - (SUMIFS(monthly_work_hours!$J:$J,monthly_work_hours!$A:$A,'FTE 계산'!$A3,monthly_work_hours!$F:$F,'FTE 계산'!H$2))</f>
        <v>21</v>
      </c>
      <c r="I3">
        <f>(SUMIFS(monthly_work_hours!$G:$G,monthly_work_hours!$A:$A,'FTE 계산'!$A3,monthly_work_hours!$F:$F,'FTE 계산'!I$2)) - (SUMIFS(monthly_work_hours!$J:$J,monthly_work_hours!$A:$A,'FTE 계산'!$A3,monthly_work_hours!$F:$F,'FTE 계산'!I$2))</f>
        <v>23</v>
      </c>
      <c r="J3">
        <f>(SUMIFS(monthly_work_hours!$G:$G,monthly_work_hours!$A:$A,'FTE 계산'!$A3,monthly_work_hours!$F:$F,'FTE 계산'!J$2)) - (SUMIFS(monthly_work_hours!$J:$J,monthly_work_hours!$A:$A,'FTE 계산'!$A3,monthly_work_hours!$F:$F,'FTE 계산'!J$2))</f>
        <v>17</v>
      </c>
      <c r="N3" t="str" cm="1">
        <f t="array" ref="N3:N77">_xlfn.UNIQUE(C3:C503)</f>
        <v>SL생산기술팀</v>
      </c>
      <c r="O3">
        <f>SUMIFS($E$3:$E$503,$C$3:$C$503,$N3)</f>
        <v>1446.2</v>
      </c>
      <c r="P3">
        <f>SUMIFS($E$3:$E$503,$C$3:$C$503,$N3,$D$3:$D$503,P$2)</f>
        <v>830.89999999999986</v>
      </c>
      <c r="Q3">
        <f t="shared" ref="Q3:R18" si="0">SUMIFS($E$3:$E$503,$C$3:$C$503,$N3,$D$3:$D$503,Q$2)</f>
        <v>256</v>
      </c>
      <c r="R3">
        <f t="shared" si="0"/>
        <v>54.2</v>
      </c>
      <c r="S3">
        <f>AVERAGEIFS($H$3:$H$503,$C$3:$C$503,$N3)</f>
        <v>16.600000000000001</v>
      </c>
      <c r="T3">
        <f>AVERAGEIFS($H$3:$H$503,$C$3:$C$503,$N3,$D$3:$D$503,P$2)</f>
        <v>16.8</v>
      </c>
      <c r="U3">
        <f t="shared" ref="U3:V3" si="1">AVERAGEIFS($H$3:$H$503,$C$3:$C$503,$N3,$D$3:$D$503,Q$2)</f>
        <v>16</v>
      </c>
      <c r="V3">
        <f t="shared" si="1"/>
        <v>10</v>
      </c>
      <c r="W3">
        <f>IFERROR(O3/(S3*$L$2),"-")</f>
        <v>10.890060240963855</v>
      </c>
      <c r="X3">
        <f t="shared" ref="X3:Z3" si="2">IFERROR(P3/(T3*$L$2),"-")</f>
        <v>6.1822916666666652</v>
      </c>
      <c r="Y3">
        <f t="shared" si="2"/>
        <v>2</v>
      </c>
      <c r="Z3">
        <f t="shared" si="2"/>
        <v>0.67749999999999999</v>
      </c>
      <c r="AA3">
        <f>SUMIFS($F$3:$F$503,$C$3:$C$503,$N3)</f>
        <v>1440.7999999999997</v>
      </c>
      <c r="AB3">
        <f>SUMIFS($F$3:$F$503,$C$3:$C$503,$N3,$D$3:$D$503,P$2)</f>
        <v>875.9</v>
      </c>
      <c r="AC3">
        <f t="shared" ref="AC3:AD3" si="3">SUMIFS($F$3:$F$503,$C$3:$C$503,$N3,$D$3:$D$503,Q$2)</f>
        <v>286.8</v>
      </c>
      <c r="AD3">
        <f t="shared" si="3"/>
        <v>52.3</v>
      </c>
      <c r="AE3">
        <f>AVERAGEIFS($I$3:$I$503,$C$3:$C$503,$N3)</f>
        <v>17.7</v>
      </c>
      <c r="AF3">
        <f>AVERAGEIFS($I$3:$I$503,$C$3:$C$503,$N3,$D$3:$D$503,P$2)</f>
        <v>18.2</v>
      </c>
      <c r="AG3">
        <f t="shared" ref="AG3:AH3" si="4">AVERAGEIFS($I$3:$I$503,$C$3:$C$503,$N3,$D$3:$D$503,Q$2)</f>
        <v>18</v>
      </c>
      <c r="AH3">
        <f t="shared" si="4"/>
        <v>8</v>
      </c>
      <c r="AI3">
        <f>IFERROR(AA3/(AE3*$L$2),"-")</f>
        <v>10.175141242937851</v>
      </c>
      <c r="AJ3">
        <f t="shared" ref="AJ3" si="5">IFERROR(AB3/(AF3*$L$2),"-")</f>
        <v>6.0157967032967035</v>
      </c>
      <c r="AK3">
        <f t="shared" ref="AK3" si="6">IFERROR(AC3/(AG3*$L$2),"-")</f>
        <v>1.9916666666666667</v>
      </c>
      <c r="AL3">
        <f t="shared" ref="AL3" si="7">IFERROR(AD3/(AH3*$L$2),"-")</f>
        <v>0.81718749999999996</v>
      </c>
      <c r="AM3">
        <f>SUMIFS($G$3:$G$503,$C$3:$C$503,$N3)</f>
        <v>1019.8</v>
      </c>
      <c r="AN3">
        <f>SUMIFS($G$3:$G$503,$C$3:$C$503,$N3,$D$3:$D$503,P$2)</f>
        <v>637.6</v>
      </c>
      <c r="AO3">
        <f t="shared" ref="AO3:AP3" si="8">SUMIFS($G$3:$G$503,$C$3:$C$503,$N3,$D$3:$D$503,Q$2)</f>
        <v>237.9</v>
      </c>
      <c r="AP3">
        <f t="shared" si="8"/>
        <v>0</v>
      </c>
      <c r="AQ3">
        <f>AVERAGEIFS($J$3:$J$503,$C$3:$C$503,$N3)</f>
        <v>13</v>
      </c>
      <c r="AR3">
        <f>AVERAGEIFS($J$3:$J$503,$C$3:$C$503,$N3,$D$3:$D$503,P$2)</f>
        <v>13.8</v>
      </c>
      <c r="AS3">
        <f t="shared" ref="AS3:AT3" si="9">AVERAGEIFS($J$3:$J$503,$C$3:$C$503,$N3,$D$3:$D$503,Q$2)</f>
        <v>14.5</v>
      </c>
      <c r="AT3">
        <f t="shared" si="9"/>
        <v>0</v>
      </c>
      <c r="AU3">
        <f>IFERROR(AM3/(AQ3*$L$2),"-")</f>
        <v>9.805769230769231</v>
      </c>
      <c r="AV3">
        <f t="shared" ref="AV3" si="10">IFERROR(AN3/(AR3*$L$2),"-")</f>
        <v>5.77536231884058</v>
      </c>
      <c r="AW3">
        <f t="shared" ref="AW3" si="11">IFERROR(AO3/(AS3*$L$2),"-")</f>
        <v>2.0508620689655173</v>
      </c>
      <c r="AX3" t="str">
        <f t="shared" ref="AX3" si="12">IFERROR(AP3/(AT3*$L$2),"-")</f>
        <v>-</v>
      </c>
    </row>
    <row r="4" spans="1:50">
      <c r="A4">
        <v>1202155</v>
      </c>
      <c r="B4" t="str">
        <f>_xlfn.XLOOKUP(A4,monthly_work_hours!A:A,monthly_work_hours!B:B)</f>
        <v>추상민</v>
      </c>
      <c r="C4" t="str">
        <f>_xlfn.XLOOKUP(A4,monthly_work_hours!A:A,monthly_work_hours!C:C)</f>
        <v>SL운영팀</v>
      </c>
      <c r="D4" t="str">
        <f>_xlfn.XLOOKUP(A4,monthly_work_hours!A:A,monthly_work_hours!D:D)</f>
        <v>책임</v>
      </c>
      <c r="E4">
        <f>SUMIFS(monthly_work_hours!$K:$K,monthly_work_hours!$A:$A,'FTE 계산'!$A4,monthly_work_hours!$F:$F,'FTE 계산'!E$2)</f>
        <v>3.4</v>
      </c>
      <c r="F4">
        <f>SUMIFS(monthly_work_hours!$K:$K,monthly_work_hours!$A:$A,'FTE 계산'!$A4,monthly_work_hours!$F:$F,'FTE 계산'!F$2)</f>
        <v>0</v>
      </c>
      <c r="G4">
        <f>SUMIFS(monthly_work_hours!$K:$K,monthly_work_hours!$A:$A,'FTE 계산'!$A4,monthly_work_hours!$F:$F,'FTE 계산'!G$2)</f>
        <v>0</v>
      </c>
      <c r="H4">
        <f>(SUMIFS(monthly_work_hours!$G:$G,monthly_work_hours!$A:$A,'FTE 계산'!$A4,monthly_work_hours!$F:$F,'FTE 계산'!H$2)) - (SUMIFS(monthly_work_hours!$J:$J,monthly_work_hours!$A:$A,'FTE 계산'!$A4,monthly_work_hours!$F:$F,'FTE 계산'!H$2))</f>
        <v>1</v>
      </c>
      <c r="I4">
        <f>(SUMIFS(monthly_work_hours!$G:$G,monthly_work_hours!$A:$A,'FTE 계산'!$A4,monthly_work_hours!$F:$F,'FTE 계산'!I$2)) - (SUMIFS(monthly_work_hours!$J:$J,monthly_work_hours!$A:$A,'FTE 계산'!$A4,monthly_work_hours!$F:$F,'FTE 계산'!I$2))</f>
        <v>0</v>
      </c>
      <c r="J4">
        <f>(SUMIFS(monthly_work_hours!$G:$G,monthly_work_hours!$A:$A,'FTE 계산'!$A4,monthly_work_hours!$F:$F,'FTE 계산'!J$2)) - (SUMIFS(monthly_work_hours!$J:$J,monthly_work_hours!$A:$A,'FTE 계산'!$A4,monthly_work_hours!$F:$F,'FTE 계산'!J$2))</f>
        <v>0</v>
      </c>
      <c r="N4" t="str">
        <v>SL운영팀</v>
      </c>
      <c r="O4">
        <f t="shared" ref="O4:O67" si="13">SUMIFS($E$3:$E$503,$C$3:$C$503,$N4)</f>
        <v>1174.5</v>
      </c>
      <c r="P4">
        <f t="shared" ref="P4:R35" si="14">SUMIFS($E$3:$E$503,$C$3:$C$503,$N4,$D$3:$D$503,P$2)</f>
        <v>516.5</v>
      </c>
      <c r="Q4">
        <f t="shared" si="0"/>
        <v>379.6</v>
      </c>
      <c r="R4">
        <f t="shared" si="0"/>
        <v>278.39999999999998</v>
      </c>
      <c r="S4">
        <f t="shared" ref="S4:S67" si="15">AVERAGEIFS($H$3:$H$503,$C$3:$C$503,$N4)</f>
        <v>14.875</v>
      </c>
      <c r="T4">
        <f t="shared" ref="T4:T67" si="16">AVERAGEIFS($H$3:$H$503,$C$3:$C$503,$N4,$D$3:$D$503,P$2)</f>
        <v>13.5</v>
      </c>
      <c r="U4">
        <f t="shared" ref="U4:U67" si="17">AVERAGEIFS($H$3:$H$503,$C$3:$C$503,$N4,$D$3:$D$503,Q$2)</f>
        <v>18.5</v>
      </c>
      <c r="V4">
        <f t="shared" ref="V4:V67" si="18">AVERAGEIFS($H$3:$H$503,$C$3:$C$503,$N4,$D$3:$D$503,R$2)</f>
        <v>14</v>
      </c>
      <c r="W4">
        <f t="shared" ref="W4:W67" si="19">IFERROR(O4/(S4*$L$2),"-")</f>
        <v>9.8697478991596643</v>
      </c>
      <c r="X4">
        <f t="shared" ref="X4:X67" si="20">IFERROR(P4/(T4*$L$2),"-")</f>
        <v>4.7824074074074074</v>
      </c>
      <c r="Y4">
        <f t="shared" ref="Y4:Y67" si="21">IFERROR(Q4/(U4*$L$2),"-")</f>
        <v>2.5648648648648651</v>
      </c>
      <c r="Z4">
        <f t="shared" ref="Z4:Z67" si="22">IFERROR(R4/(V4*$L$2),"-")</f>
        <v>2.4857142857142853</v>
      </c>
      <c r="AA4">
        <f t="shared" ref="AA4:AA67" si="23">SUMIFS($F$3:$F$503,$C$3:$C$503,$N4)</f>
        <v>1162.3</v>
      </c>
      <c r="AB4">
        <f t="shared" ref="AB4:AB67" si="24">SUMIFS($F$3:$F$503,$C$3:$C$503,$N4,$D$3:$D$503,P$2)</f>
        <v>486.4</v>
      </c>
      <c r="AC4">
        <f t="shared" ref="AC4:AC67" si="25">SUMIFS($F$3:$F$503,$C$3:$C$503,$N4,$D$3:$D$503,Q$2)</f>
        <v>321.5</v>
      </c>
      <c r="AD4">
        <f t="shared" ref="AD4:AD67" si="26">SUMIFS($F$3:$F$503,$C$3:$C$503,$N4,$D$3:$D$503,R$2)</f>
        <v>354.4</v>
      </c>
      <c r="AE4">
        <f t="shared" ref="AE4:AE67" si="27">AVERAGEIFS($I$3:$I$503,$C$3:$C$503,$N4)</f>
        <v>15.25</v>
      </c>
      <c r="AF4">
        <f t="shared" ref="AF4:AF67" si="28">AVERAGEIFS($I$3:$I$503,$C$3:$C$503,$N4,$D$3:$D$503,P$2)</f>
        <v>13</v>
      </c>
      <c r="AG4">
        <f t="shared" ref="AG4:AG67" si="29">AVERAGEIFS($I$3:$I$503,$C$3:$C$503,$N4,$D$3:$D$503,Q$2)</f>
        <v>16.5</v>
      </c>
      <c r="AH4">
        <f t="shared" ref="AH4:AH67" si="30">AVERAGEIFS($I$3:$I$503,$C$3:$C$503,$N4,$D$3:$D$503,R$2)</f>
        <v>18.5</v>
      </c>
      <c r="AI4">
        <f t="shared" ref="AI4:AI67" si="31">IFERROR(AA4/(AE4*$L$2),"-")</f>
        <v>9.5270491803278681</v>
      </c>
      <c r="AJ4">
        <f t="shared" ref="AJ4:AJ67" si="32">IFERROR(AB4/(AF4*$L$2),"-")</f>
        <v>4.6769230769230763</v>
      </c>
      <c r="AK4">
        <f t="shared" ref="AK4:AK67" si="33">IFERROR(AC4/(AG4*$L$2),"-")</f>
        <v>2.4356060606060606</v>
      </c>
      <c r="AL4">
        <f t="shared" ref="AL4:AL67" si="34">IFERROR(AD4/(AH4*$L$2),"-")</f>
        <v>2.3945945945945946</v>
      </c>
      <c r="AM4">
        <f t="shared" ref="AM4:AM67" si="35">SUMIFS($G$3:$G$503,$C$3:$C$503,$N4)</f>
        <v>936.3</v>
      </c>
      <c r="AN4">
        <f t="shared" ref="AN4:AN67" si="36">SUMIFS($G$3:$G$503,$C$3:$C$503,$N4,$D$3:$D$503,P$2)</f>
        <v>393.79999999999995</v>
      </c>
      <c r="AO4">
        <f t="shared" ref="AO4:AO67" si="37">SUMIFS($G$3:$G$503,$C$3:$C$503,$N4,$D$3:$D$503,Q$2)</f>
        <v>262.60000000000002</v>
      </c>
      <c r="AP4">
        <f t="shared" ref="AP4:AP67" si="38">SUMIFS($G$3:$G$503,$C$3:$C$503,$N4,$D$3:$D$503,R$2)</f>
        <v>279.89999999999998</v>
      </c>
      <c r="AQ4">
        <f t="shared" ref="AQ4:AQ67" si="39">AVERAGEIFS($J$3:$J$503,$C$3:$C$503,$N4)</f>
        <v>13.125</v>
      </c>
      <c r="AR4">
        <f t="shared" ref="AR4:AR67" si="40">AVERAGEIFS($J$3:$J$503,$C$3:$C$503,$N4,$D$3:$D$503,P$2)</f>
        <v>11</v>
      </c>
      <c r="AS4">
        <f t="shared" ref="AS4:AS67" si="41">AVERAGEIFS($J$3:$J$503,$C$3:$C$503,$N4,$D$3:$D$503,Q$2)</f>
        <v>15</v>
      </c>
      <c r="AT4">
        <f t="shared" ref="AT4:AT67" si="42">AVERAGEIFS($J$3:$J$503,$C$3:$C$503,$N4,$D$3:$D$503,R$2)</f>
        <v>15.5</v>
      </c>
      <c r="AU4">
        <f t="shared" ref="AU4:AU67" si="43">IFERROR(AM4/(AQ4*$L$2),"-")</f>
        <v>8.9171428571428564</v>
      </c>
      <c r="AV4">
        <f t="shared" ref="AV4:AV67" si="44">IFERROR(AN4/(AR4*$L$2),"-")</f>
        <v>4.4749999999999996</v>
      </c>
      <c r="AW4">
        <f t="shared" ref="AW4:AW67" si="45">IFERROR(AO4/(AS4*$L$2),"-")</f>
        <v>2.1883333333333335</v>
      </c>
      <c r="AX4">
        <f t="shared" ref="AX4:AX67" si="46">IFERROR(AP4/(AT4*$L$2),"-")</f>
        <v>2.2572580645161286</v>
      </c>
    </row>
    <row r="5" spans="1:50">
      <c r="A5">
        <v>1202183</v>
      </c>
      <c r="B5" t="str">
        <f>_xlfn.XLOOKUP(A5,monthly_work_hours!A:A,monthly_work_hours!B:B)</f>
        <v>안준철</v>
      </c>
      <c r="C5" t="str">
        <f>_xlfn.XLOOKUP(A5,monthly_work_hours!A:A,monthly_work_hours!C:C)</f>
        <v>HR팀</v>
      </c>
      <c r="D5" t="str">
        <f>_xlfn.XLOOKUP(A5,monthly_work_hours!A:A,monthly_work_hours!D:D)</f>
        <v>책임</v>
      </c>
      <c r="E5">
        <f>SUMIFS(monthly_work_hours!$K:$K,monthly_work_hours!$A:$A,'FTE 계산'!$A5,monthly_work_hours!$F:$F,'FTE 계산'!E$2)</f>
        <v>178</v>
      </c>
      <c r="F5">
        <f>SUMIFS(monthly_work_hours!$K:$K,monthly_work_hours!$A:$A,'FTE 계산'!$A5,monthly_work_hours!$F:$F,'FTE 계산'!F$2)</f>
        <v>173.5</v>
      </c>
      <c r="G5">
        <f>SUMIFS(monthly_work_hours!$K:$K,monthly_work_hours!$A:$A,'FTE 계산'!$A5,monthly_work_hours!$F:$F,'FTE 계산'!G$2)</f>
        <v>143.4</v>
      </c>
      <c r="H5">
        <f>(SUMIFS(monthly_work_hours!$G:$G,monthly_work_hours!$A:$A,'FTE 계산'!$A5,monthly_work_hours!$F:$F,'FTE 계산'!H$2)) - (SUMIFS(monthly_work_hours!$J:$J,monthly_work_hours!$A:$A,'FTE 계산'!$A5,monthly_work_hours!$F:$F,'FTE 계산'!H$2))</f>
        <v>19</v>
      </c>
      <c r="I5">
        <f>(SUMIFS(monthly_work_hours!$G:$G,monthly_work_hours!$A:$A,'FTE 계산'!$A5,monthly_work_hours!$F:$F,'FTE 계산'!I$2)) - (SUMIFS(monthly_work_hours!$J:$J,monthly_work_hours!$A:$A,'FTE 계산'!$A5,monthly_work_hours!$F:$F,'FTE 계산'!I$2))</f>
        <v>20</v>
      </c>
      <c r="J5">
        <f>(SUMIFS(monthly_work_hours!$G:$G,monthly_work_hours!$A:$A,'FTE 계산'!$A5,monthly_work_hours!$F:$F,'FTE 계산'!J$2)) - (SUMIFS(monthly_work_hours!$J:$J,monthly_work_hours!$A:$A,'FTE 계산'!$A5,monthly_work_hours!$F:$F,'FTE 계산'!J$2))</f>
        <v>16</v>
      </c>
      <c r="N5" t="str">
        <v>HR팀</v>
      </c>
      <c r="O5">
        <f t="shared" si="13"/>
        <v>879</v>
      </c>
      <c r="P5">
        <f t="shared" si="14"/>
        <v>367.1</v>
      </c>
      <c r="Q5">
        <f t="shared" si="0"/>
        <v>169</v>
      </c>
      <c r="R5">
        <f t="shared" si="0"/>
        <v>342.9</v>
      </c>
      <c r="S5">
        <f t="shared" si="15"/>
        <v>18.399999999999999</v>
      </c>
      <c r="T5">
        <f t="shared" si="16"/>
        <v>18.5</v>
      </c>
      <c r="U5">
        <f t="shared" si="17"/>
        <v>18</v>
      </c>
      <c r="V5">
        <f t="shared" si="18"/>
        <v>18.5</v>
      </c>
      <c r="W5">
        <f t="shared" si="19"/>
        <v>5.9714673913043486</v>
      </c>
      <c r="X5">
        <f t="shared" si="20"/>
        <v>2.4804054054054054</v>
      </c>
      <c r="Y5">
        <f t="shared" si="21"/>
        <v>1.1736111111111112</v>
      </c>
      <c r="Z5">
        <f t="shared" si="22"/>
        <v>2.3168918918918919</v>
      </c>
      <c r="AA5">
        <f t="shared" si="23"/>
        <v>866</v>
      </c>
      <c r="AB5">
        <f t="shared" si="24"/>
        <v>350.5</v>
      </c>
      <c r="AC5">
        <f t="shared" si="25"/>
        <v>170.9</v>
      </c>
      <c r="AD5">
        <f t="shared" si="26"/>
        <v>344.6</v>
      </c>
      <c r="AE5">
        <f t="shared" si="27"/>
        <v>18.8</v>
      </c>
      <c r="AF5">
        <f t="shared" si="28"/>
        <v>19</v>
      </c>
      <c r="AG5">
        <f t="shared" si="29"/>
        <v>18</v>
      </c>
      <c r="AH5">
        <f t="shared" si="30"/>
        <v>19</v>
      </c>
      <c r="AI5">
        <f t="shared" si="31"/>
        <v>5.7579787234042552</v>
      </c>
      <c r="AJ5">
        <f t="shared" si="32"/>
        <v>2.3059210526315788</v>
      </c>
      <c r="AK5">
        <f t="shared" si="33"/>
        <v>1.1868055555555557</v>
      </c>
      <c r="AL5">
        <f t="shared" si="34"/>
        <v>2.267105263157895</v>
      </c>
      <c r="AM5">
        <f t="shared" si="35"/>
        <v>799.2</v>
      </c>
      <c r="AN5">
        <f t="shared" si="36"/>
        <v>288.60000000000002</v>
      </c>
      <c r="AO5">
        <f t="shared" si="37"/>
        <v>131.69999999999999</v>
      </c>
      <c r="AP5">
        <f t="shared" si="38"/>
        <v>378.9</v>
      </c>
      <c r="AQ5">
        <f t="shared" si="39"/>
        <v>15.8</v>
      </c>
      <c r="AR5">
        <f t="shared" si="40"/>
        <v>16</v>
      </c>
      <c r="AS5">
        <f t="shared" si="41"/>
        <v>16</v>
      </c>
      <c r="AT5">
        <f t="shared" si="42"/>
        <v>15.5</v>
      </c>
      <c r="AU5">
        <f t="shared" si="43"/>
        <v>6.3227848101265822</v>
      </c>
      <c r="AV5">
        <f t="shared" si="44"/>
        <v>2.2546875000000002</v>
      </c>
      <c r="AW5">
        <f t="shared" si="45"/>
        <v>1.0289062499999999</v>
      </c>
      <c r="AX5">
        <f t="shared" si="46"/>
        <v>3.0556451612903226</v>
      </c>
    </row>
    <row r="6" spans="1:50">
      <c r="A6">
        <v>1203036</v>
      </c>
      <c r="B6" t="str">
        <f>_xlfn.XLOOKUP(A6,monthly_work_hours!A:A,monthly_work_hours!B:B)</f>
        <v>이범철</v>
      </c>
      <c r="C6" t="str">
        <f>_xlfn.XLOOKUP(A6,monthly_work_hours!A:A,monthly_work_hours!C:C)</f>
        <v>SL생산기술팀</v>
      </c>
      <c r="D6" t="str">
        <f>_xlfn.XLOOKUP(A6,monthly_work_hours!A:A,monthly_work_hours!D:D)</f>
        <v>책임</v>
      </c>
      <c r="E6">
        <f>SUMIFS(monthly_work_hours!$K:$K,monthly_work_hours!$A:$A,'FTE 계산'!$A6,monthly_work_hours!$F:$F,'FTE 계산'!E$2)</f>
        <v>161</v>
      </c>
      <c r="F6">
        <f>SUMIFS(monthly_work_hours!$K:$K,monthly_work_hours!$A:$A,'FTE 계산'!$A6,monthly_work_hours!$F:$F,'FTE 계산'!F$2)</f>
        <v>171.6</v>
      </c>
      <c r="G6">
        <f>SUMIFS(monthly_work_hours!$K:$K,monthly_work_hours!$A:$A,'FTE 계산'!$A6,monthly_work_hours!$F:$F,'FTE 계산'!G$2)</f>
        <v>125.5</v>
      </c>
      <c r="H6">
        <f>(SUMIFS(monthly_work_hours!$G:$G,monthly_work_hours!$A:$A,'FTE 계산'!$A6,monthly_work_hours!$F:$F,'FTE 계산'!H$2)) - (SUMIFS(monthly_work_hours!$J:$J,monthly_work_hours!$A:$A,'FTE 계산'!$A6,monthly_work_hours!$F:$F,'FTE 계산'!H$2))</f>
        <v>18</v>
      </c>
      <c r="I6">
        <f>(SUMIFS(monthly_work_hours!$G:$G,monthly_work_hours!$A:$A,'FTE 계산'!$A6,monthly_work_hours!$F:$F,'FTE 계산'!I$2)) - (SUMIFS(monthly_work_hours!$J:$J,monthly_work_hours!$A:$A,'FTE 계산'!$A6,monthly_work_hours!$F:$F,'FTE 계산'!I$2))</f>
        <v>19</v>
      </c>
      <c r="J6">
        <f>(SUMIFS(monthly_work_hours!$G:$G,monthly_work_hours!$A:$A,'FTE 계산'!$A6,monthly_work_hours!$F:$F,'FTE 계산'!J$2)) - (SUMIFS(monthly_work_hours!$J:$J,monthly_work_hours!$A:$A,'FTE 계산'!$A6,monthly_work_hours!$F:$F,'FTE 계산'!J$2))</f>
        <v>14</v>
      </c>
      <c r="N6" t="str">
        <v>구매원가팀</v>
      </c>
      <c r="O6">
        <f t="shared" si="13"/>
        <v>1078.5</v>
      </c>
      <c r="P6">
        <f t="shared" si="14"/>
        <v>361.9</v>
      </c>
      <c r="Q6">
        <f t="shared" si="0"/>
        <v>358.7</v>
      </c>
      <c r="R6">
        <f t="shared" si="0"/>
        <v>357.9</v>
      </c>
      <c r="S6">
        <f t="shared" si="15"/>
        <v>17.5</v>
      </c>
      <c r="T6">
        <f t="shared" si="16"/>
        <v>17.5</v>
      </c>
      <c r="U6">
        <f t="shared" si="17"/>
        <v>17.5</v>
      </c>
      <c r="V6">
        <f t="shared" si="18"/>
        <v>17.5</v>
      </c>
      <c r="W6">
        <f t="shared" si="19"/>
        <v>7.7035714285714283</v>
      </c>
      <c r="X6">
        <f t="shared" si="20"/>
        <v>2.585</v>
      </c>
      <c r="Y6">
        <f t="shared" si="21"/>
        <v>2.5621428571428573</v>
      </c>
      <c r="Z6">
        <f t="shared" si="22"/>
        <v>2.5564285714285711</v>
      </c>
      <c r="AA6">
        <f t="shared" si="23"/>
        <v>1090.1000000000001</v>
      </c>
      <c r="AB6">
        <f t="shared" si="24"/>
        <v>381</v>
      </c>
      <c r="AC6">
        <f t="shared" si="25"/>
        <v>352.3</v>
      </c>
      <c r="AD6">
        <f t="shared" si="26"/>
        <v>356.8</v>
      </c>
      <c r="AE6">
        <f t="shared" si="27"/>
        <v>18</v>
      </c>
      <c r="AF6">
        <f t="shared" si="28"/>
        <v>19</v>
      </c>
      <c r="AG6">
        <f t="shared" si="29"/>
        <v>17</v>
      </c>
      <c r="AH6">
        <f t="shared" si="30"/>
        <v>18</v>
      </c>
      <c r="AI6">
        <f t="shared" si="31"/>
        <v>7.5701388888888896</v>
      </c>
      <c r="AJ6">
        <f t="shared" si="32"/>
        <v>2.5065789473684212</v>
      </c>
      <c r="AK6">
        <f t="shared" si="33"/>
        <v>2.5904411764705881</v>
      </c>
      <c r="AL6">
        <f t="shared" si="34"/>
        <v>2.4777777777777779</v>
      </c>
      <c r="AM6">
        <f t="shared" si="35"/>
        <v>934.89999999999986</v>
      </c>
      <c r="AN6">
        <f t="shared" si="36"/>
        <v>330.9</v>
      </c>
      <c r="AO6">
        <f t="shared" si="37"/>
        <v>296.89999999999998</v>
      </c>
      <c r="AP6">
        <f t="shared" si="38"/>
        <v>307.10000000000002</v>
      </c>
      <c r="AQ6">
        <f t="shared" si="39"/>
        <v>15.333333333333334</v>
      </c>
      <c r="AR6">
        <f t="shared" si="40"/>
        <v>16</v>
      </c>
      <c r="AS6">
        <f t="shared" si="41"/>
        <v>14.5</v>
      </c>
      <c r="AT6">
        <f t="shared" si="42"/>
        <v>15.5</v>
      </c>
      <c r="AU6">
        <f t="shared" si="43"/>
        <v>7.6214673913043463</v>
      </c>
      <c r="AV6">
        <f t="shared" si="44"/>
        <v>2.5851562499999998</v>
      </c>
      <c r="AW6">
        <f t="shared" si="45"/>
        <v>2.5594827586206894</v>
      </c>
      <c r="AX6">
        <f t="shared" si="46"/>
        <v>2.4766129032258068</v>
      </c>
    </row>
    <row r="7" spans="1:50">
      <c r="A7">
        <v>1203052</v>
      </c>
      <c r="B7" t="str">
        <f>_xlfn.XLOOKUP(A7,monthly_work_hours!A:A,monthly_work_hours!B:B)</f>
        <v>제용화</v>
      </c>
      <c r="C7" t="str">
        <f>_xlfn.XLOOKUP(A7,monthly_work_hours!A:A,monthly_work_hours!C:C)</f>
        <v>구매원가팀</v>
      </c>
      <c r="D7" t="str">
        <f>_xlfn.XLOOKUP(A7,monthly_work_hours!A:A,monthly_work_hours!D:D)</f>
        <v>책임</v>
      </c>
      <c r="E7">
        <f>SUMIFS(monthly_work_hours!$K:$K,monthly_work_hours!$A:$A,'FTE 계산'!$A7,monthly_work_hours!$F:$F,'FTE 계산'!E$2)</f>
        <v>174.5</v>
      </c>
      <c r="F7">
        <f>SUMIFS(monthly_work_hours!$K:$K,monthly_work_hours!$A:$A,'FTE 계산'!$A7,monthly_work_hours!$F:$F,'FTE 계산'!F$2)</f>
        <v>193.3</v>
      </c>
      <c r="G7">
        <f>SUMIFS(monthly_work_hours!$K:$K,monthly_work_hours!$A:$A,'FTE 계산'!$A7,monthly_work_hours!$F:$F,'FTE 계산'!G$2)</f>
        <v>170.3</v>
      </c>
      <c r="H7">
        <f>(SUMIFS(monthly_work_hours!$G:$G,monthly_work_hours!$A:$A,'FTE 계산'!$A7,monthly_work_hours!$F:$F,'FTE 계산'!H$2)) - (SUMIFS(monthly_work_hours!$J:$J,monthly_work_hours!$A:$A,'FTE 계산'!$A7,monthly_work_hours!$F:$F,'FTE 계산'!H$2))</f>
        <v>17</v>
      </c>
      <c r="I7">
        <f>(SUMIFS(monthly_work_hours!$G:$G,monthly_work_hours!$A:$A,'FTE 계산'!$A7,monthly_work_hours!$F:$F,'FTE 계산'!I$2)) - (SUMIFS(monthly_work_hours!$J:$J,monthly_work_hours!$A:$A,'FTE 계산'!$A7,monthly_work_hours!$F:$F,'FTE 계산'!I$2))</f>
        <v>19</v>
      </c>
      <c r="J7">
        <f>(SUMIFS(monthly_work_hours!$G:$G,monthly_work_hours!$A:$A,'FTE 계산'!$A7,monthly_work_hours!$F:$F,'FTE 계산'!J$2)) - (SUMIFS(monthly_work_hours!$J:$J,monthly_work_hours!$A:$A,'FTE 계산'!$A7,monthly_work_hours!$F:$F,'FTE 계산'!J$2))</f>
        <v>16</v>
      </c>
      <c r="N7" t="str">
        <v>SCM팀</v>
      </c>
      <c r="O7">
        <f t="shared" si="13"/>
        <v>2211.4</v>
      </c>
      <c r="P7">
        <f t="shared" si="14"/>
        <v>699.8</v>
      </c>
      <c r="Q7">
        <f t="shared" si="0"/>
        <v>687.80000000000007</v>
      </c>
      <c r="R7">
        <f t="shared" si="0"/>
        <v>686.3</v>
      </c>
      <c r="S7">
        <f t="shared" si="15"/>
        <v>16.428571428571427</v>
      </c>
      <c r="T7">
        <f t="shared" si="16"/>
        <v>17.5</v>
      </c>
      <c r="U7">
        <f t="shared" si="17"/>
        <v>16.75</v>
      </c>
      <c r="V7">
        <f t="shared" si="18"/>
        <v>18</v>
      </c>
      <c r="W7">
        <f t="shared" si="19"/>
        <v>16.825869565217392</v>
      </c>
      <c r="X7">
        <f t="shared" si="20"/>
        <v>4.9985714285714282</v>
      </c>
      <c r="Y7">
        <f t="shared" si="21"/>
        <v>5.1328358208955231</v>
      </c>
      <c r="Z7">
        <f t="shared" si="22"/>
        <v>4.7659722222222216</v>
      </c>
      <c r="AA7">
        <f t="shared" si="23"/>
        <v>2161.5</v>
      </c>
      <c r="AB7">
        <f t="shared" si="24"/>
        <v>715</v>
      </c>
      <c r="AC7">
        <f t="shared" si="25"/>
        <v>548.70000000000005</v>
      </c>
      <c r="AD7">
        <f t="shared" si="26"/>
        <v>764.09999999999991</v>
      </c>
      <c r="AE7">
        <f t="shared" si="27"/>
        <v>16.642857142857142</v>
      </c>
      <c r="AF7">
        <f t="shared" si="28"/>
        <v>18.5</v>
      </c>
      <c r="AG7">
        <f t="shared" si="29"/>
        <v>15.5</v>
      </c>
      <c r="AH7">
        <f t="shared" si="30"/>
        <v>19.5</v>
      </c>
      <c r="AI7">
        <f t="shared" si="31"/>
        <v>16.234442060085836</v>
      </c>
      <c r="AJ7">
        <f t="shared" si="32"/>
        <v>4.8310810810810807</v>
      </c>
      <c r="AK7">
        <f t="shared" si="33"/>
        <v>4.4250000000000007</v>
      </c>
      <c r="AL7">
        <f t="shared" si="34"/>
        <v>4.8980769230769221</v>
      </c>
      <c r="AM7">
        <f t="shared" si="35"/>
        <v>1737.2</v>
      </c>
      <c r="AN7">
        <f t="shared" si="36"/>
        <v>596.79999999999995</v>
      </c>
      <c r="AO7">
        <f t="shared" si="37"/>
        <v>445.20000000000005</v>
      </c>
      <c r="AP7">
        <f t="shared" si="38"/>
        <v>591.79999999999995</v>
      </c>
      <c r="AQ7">
        <f t="shared" si="39"/>
        <v>13.928571428571429</v>
      </c>
      <c r="AR7">
        <f t="shared" si="40"/>
        <v>16</v>
      </c>
      <c r="AS7">
        <f t="shared" si="41"/>
        <v>12</v>
      </c>
      <c r="AT7">
        <f t="shared" si="42"/>
        <v>16.25</v>
      </c>
      <c r="AU7">
        <f t="shared" si="43"/>
        <v>15.59025641025641</v>
      </c>
      <c r="AV7">
        <f t="shared" si="44"/>
        <v>4.6624999999999996</v>
      </c>
      <c r="AW7">
        <f t="shared" si="45"/>
        <v>4.6375000000000002</v>
      </c>
      <c r="AX7">
        <f t="shared" si="46"/>
        <v>4.5523076923076919</v>
      </c>
    </row>
    <row r="8" spans="1:50">
      <c r="A8">
        <v>1203053</v>
      </c>
      <c r="B8" t="str">
        <f>_xlfn.XLOOKUP(A8,monthly_work_hours!A:A,monthly_work_hours!B:B)</f>
        <v>문은진</v>
      </c>
      <c r="C8" t="str">
        <f>_xlfn.XLOOKUP(A8,monthly_work_hours!A:A,monthly_work_hours!C:C)</f>
        <v>SCM팀</v>
      </c>
      <c r="D8" t="str">
        <f>_xlfn.XLOOKUP(A8,monthly_work_hours!A:A,monthly_work_hours!D:D)</f>
        <v>책임</v>
      </c>
      <c r="E8">
        <f>SUMIFS(monthly_work_hours!$K:$K,monthly_work_hours!$A:$A,'FTE 계산'!$A8,monthly_work_hours!$F:$F,'FTE 계산'!E$2)</f>
        <v>170.4</v>
      </c>
      <c r="F8">
        <f>SUMIFS(monthly_work_hours!$K:$K,monthly_work_hours!$A:$A,'FTE 계산'!$A8,monthly_work_hours!$F:$F,'FTE 계산'!F$2)</f>
        <v>165.4</v>
      </c>
      <c r="G8">
        <f>SUMIFS(monthly_work_hours!$K:$K,monthly_work_hours!$A:$A,'FTE 계산'!$A8,monthly_work_hours!$F:$F,'FTE 계산'!G$2)</f>
        <v>140.30000000000001</v>
      </c>
      <c r="H8">
        <f>(SUMIFS(monthly_work_hours!$G:$G,monthly_work_hours!$A:$A,'FTE 계산'!$A8,monthly_work_hours!$F:$F,'FTE 계산'!H$2)) - (SUMIFS(monthly_work_hours!$J:$J,monthly_work_hours!$A:$A,'FTE 계산'!$A8,monthly_work_hours!$F:$F,'FTE 계산'!H$2))</f>
        <v>17</v>
      </c>
      <c r="I8">
        <f>(SUMIFS(monthly_work_hours!$G:$G,monthly_work_hours!$A:$A,'FTE 계산'!$A8,monthly_work_hours!$F:$F,'FTE 계산'!I$2)) - (SUMIFS(monthly_work_hours!$J:$J,monthly_work_hours!$A:$A,'FTE 계산'!$A8,monthly_work_hours!$F:$F,'FTE 계산'!I$2))</f>
        <v>18</v>
      </c>
      <c r="J8">
        <f>(SUMIFS(monthly_work_hours!$G:$G,monthly_work_hours!$A:$A,'FTE 계산'!$A8,monthly_work_hours!$F:$F,'FTE 계산'!J$2)) - (SUMIFS(monthly_work_hours!$J:$J,monthly_work_hours!$A:$A,'FTE 계산'!$A8,monthly_work_hours!$F:$F,'FTE 계산'!J$2))</f>
        <v>16</v>
      </c>
      <c r="N8" t="str">
        <v>SL품질보증팀</v>
      </c>
      <c r="O8">
        <f t="shared" si="13"/>
        <v>1599.6999999999998</v>
      </c>
      <c r="P8">
        <f t="shared" si="14"/>
        <v>322</v>
      </c>
      <c r="Q8">
        <f t="shared" si="0"/>
        <v>833.09999999999991</v>
      </c>
      <c r="R8">
        <f t="shared" si="0"/>
        <v>341</v>
      </c>
      <c r="S8">
        <f t="shared" si="15"/>
        <v>13.2</v>
      </c>
      <c r="T8">
        <f t="shared" si="16"/>
        <v>11.666666666666666</v>
      </c>
      <c r="U8">
        <f t="shared" si="17"/>
        <v>12.875</v>
      </c>
      <c r="V8">
        <f t="shared" si="18"/>
        <v>13.333333333333334</v>
      </c>
      <c r="W8">
        <f t="shared" si="19"/>
        <v>15.148674242424242</v>
      </c>
      <c r="X8">
        <f t="shared" si="20"/>
        <v>3.45</v>
      </c>
      <c r="Y8">
        <f t="shared" si="21"/>
        <v>8.0883495145631059</v>
      </c>
      <c r="Z8">
        <f t="shared" si="22"/>
        <v>3.1968749999999999</v>
      </c>
      <c r="AA8">
        <f t="shared" si="23"/>
        <v>1658.4999999999998</v>
      </c>
      <c r="AB8">
        <f t="shared" si="24"/>
        <v>321.39999999999998</v>
      </c>
      <c r="AC8">
        <f t="shared" si="25"/>
        <v>802.3</v>
      </c>
      <c r="AD8">
        <f t="shared" si="26"/>
        <v>439.1</v>
      </c>
      <c r="AE8">
        <f t="shared" si="27"/>
        <v>13.866666666666667</v>
      </c>
      <c r="AF8">
        <f t="shared" si="28"/>
        <v>12.333333333333334</v>
      </c>
      <c r="AG8">
        <f t="shared" si="29"/>
        <v>13</v>
      </c>
      <c r="AH8">
        <f t="shared" si="30"/>
        <v>16</v>
      </c>
      <c r="AI8">
        <f t="shared" si="31"/>
        <v>14.95042067307692</v>
      </c>
      <c r="AJ8">
        <f t="shared" si="32"/>
        <v>3.2574324324324322</v>
      </c>
      <c r="AK8">
        <f t="shared" si="33"/>
        <v>7.7144230769230768</v>
      </c>
      <c r="AL8">
        <f t="shared" si="34"/>
        <v>3.4304687500000002</v>
      </c>
      <c r="AM8">
        <f t="shared" si="35"/>
        <v>1341.3000000000002</v>
      </c>
      <c r="AN8">
        <f t="shared" si="36"/>
        <v>297.10000000000002</v>
      </c>
      <c r="AO8">
        <f t="shared" si="37"/>
        <v>627.59999999999991</v>
      </c>
      <c r="AP8">
        <f t="shared" si="38"/>
        <v>318.8</v>
      </c>
      <c r="AQ8">
        <f t="shared" si="39"/>
        <v>11.733333333333333</v>
      </c>
      <c r="AR8">
        <f t="shared" si="40"/>
        <v>11.333333333333334</v>
      </c>
      <c r="AS8">
        <f t="shared" si="41"/>
        <v>10.875</v>
      </c>
      <c r="AT8">
        <f t="shared" si="42"/>
        <v>12.666666666666666</v>
      </c>
      <c r="AU8">
        <f t="shared" si="43"/>
        <v>14.289417613636367</v>
      </c>
      <c r="AV8">
        <f t="shared" si="44"/>
        <v>3.2768382352941177</v>
      </c>
      <c r="AW8">
        <f t="shared" si="45"/>
        <v>7.2137931034482747</v>
      </c>
      <c r="AX8">
        <f t="shared" si="46"/>
        <v>3.1460526315789474</v>
      </c>
    </row>
    <row r="9" spans="1:50">
      <c r="A9">
        <v>1204003</v>
      </c>
      <c r="B9" t="str">
        <f>_xlfn.XLOOKUP(A9,monthly_work_hours!A:A,monthly_work_hours!B:B)</f>
        <v>정용규</v>
      </c>
      <c r="C9" t="str">
        <f>_xlfn.XLOOKUP(A9,monthly_work_hours!A:A,monthly_work_hours!C:C)</f>
        <v>SL생산기술팀</v>
      </c>
      <c r="D9" t="str">
        <f>_xlfn.XLOOKUP(A9,monthly_work_hours!A:A,monthly_work_hours!D:D)</f>
        <v>책임</v>
      </c>
      <c r="E9">
        <f>SUMIFS(monthly_work_hours!$K:$K,monthly_work_hours!$A:$A,'FTE 계산'!$A9,monthly_work_hours!$F:$F,'FTE 계산'!E$2)</f>
        <v>147.9</v>
      </c>
      <c r="F9">
        <f>SUMIFS(monthly_work_hours!$K:$K,monthly_work_hours!$A:$A,'FTE 계산'!$A9,monthly_work_hours!$F:$F,'FTE 계산'!F$2)</f>
        <v>191.4</v>
      </c>
      <c r="G9">
        <f>SUMIFS(monthly_work_hours!$K:$K,monthly_work_hours!$A:$A,'FTE 계산'!$A9,monthly_work_hours!$F:$F,'FTE 계산'!G$2)</f>
        <v>149.5</v>
      </c>
      <c r="H9">
        <f>(SUMIFS(monthly_work_hours!$G:$G,monthly_work_hours!$A:$A,'FTE 계산'!$A9,monthly_work_hours!$F:$F,'FTE 계산'!H$2)) - (SUMIFS(monthly_work_hours!$J:$J,monthly_work_hours!$A:$A,'FTE 계산'!$A9,monthly_work_hours!$F:$F,'FTE 계산'!H$2))</f>
        <v>17</v>
      </c>
      <c r="I9">
        <f>(SUMIFS(monthly_work_hours!$G:$G,monthly_work_hours!$A:$A,'FTE 계산'!$A9,monthly_work_hours!$F:$F,'FTE 계산'!I$2)) - (SUMIFS(monthly_work_hours!$J:$J,monthly_work_hours!$A:$A,'FTE 계산'!$A9,monthly_work_hours!$F:$F,'FTE 계산'!I$2))</f>
        <v>19</v>
      </c>
      <c r="J9">
        <f>(SUMIFS(monthly_work_hours!$G:$G,monthly_work_hours!$A:$A,'FTE 계산'!$A9,monthly_work_hours!$F:$F,'FTE 계산'!J$2)) - (SUMIFS(monthly_work_hours!$J:$J,monthly_work_hours!$A:$A,'FTE 계산'!$A9,monthly_work_hours!$F:$F,'FTE 계산'!J$2))</f>
        <v>16</v>
      </c>
      <c r="N9" t="str">
        <v>열관리설계팀</v>
      </c>
      <c r="O9">
        <f t="shared" si="13"/>
        <v>2526.8000000000002</v>
      </c>
      <c r="P9">
        <f t="shared" si="14"/>
        <v>1582.1</v>
      </c>
      <c r="Q9">
        <f t="shared" si="0"/>
        <v>626.9</v>
      </c>
      <c r="R9">
        <f t="shared" si="0"/>
        <v>317.8</v>
      </c>
      <c r="S9">
        <f t="shared" si="15"/>
        <v>14.363636363636363</v>
      </c>
      <c r="T9">
        <f t="shared" si="16"/>
        <v>14</v>
      </c>
      <c r="U9">
        <f t="shared" si="17"/>
        <v>16.5</v>
      </c>
      <c r="V9">
        <f t="shared" si="18"/>
        <v>12</v>
      </c>
      <c r="W9">
        <f t="shared" si="19"/>
        <v>21.989556962025318</v>
      </c>
      <c r="X9">
        <f t="shared" si="20"/>
        <v>14.125892857142857</v>
      </c>
      <c r="Y9">
        <f t="shared" si="21"/>
        <v>4.749242424242424</v>
      </c>
      <c r="Z9">
        <f t="shared" si="22"/>
        <v>3.3104166666666668</v>
      </c>
      <c r="AA9">
        <f t="shared" si="23"/>
        <v>2422.1999999999998</v>
      </c>
      <c r="AB9">
        <f t="shared" si="24"/>
        <v>1577.6999999999998</v>
      </c>
      <c r="AC9">
        <f t="shared" si="25"/>
        <v>527.40000000000009</v>
      </c>
      <c r="AD9">
        <f t="shared" si="26"/>
        <v>317.10000000000002</v>
      </c>
      <c r="AE9">
        <f t="shared" si="27"/>
        <v>14.545454545454545</v>
      </c>
      <c r="AF9">
        <f t="shared" si="28"/>
        <v>18</v>
      </c>
      <c r="AG9">
        <f t="shared" si="29"/>
        <v>13.25</v>
      </c>
      <c r="AH9">
        <f t="shared" si="30"/>
        <v>11.666666666666666</v>
      </c>
      <c r="AI9">
        <f t="shared" si="31"/>
        <v>20.815781250000001</v>
      </c>
      <c r="AJ9">
        <f t="shared" si="32"/>
        <v>10.956249999999999</v>
      </c>
      <c r="AK9">
        <f t="shared" si="33"/>
        <v>4.9754716981132088</v>
      </c>
      <c r="AL9">
        <f t="shared" si="34"/>
        <v>3.3975000000000004</v>
      </c>
      <c r="AM9">
        <f t="shared" si="35"/>
        <v>1746.3</v>
      </c>
      <c r="AN9">
        <f t="shared" si="36"/>
        <v>1066.3000000000002</v>
      </c>
      <c r="AO9">
        <f t="shared" si="37"/>
        <v>384.9</v>
      </c>
      <c r="AP9">
        <f t="shared" si="38"/>
        <v>295.10000000000002</v>
      </c>
      <c r="AQ9">
        <f t="shared" si="39"/>
        <v>12.818181818181818</v>
      </c>
      <c r="AR9">
        <f t="shared" si="40"/>
        <v>15.25</v>
      </c>
      <c r="AS9">
        <f t="shared" si="41"/>
        <v>11.5</v>
      </c>
      <c r="AT9">
        <f t="shared" si="42"/>
        <v>11.333333333333334</v>
      </c>
      <c r="AU9">
        <f t="shared" si="43"/>
        <v>17.029521276595744</v>
      </c>
      <c r="AV9">
        <f t="shared" si="44"/>
        <v>8.7401639344262314</v>
      </c>
      <c r="AW9">
        <f t="shared" si="45"/>
        <v>4.1836956521739124</v>
      </c>
      <c r="AX9">
        <f t="shared" si="46"/>
        <v>3.254779411764706</v>
      </c>
    </row>
    <row r="10" spans="1:50">
      <c r="A10">
        <v>1204063</v>
      </c>
      <c r="B10" t="str">
        <f>_xlfn.XLOOKUP(A10,monthly_work_hours!A:A,monthly_work_hours!B:B)</f>
        <v>김주호</v>
      </c>
      <c r="C10" t="str">
        <f>_xlfn.XLOOKUP(A10,monthly_work_hours!A:A,monthly_work_hours!C:C)</f>
        <v>SL품질보증팀</v>
      </c>
      <c r="D10" t="str">
        <f>_xlfn.XLOOKUP(A10,monthly_work_hours!A:A,monthly_work_hours!D:D)</f>
        <v>책임</v>
      </c>
      <c r="E10">
        <f>SUMIFS(monthly_work_hours!$K:$K,monthly_work_hours!$A:$A,'FTE 계산'!$A10,monthly_work_hours!$F:$F,'FTE 계산'!E$2)</f>
        <v>7</v>
      </c>
      <c r="F10">
        <f>SUMIFS(monthly_work_hours!$K:$K,monthly_work_hours!$A:$A,'FTE 계산'!$A10,monthly_work_hours!$F:$F,'FTE 계산'!F$2)</f>
        <v>0.4</v>
      </c>
      <c r="G10">
        <f>SUMIFS(monthly_work_hours!$K:$K,monthly_work_hours!$A:$A,'FTE 계산'!$A10,monthly_work_hours!$F:$F,'FTE 계산'!G$2)</f>
        <v>22.8</v>
      </c>
      <c r="H10">
        <f>(SUMIFS(monthly_work_hours!$G:$G,monthly_work_hours!$A:$A,'FTE 계산'!$A10,monthly_work_hours!$F:$F,'FTE 계산'!H$2)) - (SUMIFS(monthly_work_hours!$J:$J,monthly_work_hours!$A:$A,'FTE 계산'!$A10,monthly_work_hours!$F:$F,'FTE 계산'!H$2))</f>
        <v>2</v>
      </c>
      <c r="I10">
        <f>(SUMIFS(monthly_work_hours!$G:$G,monthly_work_hours!$A:$A,'FTE 계산'!$A10,monthly_work_hours!$F:$F,'FTE 계산'!I$2)) - (SUMIFS(monthly_work_hours!$J:$J,monthly_work_hours!$A:$A,'FTE 계산'!$A10,monthly_work_hours!$F:$F,'FTE 계산'!I$2))</f>
        <v>4</v>
      </c>
      <c r="J10">
        <f>(SUMIFS(monthly_work_hours!$G:$G,monthly_work_hours!$A:$A,'FTE 계산'!$A10,monthly_work_hours!$F:$F,'FTE 계산'!J$2)) - (SUMIFS(monthly_work_hours!$J:$J,monthly_work_hours!$A:$A,'FTE 계산'!$A10,monthly_work_hours!$F:$F,'FTE 계산'!J$2))</f>
        <v>4</v>
      </c>
      <c r="N10" t="str">
        <v>FL생산기술팀</v>
      </c>
      <c r="O10">
        <f t="shared" si="13"/>
        <v>1315.9</v>
      </c>
      <c r="P10">
        <f t="shared" si="14"/>
        <v>371.9</v>
      </c>
      <c r="Q10">
        <f t="shared" si="0"/>
        <v>429.8</v>
      </c>
      <c r="R10">
        <f t="shared" si="0"/>
        <v>514.20000000000005</v>
      </c>
      <c r="S10">
        <f t="shared" si="15"/>
        <v>17</v>
      </c>
      <c r="T10">
        <f t="shared" si="16"/>
        <v>18.5</v>
      </c>
      <c r="U10">
        <f t="shared" si="17"/>
        <v>15.666666666666666</v>
      </c>
      <c r="V10">
        <f t="shared" si="18"/>
        <v>17.333333333333332</v>
      </c>
      <c r="W10">
        <f t="shared" si="19"/>
        <v>9.6757352941176471</v>
      </c>
      <c r="X10">
        <f t="shared" si="20"/>
        <v>2.5128378378378375</v>
      </c>
      <c r="Y10">
        <f t="shared" si="21"/>
        <v>3.4292553191489366</v>
      </c>
      <c r="Z10">
        <f t="shared" si="22"/>
        <v>3.7081730769230776</v>
      </c>
      <c r="AA10">
        <f t="shared" si="23"/>
        <v>1478.3999999999999</v>
      </c>
      <c r="AB10">
        <f t="shared" si="24"/>
        <v>378.2</v>
      </c>
      <c r="AC10">
        <f t="shared" si="25"/>
        <v>534.70000000000005</v>
      </c>
      <c r="AD10">
        <f t="shared" si="26"/>
        <v>565.5</v>
      </c>
      <c r="AE10">
        <f t="shared" si="27"/>
        <v>17.5</v>
      </c>
      <c r="AF10">
        <f t="shared" si="28"/>
        <v>18.5</v>
      </c>
      <c r="AG10">
        <f t="shared" si="29"/>
        <v>16.333333333333332</v>
      </c>
      <c r="AH10">
        <f t="shared" si="30"/>
        <v>18</v>
      </c>
      <c r="AI10">
        <f t="shared" si="31"/>
        <v>10.559999999999999</v>
      </c>
      <c r="AJ10">
        <f t="shared" si="32"/>
        <v>2.5554054054054052</v>
      </c>
      <c r="AK10">
        <f t="shared" si="33"/>
        <v>4.0920918367346948</v>
      </c>
      <c r="AL10">
        <f t="shared" si="34"/>
        <v>3.9270833333333335</v>
      </c>
      <c r="AM10">
        <f t="shared" si="35"/>
        <v>1156.3</v>
      </c>
      <c r="AN10">
        <f t="shared" si="36"/>
        <v>305.5</v>
      </c>
      <c r="AO10">
        <f t="shared" si="37"/>
        <v>430</v>
      </c>
      <c r="AP10">
        <f t="shared" si="38"/>
        <v>420.8</v>
      </c>
      <c r="AQ10">
        <f t="shared" si="39"/>
        <v>15.625</v>
      </c>
      <c r="AR10">
        <f t="shared" si="40"/>
        <v>16</v>
      </c>
      <c r="AS10">
        <f t="shared" si="41"/>
        <v>15.333333333333334</v>
      </c>
      <c r="AT10">
        <f t="shared" si="42"/>
        <v>15.666666666666666</v>
      </c>
      <c r="AU10">
        <f t="shared" si="43"/>
        <v>9.2503999999999991</v>
      </c>
      <c r="AV10">
        <f t="shared" si="44"/>
        <v>2.38671875</v>
      </c>
      <c r="AW10">
        <f t="shared" si="45"/>
        <v>3.5054347826086953</v>
      </c>
      <c r="AX10">
        <f t="shared" si="46"/>
        <v>3.3574468085106384</v>
      </c>
    </row>
    <row r="11" spans="1:50">
      <c r="A11">
        <v>1204106</v>
      </c>
      <c r="B11" t="str">
        <f>_xlfn.XLOOKUP(A11,monthly_work_hours!A:A,monthly_work_hours!B:B)</f>
        <v>김영준</v>
      </c>
      <c r="C11" t="str">
        <f>_xlfn.XLOOKUP(A11,monthly_work_hours!A:A,monthly_work_hours!C:C)</f>
        <v>열관리설계팀</v>
      </c>
      <c r="D11" t="str">
        <f>_xlfn.XLOOKUP(A11,monthly_work_hours!A:A,monthly_work_hours!D:D)</f>
        <v>책임</v>
      </c>
      <c r="E11">
        <f>SUMIFS(monthly_work_hours!$K:$K,monthly_work_hours!$A:$A,'FTE 계산'!$A11,monthly_work_hours!$F:$F,'FTE 계산'!E$2)</f>
        <v>218.9</v>
      </c>
      <c r="F11">
        <f>SUMIFS(monthly_work_hours!$K:$K,monthly_work_hours!$A:$A,'FTE 계산'!$A11,monthly_work_hours!$F:$F,'FTE 계산'!F$2)</f>
        <v>160.1</v>
      </c>
      <c r="G11">
        <f>SUMIFS(monthly_work_hours!$K:$K,monthly_work_hours!$A:$A,'FTE 계산'!$A11,monthly_work_hours!$F:$F,'FTE 계산'!G$2)</f>
        <v>133</v>
      </c>
      <c r="H11">
        <f>(SUMIFS(monthly_work_hours!$G:$G,monthly_work_hours!$A:$A,'FTE 계산'!$A11,monthly_work_hours!$F:$F,'FTE 계산'!H$2)) - (SUMIFS(monthly_work_hours!$J:$J,monthly_work_hours!$A:$A,'FTE 계산'!$A11,monthly_work_hours!$F:$F,'FTE 계산'!H$2))</f>
        <v>14</v>
      </c>
      <c r="I11">
        <f>(SUMIFS(monthly_work_hours!$G:$G,monthly_work_hours!$A:$A,'FTE 계산'!$A11,monthly_work_hours!$F:$F,'FTE 계산'!I$2)) - (SUMIFS(monthly_work_hours!$J:$J,monthly_work_hours!$A:$A,'FTE 계산'!$A11,monthly_work_hours!$F:$F,'FTE 계산'!I$2))</f>
        <v>16</v>
      </c>
      <c r="J11">
        <f>(SUMIFS(monthly_work_hours!$G:$G,monthly_work_hours!$A:$A,'FTE 계산'!$A11,monthly_work_hours!$F:$F,'FTE 계산'!J$2)) - (SUMIFS(monthly_work_hours!$J:$J,monthly_work_hours!$A:$A,'FTE 계산'!$A11,monthly_work_hours!$F:$F,'FTE 계산'!J$2))</f>
        <v>15</v>
      </c>
      <c r="N11" t="str">
        <v>FL개발팀</v>
      </c>
      <c r="O11">
        <f t="shared" si="13"/>
        <v>2346.1</v>
      </c>
      <c r="P11">
        <f t="shared" si="14"/>
        <v>664.6</v>
      </c>
      <c r="Q11">
        <f t="shared" si="0"/>
        <v>1097.9000000000001</v>
      </c>
      <c r="R11">
        <f t="shared" si="0"/>
        <v>385.8</v>
      </c>
      <c r="S11">
        <f t="shared" si="15"/>
        <v>15.266666666666667</v>
      </c>
      <c r="T11">
        <f t="shared" si="16"/>
        <v>18</v>
      </c>
      <c r="U11">
        <f t="shared" si="17"/>
        <v>16.428571428571427</v>
      </c>
      <c r="V11">
        <f t="shared" si="18"/>
        <v>10.5</v>
      </c>
      <c r="W11">
        <f t="shared" si="19"/>
        <v>19.209334061135369</v>
      </c>
      <c r="X11">
        <f t="shared" si="20"/>
        <v>4.615277777777778</v>
      </c>
      <c r="Y11">
        <f t="shared" si="21"/>
        <v>8.35358695652174</v>
      </c>
      <c r="Z11">
        <f t="shared" si="22"/>
        <v>4.5928571428571434</v>
      </c>
      <c r="AA11">
        <f t="shared" si="23"/>
        <v>2459.9000000000005</v>
      </c>
      <c r="AB11">
        <f t="shared" si="24"/>
        <v>540</v>
      </c>
      <c r="AC11">
        <f t="shared" si="25"/>
        <v>1144.8</v>
      </c>
      <c r="AD11">
        <f t="shared" si="26"/>
        <v>524.69999999999993</v>
      </c>
      <c r="AE11">
        <f t="shared" si="27"/>
        <v>16.333333333333332</v>
      </c>
      <c r="AF11">
        <f t="shared" si="28"/>
        <v>18</v>
      </c>
      <c r="AG11">
        <f t="shared" si="29"/>
        <v>16.428571428571427</v>
      </c>
      <c r="AH11">
        <f t="shared" si="30"/>
        <v>14.75</v>
      </c>
      <c r="AI11">
        <f t="shared" si="31"/>
        <v>18.825765306122456</v>
      </c>
      <c r="AJ11">
        <f t="shared" si="32"/>
        <v>3.75</v>
      </c>
      <c r="AK11">
        <f t="shared" si="33"/>
        <v>8.7104347826086954</v>
      </c>
      <c r="AL11">
        <f t="shared" si="34"/>
        <v>4.4466101694915245</v>
      </c>
      <c r="AM11">
        <f t="shared" si="35"/>
        <v>1828.4</v>
      </c>
      <c r="AN11">
        <f t="shared" si="36"/>
        <v>459.6</v>
      </c>
      <c r="AO11">
        <f t="shared" si="37"/>
        <v>874.2</v>
      </c>
      <c r="AP11">
        <f t="shared" si="38"/>
        <v>435.99999999999994</v>
      </c>
      <c r="AQ11">
        <f t="shared" si="39"/>
        <v>14.2</v>
      </c>
      <c r="AR11">
        <f t="shared" si="40"/>
        <v>16</v>
      </c>
      <c r="AS11">
        <f t="shared" si="41"/>
        <v>14</v>
      </c>
      <c r="AT11">
        <f t="shared" si="42"/>
        <v>13.5</v>
      </c>
      <c r="AU11">
        <f t="shared" si="43"/>
        <v>16.095070422535212</v>
      </c>
      <c r="AV11">
        <f t="shared" si="44"/>
        <v>3.5906250000000002</v>
      </c>
      <c r="AW11">
        <f t="shared" si="45"/>
        <v>7.8053571428571429</v>
      </c>
      <c r="AX11">
        <f t="shared" si="46"/>
        <v>4.0370370370370363</v>
      </c>
    </row>
    <row r="12" spans="1:50">
      <c r="A12">
        <v>1204115</v>
      </c>
      <c r="B12" t="str">
        <f>_xlfn.XLOOKUP(A12,monthly_work_hours!A:A,monthly_work_hours!B:B)</f>
        <v>이용재</v>
      </c>
      <c r="C12" t="str">
        <f>_xlfn.XLOOKUP(A12,monthly_work_hours!A:A,monthly_work_hours!C:C)</f>
        <v>FL생산기술팀</v>
      </c>
      <c r="D12" t="str">
        <f>_xlfn.XLOOKUP(A12,monthly_work_hours!A:A,monthly_work_hours!D:D)</f>
        <v>책임</v>
      </c>
      <c r="E12">
        <f>SUMIFS(monthly_work_hours!$K:$K,monthly_work_hours!$A:$A,'FTE 계산'!$A12,monthly_work_hours!$F:$F,'FTE 계산'!E$2)</f>
        <v>172.1</v>
      </c>
      <c r="F12">
        <f>SUMIFS(monthly_work_hours!$K:$K,monthly_work_hours!$A:$A,'FTE 계산'!$A12,monthly_work_hours!$F:$F,'FTE 계산'!F$2)</f>
        <v>174</v>
      </c>
      <c r="G12">
        <f>SUMIFS(monthly_work_hours!$K:$K,monthly_work_hours!$A:$A,'FTE 계산'!$A12,monthly_work_hours!$F:$F,'FTE 계산'!G$2)</f>
        <v>146.6</v>
      </c>
      <c r="H12">
        <f>(SUMIFS(monthly_work_hours!$G:$G,monthly_work_hours!$A:$A,'FTE 계산'!$A12,monthly_work_hours!$F:$F,'FTE 계산'!H$2)) - (SUMIFS(monthly_work_hours!$J:$J,monthly_work_hours!$A:$A,'FTE 계산'!$A12,monthly_work_hours!$F:$F,'FTE 계산'!H$2))</f>
        <v>18</v>
      </c>
      <c r="I12">
        <f>(SUMIFS(monthly_work_hours!$G:$G,monthly_work_hours!$A:$A,'FTE 계산'!$A12,monthly_work_hours!$F:$F,'FTE 계산'!I$2)) - (SUMIFS(monthly_work_hours!$J:$J,monthly_work_hours!$A:$A,'FTE 계산'!$A12,monthly_work_hours!$F:$F,'FTE 계산'!I$2))</f>
        <v>18</v>
      </c>
      <c r="J12">
        <f>(SUMIFS(monthly_work_hours!$G:$G,monthly_work_hours!$A:$A,'FTE 계산'!$A12,monthly_work_hours!$F:$F,'FTE 계산'!J$2)) - (SUMIFS(monthly_work_hours!$J:$J,monthly_work_hours!$A:$A,'FTE 계산'!$A12,monthly_work_hours!$F:$F,'FTE 계산'!J$2))</f>
        <v>16</v>
      </c>
      <c r="N12" t="str">
        <v>SL구매팀</v>
      </c>
      <c r="O12">
        <f t="shared" si="13"/>
        <v>1619.6999999999996</v>
      </c>
      <c r="P12">
        <f t="shared" si="14"/>
        <v>939.69999999999993</v>
      </c>
      <c r="Q12">
        <f t="shared" si="0"/>
        <v>520.70000000000005</v>
      </c>
      <c r="R12">
        <f t="shared" si="0"/>
        <v>159.30000000000001</v>
      </c>
      <c r="S12">
        <f t="shared" si="15"/>
        <v>17.5</v>
      </c>
      <c r="T12">
        <f t="shared" si="16"/>
        <v>17.5</v>
      </c>
      <c r="U12">
        <f t="shared" si="17"/>
        <v>18</v>
      </c>
      <c r="V12">
        <f t="shared" si="18"/>
        <v>16</v>
      </c>
      <c r="W12">
        <f t="shared" si="19"/>
        <v>11.569285714285712</v>
      </c>
      <c r="X12">
        <f t="shared" si="20"/>
        <v>6.7121428571428563</v>
      </c>
      <c r="Y12">
        <f t="shared" si="21"/>
        <v>3.6159722222222226</v>
      </c>
      <c r="Z12">
        <f t="shared" si="22"/>
        <v>1.2445312500000001</v>
      </c>
      <c r="AA12">
        <f t="shared" si="23"/>
        <v>1387.8000000000002</v>
      </c>
      <c r="AB12">
        <f t="shared" si="24"/>
        <v>737.40000000000009</v>
      </c>
      <c r="AC12">
        <f t="shared" si="25"/>
        <v>508.6</v>
      </c>
      <c r="AD12">
        <f t="shared" si="26"/>
        <v>141.80000000000001</v>
      </c>
      <c r="AE12">
        <f t="shared" si="27"/>
        <v>16.875</v>
      </c>
      <c r="AF12">
        <f t="shared" si="28"/>
        <v>17.5</v>
      </c>
      <c r="AG12">
        <f t="shared" si="29"/>
        <v>17</v>
      </c>
      <c r="AH12">
        <f t="shared" si="30"/>
        <v>14</v>
      </c>
      <c r="AI12">
        <f t="shared" si="31"/>
        <v>10.280000000000001</v>
      </c>
      <c r="AJ12">
        <f t="shared" si="32"/>
        <v>5.2671428571428578</v>
      </c>
      <c r="AK12">
        <f t="shared" si="33"/>
        <v>3.7397058823529412</v>
      </c>
      <c r="AL12">
        <f t="shared" si="34"/>
        <v>1.2660714285714287</v>
      </c>
      <c r="AM12">
        <f t="shared" si="35"/>
        <v>1248.5</v>
      </c>
      <c r="AN12">
        <f t="shared" si="36"/>
        <v>675.9</v>
      </c>
      <c r="AO12">
        <f t="shared" si="37"/>
        <v>446.8</v>
      </c>
      <c r="AP12">
        <f t="shared" si="38"/>
        <v>125.8</v>
      </c>
      <c r="AQ12">
        <f t="shared" si="39"/>
        <v>14.875</v>
      </c>
      <c r="AR12">
        <f t="shared" si="40"/>
        <v>15</v>
      </c>
      <c r="AS12">
        <f t="shared" si="41"/>
        <v>15</v>
      </c>
      <c r="AT12">
        <f t="shared" si="42"/>
        <v>14</v>
      </c>
      <c r="AU12">
        <f t="shared" si="43"/>
        <v>10.491596638655462</v>
      </c>
      <c r="AV12">
        <f t="shared" si="44"/>
        <v>5.6324999999999994</v>
      </c>
      <c r="AW12">
        <f t="shared" si="45"/>
        <v>3.7233333333333336</v>
      </c>
      <c r="AX12">
        <f t="shared" si="46"/>
        <v>1.1232142857142857</v>
      </c>
    </row>
    <row r="13" spans="1:50">
      <c r="A13">
        <v>1205081</v>
      </c>
      <c r="B13" t="str">
        <f>_xlfn.XLOOKUP(A13,monthly_work_hours!A:A,monthly_work_hours!B:B)</f>
        <v>이호진</v>
      </c>
      <c r="C13" t="str">
        <f>_xlfn.XLOOKUP(A13,monthly_work_hours!A:A,monthly_work_hours!C:C)</f>
        <v>SCM팀</v>
      </c>
      <c r="D13" t="str">
        <f>_xlfn.XLOOKUP(A13,monthly_work_hours!A:A,monthly_work_hours!D:D)</f>
        <v>기능주임</v>
      </c>
      <c r="E13">
        <f>SUMIFS(monthly_work_hours!$K:$K,monthly_work_hours!$A:$A,'FTE 계산'!$A13,monthly_work_hours!$F:$F,'FTE 계산'!E$2)</f>
        <v>0</v>
      </c>
      <c r="F13">
        <f>SUMIFS(monthly_work_hours!$K:$K,monthly_work_hours!$A:$A,'FTE 계산'!$A13,monthly_work_hours!$F:$F,'FTE 계산'!F$2)</f>
        <v>0</v>
      </c>
      <c r="G13">
        <f>SUMIFS(monthly_work_hours!$K:$K,monthly_work_hours!$A:$A,'FTE 계산'!$A13,monthly_work_hours!$F:$F,'FTE 계산'!G$2)</f>
        <v>0</v>
      </c>
      <c r="H13">
        <f>(SUMIFS(monthly_work_hours!$G:$G,monthly_work_hours!$A:$A,'FTE 계산'!$A13,monthly_work_hours!$F:$F,'FTE 계산'!H$2)) - (SUMIFS(monthly_work_hours!$J:$J,monthly_work_hours!$A:$A,'FTE 계산'!$A13,monthly_work_hours!$F:$F,'FTE 계산'!H$2))</f>
        <v>0</v>
      </c>
      <c r="I13">
        <f>(SUMIFS(monthly_work_hours!$G:$G,monthly_work_hours!$A:$A,'FTE 계산'!$A13,monthly_work_hours!$F:$F,'FTE 계산'!I$2)) - (SUMIFS(monthly_work_hours!$J:$J,monthly_work_hours!$A:$A,'FTE 계산'!$A13,monthly_work_hours!$F:$F,'FTE 계산'!I$2))</f>
        <v>1</v>
      </c>
      <c r="J13">
        <f>(SUMIFS(monthly_work_hours!$G:$G,monthly_work_hours!$A:$A,'FTE 계산'!$A13,monthly_work_hours!$F:$F,'FTE 계산'!J$2)) - (SUMIFS(monthly_work_hours!$J:$J,monthly_work_hours!$A:$A,'FTE 계산'!$A13,monthly_work_hours!$F:$F,'FTE 계산'!J$2))</f>
        <v>0</v>
      </c>
      <c r="N13" t="str">
        <v>품질경영팀</v>
      </c>
      <c r="O13">
        <f t="shared" si="13"/>
        <v>1969.4999999999998</v>
      </c>
      <c r="P13">
        <f t="shared" si="14"/>
        <v>637.30000000000007</v>
      </c>
      <c r="Q13">
        <f t="shared" si="0"/>
        <v>1163.7</v>
      </c>
      <c r="R13">
        <f t="shared" si="0"/>
        <v>168.5</v>
      </c>
      <c r="S13">
        <f t="shared" si="15"/>
        <v>16.23076923076923</v>
      </c>
      <c r="T13">
        <f t="shared" si="16"/>
        <v>17.5</v>
      </c>
      <c r="U13">
        <f t="shared" si="17"/>
        <v>17.285714285714285</v>
      </c>
      <c r="V13">
        <f t="shared" si="18"/>
        <v>18</v>
      </c>
      <c r="W13">
        <f t="shared" si="19"/>
        <v>15.167950236966824</v>
      </c>
      <c r="X13">
        <f t="shared" si="20"/>
        <v>4.5521428571428579</v>
      </c>
      <c r="Y13">
        <f t="shared" si="21"/>
        <v>8.4151859504132247</v>
      </c>
      <c r="Z13">
        <f t="shared" si="22"/>
        <v>1.1701388888888888</v>
      </c>
      <c r="AA13">
        <f t="shared" si="23"/>
        <v>2014.4</v>
      </c>
      <c r="AB13">
        <f t="shared" si="24"/>
        <v>674.3</v>
      </c>
      <c r="AC13">
        <f t="shared" si="25"/>
        <v>1183</v>
      </c>
      <c r="AD13">
        <f t="shared" si="26"/>
        <v>155.69999999999999</v>
      </c>
      <c r="AE13">
        <f t="shared" si="27"/>
        <v>17.076923076923077</v>
      </c>
      <c r="AF13">
        <f t="shared" si="28"/>
        <v>18</v>
      </c>
      <c r="AG13">
        <f t="shared" si="29"/>
        <v>17.857142857142858</v>
      </c>
      <c r="AH13">
        <f t="shared" si="30"/>
        <v>17</v>
      </c>
      <c r="AI13">
        <f t="shared" si="31"/>
        <v>14.745045045045046</v>
      </c>
      <c r="AJ13">
        <f t="shared" si="32"/>
        <v>4.6826388888888886</v>
      </c>
      <c r="AK13">
        <f t="shared" si="33"/>
        <v>8.2810000000000006</v>
      </c>
      <c r="AL13">
        <f t="shared" si="34"/>
        <v>1.1448529411764705</v>
      </c>
      <c r="AM13">
        <f t="shared" si="35"/>
        <v>1663.3999999999999</v>
      </c>
      <c r="AN13">
        <f t="shared" si="36"/>
        <v>556.20000000000005</v>
      </c>
      <c r="AO13">
        <f t="shared" si="37"/>
        <v>967.59999999999991</v>
      </c>
      <c r="AP13">
        <f t="shared" si="38"/>
        <v>139.6</v>
      </c>
      <c r="AQ13">
        <f t="shared" si="39"/>
        <v>14.384615384615385</v>
      </c>
      <c r="AR13">
        <f t="shared" si="40"/>
        <v>15.75</v>
      </c>
      <c r="AS13">
        <f t="shared" si="41"/>
        <v>15.428571428571429</v>
      </c>
      <c r="AT13">
        <f t="shared" si="42"/>
        <v>16</v>
      </c>
      <c r="AU13">
        <f t="shared" si="43"/>
        <v>14.454679144385025</v>
      </c>
      <c r="AV13">
        <f t="shared" si="44"/>
        <v>4.4142857142857146</v>
      </c>
      <c r="AW13">
        <f t="shared" si="45"/>
        <v>7.839351851851851</v>
      </c>
      <c r="AX13">
        <f t="shared" si="46"/>
        <v>1.090625</v>
      </c>
    </row>
    <row r="14" spans="1:50">
      <c r="A14">
        <v>1205094</v>
      </c>
      <c r="B14" t="str">
        <f>_xlfn.XLOOKUP(A14,monthly_work_hours!A:A,monthly_work_hours!B:B)</f>
        <v>강동현</v>
      </c>
      <c r="C14" t="str">
        <f>_xlfn.XLOOKUP(A14,monthly_work_hours!A:A,monthly_work_hours!C:C)</f>
        <v>FL개발팀</v>
      </c>
      <c r="D14" t="str">
        <f>_xlfn.XLOOKUP(A14,monthly_work_hours!A:A,monthly_work_hours!D:D)</f>
        <v>책임</v>
      </c>
      <c r="E14">
        <f>SUMIFS(monthly_work_hours!$K:$K,monthly_work_hours!$A:$A,'FTE 계산'!$A14,monthly_work_hours!$F:$F,'FTE 계산'!E$2)</f>
        <v>283.60000000000002</v>
      </c>
      <c r="F14">
        <f>SUMIFS(monthly_work_hours!$K:$K,monthly_work_hours!$A:$A,'FTE 계산'!$A14,monthly_work_hours!$F:$F,'FTE 계산'!F$2)</f>
        <v>165.9</v>
      </c>
      <c r="G14">
        <f>SUMIFS(monthly_work_hours!$K:$K,monthly_work_hours!$A:$A,'FTE 계산'!$A14,monthly_work_hours!$F:$F,'FTE 계산'!G$2)</f>
        <v>151.80000000000001</v>
      </c>
      <c r="H14">
        <f>(SUMIFS(monthly_work_hours!$G:$G,monthly_work_hours!$A:$A,'FTE 계산'!$A14,monthly_work_hours!$F:$F,'FTE 계산'!H$2)) - (SUMIFS(monthly_work_hours!$J:$J,monthly_work_hours!$A:$A,'FTE 계산'!$A14,monthly_work_hours!$F:$F,'FTE 계산'!H$2))</f>
        <v>19</v>
      </c>
      <c r="I14">
        <f>(SUMIFS(monthly_work_hours!$G:$G,monthly_work_hours!$A:$A,'FTE 계산'!$A14,monthly_work_hours!$F:$F,'FTE 계산'!I$2)) - (SUMIFS(monthly_work_hours!$J:$J,monthly_work_hours!$A:$A,'FTE 계산'!$A14,monthly_work_hours!$F:$F,'FTE 계산'!I$2))</f>
        <v>16</v>
      </c>
      <c r="J14">
        <f>(SUMIFS(monthly_work_hours!$G:$G,monthly_work_hours!$A:$A,'FTE 계산'!$A14,monthly_work_hours!$F:$F,'FTE 계산'!J$2)) - (SUMIFS(monthly_work_hours!$J:$J,monthly_work_hours!$A:$A,'FTE 계산'!$A14,monthly_work_hours!$F:$F,'FTE 계산'!J$2))</f>
        <v>16</v>
      </c>
      <c r="N14" t="str">
        <v>B/H사업팀</v>
      </c>
      <c r="O14">
        <f t="shared" si="13"/>
        <v>1191.8</v>
      </c>
      <c r="P14">
        <f t="shared" si="14"/>
        <v>329.2</v>
      </c>
      <c r="Q14">
        <f t="shared" si="0"/>
        <v>678.7</v>
      </c>
      <c r="R14">
        <f t="shared" si="0"/>
        <v>183.9</v>
      </c>
      <c r="S14">
        <f t="shared" si="15"/>
        <v>17.857142857142858</v>
      </c>
      <c r="T14">
        <f t="shared" si="16"/>
        <v>16.5</v>
      </c>
      <c r="U14">
        <f t="shared" si="17"/>
        <v>18.25</v>
      </c>
      <c r="V14">
        <f t="shared" si="18"/>
        <v>19</v>
      </c>
      <c r="W14">
        <f t="shared" si="19"/>
        <v>8.3425999999999991</v>
      </c>
      <c r="X14">
        <f t="shared" si="20"/>
        <v>2.4939393939393937</v>
      </c>
      <c r="Y14">
        <f t="shared" si="21"/>
        <v>4.6486301369863021</v>
      </c>
      <c r="Z14">
        <f t="shared" si="22"/>
        <v>1.2098684210526316</v>
      </c>
      <c r="AA14">
        <f t="shared" si="23"/>
        <v>1211.3999999999999</v>
      </c>
      <c r="AB14">
        <f t="shared" si="24"/>
        <v>362</v>
      </c>
      <c r="AC14">
        <f t="shared" si="25"/>
        <v>672.1</v>
      </c>
      <c r="AD14">
        <f t="shared" si="26"/>
        <v>177.3</v>
      </c>
      <c r="AE14">
        <f t="shared" si="27"/>
        <v>18.142857142857142</v>
      </c>
      <c r="AF14">
        <f t="shared" si="28"/>
        <v>19</v>
      </c>
      <c r="AG14">
        <f t="shared" si="29"/>
        <v>17.5</v>
      </c>
      <c r="AH14">
        <f t="shared" si="30"/>
        <v>19</v>
      </c>
      <c r="AI14">
        <f t="shared" si="31"/>
        <v>8.3462598425196841</v>
      </c>
      <c r="AJ14">
        <f t="shared" si="32"/>
        <v>2.3815789473684212</v>
      </c>
      <c r="AK14">
        <f t="shared" si="33"/>
        <v>4.8007142857142862</v>
      </c>
      <c r="AL14">
        <f t="shared" si="34"/>
        <v>1.1664473684210528</v>
      </c>
      <c r="AM14">
        <f t="shared" si="35"/>
        <v>1029.0999999999999</v>
      </c>
      <c r="AN14">
        <f t="shared" si="36"/>
        <v>303.39999999999998</v>
      </c>
      <c r="AO14">
        <f t="shared" si="37"/>
        <v>579</v>
      </c>
      <c r="AP14">
        <f t="shared" si="38"/>
        <v>146.69999999999999</v>
      </c>
      <c r="AQ14">
        <f t="shared" si="39"/>
        <v>15.571428571428571</v>
      </c>
      <c r="AR14">
        <f t="shared" si="40"/>
        <v>16</v>
      </c>
      <c r="AS14">
        <f t="shared" si="41"/>
        <v>15.25</v>
      </c>
      <c r="AT14">
        <f t="shared" si="42"/>
        <v>16</v>
      </c>
      <c r="AU14">
        <f t="shared" si="43"/>
        <v>8.2611238532110089</v>
      </c>
      <c r="AV14">
        <f t="shared" si="44"/>
        <v>2.3703124999999998</v>
      </c>
      <c r="AW14">
        <f t="shared" si="45"/>
        <v>4.7459016393442619</v>
      </c>
      <c r="AX14">
        <f t="shared" si="46"/>
        <v>1.1460937499999999</v>
      </c>
    </row>
    <row r="15" spans="1:50">
      <c r="A15">
        <v>1205105</v>
      </c>
      <c r="B15" t="str">
        <f>_xlfn.XLOOKUP(A15,monthly_work_hours!A:A,monthly_work_hours!B:B)</f>
        <v>엄중호</v>
      </c>
      <c r="C15" t="str">
        <f>_xlfn.XLOOKUP(A15,monthly_work_hours!A:A,monthly_work_hours!C:C)</f>
        <v>SL품질보증팀</v>
      </c>
      <c r="D15" t="str">
        <f>_xlfn.XLOOKUP(A15,monthly_work_hours!A:A,monthly_work_hours!D:D)</f>
        <v>기능주임</v>
      </c>
      <c r="E15">
        <f>SUMIFS(monthly_work_hours!$K:$K,monthly_work_hours!$A:$A,'FTE 계산'!$A15,monthly_work_hours!$F:$F,'FTE 계산'!E$2)</f>
        <v>103.6</v>
      </c>
      <c r="F15">
        <f>SUMIFS(monthly_work_hours!$K:$K,monthly_work_hours!$A:$A,'FTE 계산'!$A15,monthly_work_hours!$F:$F,'FTE 계산'!F$2)</f>
        <v>95.7</v>
      </c>
      <c r="G15">
        <f>SUMIFS(monthly_work_hours!$K:$K,monthly_work_hours!$A:$A,'FTE 계산'!$A15,monthly_work_hours!$F:$F,'FTE 계산'!G$2)</f>
        <v>97.8</v>
      </c>
      <c r="H15">
        <f>(SUMIFS(monthly_work_hours!$G:$G,monthly_work_hours!$A:$A,'FTE 계산'!$A15,monthly_work_hours!$F:$F,'FTE 계산'!H$2)) - (SUMIFS(monthly_work_hours!$J:$J,monthly_work_hours!$A:$A,'FTE 계산'!$A15,monthly_work_hours!$F:$F,'FTE 계산'!H$2))</f>
        <v>20</v>
      </c>
      <c r="I15">
        <f>(SUMIFS(monthly_work_hours!$G:$G,monthly_work_hours!$A:$A,'FTE 계산'!$A15,monthly_work_hours!$F:$F,'FTE 계산'!I$2)) - (SUMIFS(monthly_work_hours!$J:$J,monthly_work_hours!$A:$A,'FTE 계산'!$A15,monthly_work_hours!$F:$F,'FTE 계산'!I$2))</f>
        <v>19</v>
      </c>
      <c r="J15">
        <f>(SUMIFS(monthly_work_hours!$G:$G,monthly_work_hours!$A:$A,'FTE 계산'!$A15,monthly_work_hours!$F:$F,'FTE 계산'!J$2)) - (SUMIFS(monthly_work_hours!$J:$J,monthly_work_hours!$A:$A,'FTE 계산'!$A15,monthly_work_hours!$F:$F,'FTE 계산'!J$2))</f>
        <v>17</v>
      </c>
      <c r="N15" t="str">
        <v>관체사업팀</v>
      </c>
      <c r="O15">
        <f t="shared" si="13"/>
        <v>2093.2999999999997</v>
      </c>
      <c r="P15">
        <f t="shared" si="14"/>
        <v>779.50000000000011</v>
      </c>
      <c r="Q15">
        <f t="shared" si="0"/>
        <v>1152.5</v>
      </c>
      <c r="R15">
        <f t="shared" si="0"/>
        <v>161.30000000000001</v>
      </c>
      <c r="S15">
        <f t="shared" si="15"/>
        <v>17.90909090909091</v>
      </c>
      <c r="T15">
        <f t="shared" si="16"/>
        <v>18.5</v>
      </c>
      <c r="U15">
        <f t="shared" si="17"/>
        <v>17.333333333333332</v>
      </c>
      <c r="V15">
        <f t="shared" si="18"/>
        <v>19</v>
      </c>
      <c r="W15">
        <f t="shared" si="19"/>
        <v>14.610596446700505</v>
      </c>
      <c r="X15">
        <f t="shared" si="20"/>
        <v>5.266891891891893</v>
      </c>
      <c r="Y15">
        <f t="shared" si="21"/>
        <v>8.3112980769230766</v>
      </c>
      <c r="Z15">
        <f t="shared" si="22"/>
        <v>1.0611842105263158</v>
      </c>
      <c r="AA15">
        <f t="shared" si="23"/>
        <v>2411.9</v>
      </c>
      <c r="AB15">
        <f t="shared" si="24"/>
        <v>773.6</v>
      </c>
      <c r="AC15">
        <f t="shared" si="25"/>
        <v>1478.1000000000001</v>
      </c>
      <c r="AD15">
        <f t="shared" si="26"/>
        <v>160.19999999999999</v>
      </c>
      <c r="AE15">
        <f t="shared" si="27"/>
        <v>18</v>
      </c>
      <c r="AF15">
        <f t="shared" si="28"/>
        <v>18.25</v>
      </c>
      <c r="AG15">
        <f t="shared" si="29"/>
        <v>17.833333333333332</v>
      </c>
      <c r="AH15">
        <f t="shared" si="30"/>
        <v>18</v>
      </c>
      <c r="AI15">
        <f t="shared" si="31"/>
        <v>16.749305555555555</v>
      </c>
      <c r="AJ15">
        <f t="shared" si="32"/>
        <v>5.2986301369863016</v>
      </c>
      <c r="AK15">
        <f t="shared" si="33"/>
        <v>10.360514018691591</v>
      </c>
      <c r="AL15">
        <f t="shared" si="34"/>
        <v>1.1124999999999998</v>
      </c>
      <c r="AM15">
        <f t="shared" si="35"/>
        <v>1948.9</v>
      </c>
      <c r="AN15">
        <f t="shared" si="36"/>
        <v>632</v>
      </c>
      <c r="AO15">
        <f t="shared" si="37"/>
        <v>1191.0999999999999</v>
      </c>
      <c r="AP15">
        <f t="shared" si="38"/>
        <v>125.8</v>
      </c>
      <c r="AQ15">
        <f t="shared" si="39"/>
        <v>15.545454545454545</v>
      </c>
      <c r="AR15">
        <f t="shared" si="40"/>
        <v>15.75</v>
      </c>
      <c r="AS15">
        <f t="shared" si="41"/>
        <v>15.833333333333334</v>
      </c>
      <c r="AT15">
        <f t="shared" si="42"/>
        <v>13</v>
      </c>
      <c r="AU15">
        <f t="shared" si="43"/>
        <v>15.670979532163743</v>
      </c>
      <c r="AV15">
        <f t="shared" si="44"/>
        <v>5.0158730158730158</v>
      </c>
      <c r="AW15">
        <f t="shared" si="45"/>
        <v>9.4034210526315771</v>
      </c>
      <c r="AX15">
        <f t="shared" si="46"/>
        <v>1.2096153846153845</v>
      </c>
    </row>
    <row r="16" spans="1:50">
      <c r="A16">
        <v>1205115</v>
      </c>
      <c r="B16" t="str">
        <f>_xlfn.XLOOKUP(A16,monthly_work_hours!A:A,monthly_work_hours!B:B)</f>
        <v>김욱진</v>
      </c>
      <c r="C16" t="str">
        <f>_xlfn.XLOOKUP(A16,monthly_work_hours!A:A,monthly_work_hours!C:C)</f>
        <v>SL생산기술팀</v>
      </c>
      <c r="D16" t="str">
        <f>_xlfn.XLOOKUP(A16,monthly_work_hours!A:A,monthly_work_hours!D:D)</f>
        <v>책임</v>
      </c>
      <c r="E16">
        <f>SUMIFS(monthly_work_hours!$K:$K,monthly_work_hours!$A:$A,'FTE 계산'!$A16,monthly_work_hours!$F:$F,'FTE 계산'!E$2)</f>
        <v>164.9</v>
      </c>
      <c r="F16">
        <f>SUMIFS(monthly_work_hours!$K:$K,monthly_work_hours!$A:$A,'FTE 계산'!$A16,monthly_work_hours!$F:$F,'FTE 계산'!F$2)</f>
        <v>166.3</v>
      </c>
      <c r="G16">
        <f>SUMIFS(monthly_work_hours!$K:$K,monthly_work_hours!$A:$A,'FTE 계산'!$A16,monthly_work_hours!$F:$F,'FTE 계산'!G$2)</f>
        <v>120.1</v>
      </c>
      <c r="H16">
        <f>(SUMIFS(monthly_work_hours!$G:$G,monthly_work_hours!$A:$A,'FTE 계산'!$A16,monthly_work_hours!$F:$F,'FTE 계산'!H$2)) - (SUMIFS(monthly_work_hours!$J:$J,monthly_work_hours!$A:$A,'FTE 계산'!$A16,monthly_work_hours!$F:$F,'FTE 계산'!H$2))</f>
        <v>17</v>
      </c>
      <c r="I16">
        <f>(SUMIFS(monthly_work_hours!$G:$G,monthly_work_hours!$A:$A,'FTE 계산'!$A16,monthly_work_hours!$F:$F,'FTE 계산'!I$2)) - (SUMIFS(monthly_work_hours!$J:$J,monthly_work_hours!$A:$A,'FTE 계산'!$A16,monthly_work_hours!$F:$F,'FTE 계산'!I$2))</f>
        <v>17</v>
      </c>
      <c r="J16">
        <f>(SUMIFS(monthly_work_hours!$G:$G,monthly_work_hours!$A:$A,'FTE 계산'!$A16,monthly_work_hours!$F:$F,'FTE 계산'!J$2)) - (SUMIFS(monthly_work_hours!$J:$J,monthly_work_hours!$A:$A,'FTE 계산'!$A16,monthly_work_hours!$F:$F,'FTE 계산'!J$2))</f>
        <v>13</v>
      </c>
      <c r="N16" t="str">
        <v>열관리사업팀</v>
      </c>
      <c r="O16">
        <f t="shared" si="13"/>
        <v>1015.5</v>
      </c>
      <c r="P16">
        <f t="shared" si="14"/>
        <v>337.1</v>
      </c>
      <c r="Q16">
        <f t="shared" si="0"/>
        <v>678.40000000000009</v>
      </c>
      <c r="R16">
        <f t="shared" si="0"/>
        <v>0</v>
      </c>
      <c r="S16">
        <f t="shared" si="15"/>
        <v>17</v>
      </c>
      <c r="T16">
        <f t="shared" si="16"/>
        <v>16</v>
      </c>
      <c r="U16">
        <f t="shared" si="17"/>
        <v>17.5</v>
      </c>
      <c r="V16" t="e">
        <f t="shared" si="18"/>
        <v>#DIV/0!</v>
      </c>
      <c r="W16">
        <f t="shared" si="19"/>
        <v>7.4669117647058822</v>
      </c>
      <c r="X16">
        <f t="shared" si="20"/>
        <v>2.6335937500000002</v>
      </c>
      <c r="Y16">
        <f t="shared" si="21"/>
        <v>4.8457142857142861</v>
      </c>
      <c r="Z16" t="str">
        <f t="shared" si="22"/>
        <v>-</v>
      </c>
      <c r="AA16">
        <f t="shared" si="23"/>
        <v>1099.0999999999999</v>
      </c>
      <c r="AB16">
        <f t="shared" si="24"/>
        <v>363.79999999999995</v>
      </c>
      <c r="AC16">
        <f t="shared" si="25"/>
        <v>735.3</v>
      </c>
      <c r="AD16">
        <f t="shared" si="26"/>
        <v>0</v>
      </c>
      <c r="AE16">
        <f t="shared" si="27"/>
        <v>18.666666666666668</v>
      </c>
      <c r="AF16">
        <f t="shared" si="28"/>
        <v>19</v>
      </c>
      <c r="AG16">
        <f t="shared" si="29"/>
        <v>18.5</v>
      </c>
      <c r="AH16" t="e">
        <f t="shared" si="30"/>
        <v>#DIV/0!</v>
      </c>
      <c r="AI16">
        <f t="shared" si="31"/>
        <v>7.360044642857142</v>
      </c>
      <c r="AJ16">
        <f t="shared" si="32"/>
        <v>2.3934210526315787</v>
      </c>
      <c r="AK16">
        <f t="shared" si="33"/>
        <v>4.9682432432432426</v>
      </c>
      <c r="AL16" t="str">
        <f t="shared" si="34"/>
        <v>-</v>
      </c>
      <c r="AM16">
        <f t="shared" si="35"/>
        <v>882.8</v>
      </c>
      <c r="AN16">
        <f t="shared" si="36"/>
        <v>284.3</v>
      </c>
      <c r="AO16">
        <f t="shared" si="37"/>
        <v>598.5</v>
      </c>
      <c r="AP16">
        <f t="shared" si="38"/>
        <v>0</v>
      </c>
      <c r="AQ16">
        <f t="shared" si="39"/>
        <v>15.666666666666666</v>
      </c>
      <c r="AR16">
        <f t="shared" si="40"/>
        <v>16</v>
      </c>
      <c r="AS16">
        <f t="shared" si="41"/>
        <v>15.5</v>
      </c>
      <c r="AT16" t="e">
        <f t="shared" si="42"/>
        <v>#DIV/0!</v>
      </c>
      <c r="AU16">
        <f t="shared" si="43"/>
        <v>7.0436170212765958</v>
      </c>
      <c r="AV16">
        <f t="shared" si="44"/>
        <v>2.2210937500000001</v>
      </c>
      <c r="AW16">
        <f t="shared" si="45"/>
        <v>4.8266129032258061</v>
      </c>
      <c r="AX16" t="str">
        <f t="shared" si="46"/>
        <v>-</v>
      </c>
    </row>
    <row r="17" spans="1:50">
      <c r="A17">
        <v>1206003</v>
      </c>
      <c r="B17" t="str">
        <f>_xlfn.XLOOKUP(A17,monthly_work_hours!A:A,monthly_work_hours!B:B)</f>
        <v>김동건</v>
      </c>
      <c r="C17" t="str">
        <f>_xlfn.XLOOKUP(A17,monthly_work_hours!A:A,monthly_work_hours!C:C)</f>
        <v>FL개발팀</v>
      </c>
      <c r="D17" t="str">
        <f>_xlfn.XLOOKUP(A17,monthly_work_hours!A:A,monthly_work_hours!D:D)</f>
        <v>책임</v>
      </c>
      <c r="E17">
        <f>SUMIFS(monthly_work_hours!$K:$K,monthly_work_hours!$A:$A,'FTE 계산'!$A17,monthly_work_hours!$F:$F,'FTE 계산'!E$2)</f>
        <v>205.5</v>
      </c>
      <c r="F17">
        <f>SUMIFS(monthly_work_hours!$K:$K,monthly_work_hours!$A:$A,'FTE 계산'!$A17,monthly_work_hours!$F:$F,'FTE 계산'!F$2)</f>
        <v>198.1</v>
      </c>
      <c r="G17">
        <f>SUMIFS(monthly_work_hours!$K:$K,monthly_work_hours!$A:$A,'FTE 계산'!$A17,monthly_work_hours!$F:$F,'FTE 계산'!G$2)</f>
        <v>158</v>
      </c>
      <c r="H17">
        <f>(SUMIFS(monthly_work_hours!$G:$G,monthly_work_hours!$A:$A,'FTE 계산'!$A17,monthly_work_hours!$F:$F,'FTE 계산'!H$2)) - (SUMIFS(monthly_work_hours!$J:$J,monthly_work_hours!$A:$A,'FTE 계산'!$A17,monthly_work_hours!$F:$F,'FTE 계산'!H$2))</f>
        <v>18</v>
      </c>
      <c r="I17">
        <f>(SUMIFS(monthly_work_hours!$G:$G,monthly_work_hours!$A:$A,'FTE 계산'!$A17,monthly_work_hours!$F:$F,'FTE 계산'!I$2)) - (SUMIFS(monthly_work_hours!$J:$J,monthly_work_hours!$A:$A,'FTE 계산'!$A17,monthly_work_hours!$F:$F,'FTE 계산'!I$2))</f>
        <v>19</v>
      </c>
      <c r="J17">
        <f>(SUMIFS(monthly_work_hours!$G:$G,monthly_work_hours!$A:$A,'FTE 계산'!$A17,monthly_work_hours!$F:$F,'FTE 계산'!J$2)) - (SUMIFS(monthly_work_hours!$J:$J,monthly_work_hours!$A:$A,'FTE 계산'!$A17,monthly_work_hours!$F:$F,'FTE 계산'!J$2))</f>
        <v>16</v>
      </c>
      <c r="N17" t="str">
        <v>SL상생협력팀</v>
      </c>
      <c r="O17">
        <f t="shared" si="13"/>
        <v>831.3</v>
      </c>
      <c r="P17">
        <f t="shared" si="14"/>
        <v>161.4</v>
      </c>
      <c r="Q17">
        <f t="shared" si="0"/>
        <v>332.9</v>
      </c>
      <c r="R17">
        <f t="shared" si="0"/>
        <v>336.2</v>
      </c>
      <c r="S17">
        <f t="shared" si="15"/>
        <v>14.833333333333334</v>
      </c>
      <c r="T17">
        <f t="shared" si="16"/>
        <v>18</v>
      </c>
      <c r="U17">
        <f t="shared" si="17"/>
        <v>16.5</v>
      </c>
      <c r="V17">
        <f t="shared" si="18"/>
        <v>17.5</v>
      </c>
      <c r="W17">
        <f t="shared" si="19"/>
        <v>7.0053370786516851</v>
      </c>
      <c r="X17">
        <f t="shared" si="20"/>
        <v>1.1208333333333333</v>
      </c>
      <c r="Y17">
        <f t="shared" si="21"/>
        <v>2.521969696969697</v>
      </c>
      <c r="Z17">
        <f t="shared" si="22"/>
        <v>2.4014285714285712</v>
      </c>
      <c r="AA17">
        <f t="shared" si="23"/>
        <v>786</v>
      </c>
      <c r="AB17">
        <f t="shared" si="24"/>
        <v>165.8</v>
      </c>
      <c r="AC17">
        <f t="shared" si="25"/>
        <v>275</v>
      </c>
      <c r="AD17">
        <f t="shared" si="26"/>
        <v>345.2</v>
      </c>
      <c r="AE17">
        <f t="shared" si="27"/>
        <v>14</v>
      </c>
      <c r="AF17">
        <f t="shared" si="28"/>
        <v>18</v>
      </c>
      <c r="AG17">
        <f t="shared" si="29"/>
        <v>14.5</v>
      </c>
      <c r="AH17">
        <f t="shared" si="30"/>
        <v>18.5</v>
      </c>
      <c r="AI17">
        <f t="shared" si="31"/>
        <v>7.0178571428571432</v>
      </c>
      <c r="AJ17">
        <f t="shared" si="32"/>
        <v>1.151388888888889</v>
      </c>
      <c r="AK17">
        <f t="shared" si="33"/>
        <v>2.3706896551724137</v>
      </c>
      <c r="AL17">
        <f t="shared" si="34"/>
        <v>2.3324324324324324</v>
      </c>
      <c r="AM17">
        <f t="shared" si="35"/>
        <v>658.3</v>
      </c>
      <c r="AN17">
        <f t="shared" si="36"/>
        <v>125.8</v>
      </c>
      <c r="AO17">
        <f t="shared" si="37"/>
        <v>249</v>
      </c>
      <c r="AP17">
        <f t="shared" si="38"/>
        <v>283.5</v>
      </c>
      <c r="AQ17">
        <f t="shared" si="39"/>
        <v>12.166666666666666</v>
      </c>
      <c r="AR17">
        <f t="shared" si="40"/>
        <v>14</v>
      </c>
      <c r="AS17">
        <f t="shared" si="41"/>
        <v>13.5</v>
      </c>
      <c r="AT17">
        <f t="shared" si="42"/>
        <v>16</v>
      </c>
      <c r="AU17">
        <f t="shared" si="43"/>
        <v>6.7633561643835618</v>
      </c>
      <c r="AV17">
        <f t="shared" si="44"/>
        <v>1.1232142857142857</v>
      </c>
      <c r="AW17">
        <f t="shared" si="45"/>
        <v>2.3055555555555554</v>
      </c>
      <c r="AX17">
        <f t="shared" si="46"/>
        <v>2.21484375</v>
      </c>
    </row>
    <row r="18" spans="1:50">
      <c r="A18">
        <v>1207010</v>
      </c>
      <c r="B18" t="str">
        <f>_xlfn.XLOOKUP(A18,monthly_work_hours!A:A,monthly_work_hours!B:B)</f>
        <v>박승규</v>
      </c>
      <c r="C18" t="str">
        <f>_xlfn.XLOOKUP(A18,monthly_work_hours!A:A,monthly_work_hours!C:C)</f>
        <v>SL구매팀</v>
      </c>
      <c r="D18" t="str">
        <f>_xlfn.XLOOKUP(A18,monthly_work_hours!A:A,monthly_work_hours!D:D)</f>
        <v>책임</v>
      </c>
      <c r="E18">
        <f>SUMIFS(monthly_work_hours!$K:$K,monthly_work_hours!$A:$A,'FTE 계산'!$A18,monthly_work_hours!$F:$F,'FTE 계산'!E$2)</f>
        <v>159.19999999999999</v>
      </c>
      <c r="F18">
        <f>SUMIFS(monthly_work_hours!$K:$K,monthly_work_hours!$A:$A,'FTE 계산'!$A18,monthly_work_hours!$F:$F,'FTE 계산'!F$2)</f>
        <v>168.8</v>
      </c>
      <c r="G18">
        <f>SUMIFS(monthly_work_hours!$K:$K,monthly_work_hours!$A:$A,'FTE 계산'!$A18,monthly_work_hours!$F:$F,'FTE 계산'!G$2)</f>
        <v>139.4</v>
      </c>
      <c r="H18">
        <f>(SUMIFS(monthly_work_hours!$G:$G,monthly_work_hours!$A:$A,'FTE 계산'!$A18,monthly_work_hours!$F:$F,'FTE 계산'!H$2)) - (SUMIFS(monthly_work_hours!$J:$J,monthly_work_hours!$A:$A,'FTE 계산'!$A18,monthly_work_hours!$F:$F,'FTE 계산'!H$2))</f>
        <v>16</v>
      </c>
      <c r="I18">
        <f>(SUMIFS(monthly_work_hours!$G:$G,monthly_work_hours!$A:$A,'FTE 계산'!$A18,monthly_work_hours!$F:$F,'FTE 계산'!I$2)) - (SUMIFS(monthly_work_hours!$J:$J,monthly_work_hours!$A:$A,'FTE 계산'!$A18,monthly_work_hours!$F:$F,'FTE 계산'!I$2))</f>
        <v>18</v>
      </c>
      <c r="J18">
        <f>(SUMIFS(monthly_work_hours!$G:$G,monthly_work_hours!$A:$A,'FTE 계산'!$A18,monthly_work_hours!$F:$F,'FTE 계산'!J$2)) - (SUMIFS(monthly_work_hours!$J:$J,monthly_work_hours!$A:$A,'FTE 계산'!$A18,monthly_work_hours!$F:$F,'FTE 계산'!J$2))</f>
        <v>15</v>
      </c>
      <c r="N18" t="str">
        <v>FL영업팀</v>
      </c>
      <c r="O18">
        <f t="shared" si="13"/>
        <v>2489.0000000000005</v>
      </c>
      <c r="P18">
        <f t="shared" si="14"/>
        <v>609.6</v>
      </c>
      <c r="Q18">
        <f t="shared" si="0"/>
        <v>1064.0999999999999</v>
      </c>
      <c r="R18">
        <f t="shared" si="0"/>
        <v>815.3</v>
      </c>
      <c r="S18">
        <f t="shared" si="15"/>
        <v>17.153846153846153</v>
      </c>
      <c r="T18">
        <f t="shared" si="16"/>
        <v>17.333333333333332</v>
      </c>
      <c r="U18">
        <f t="shared" si="17"/>
        <v>16.333333333333332</v>
      </c>
      <c r="V18">
        <f t="shared" si="18"/>
        <v>18.25</v>
      </c>
      <c r="W18">
        <f t="shared" si="19"/>
        <v>18.137331838565025</v>
      </c>
      <c r="X18">
        <f t="shared" si="20"/>
        <v>4.3961538461538465</v>
      </c>
      <c r="Y18">
        <f t="shared" si="21"/>
        <v>8.1436224489795919</v>
      </c>
      <c r="Z18">
        <f t="shared" si="22"/>
        <v>5.5842465753424655</v>
      </c>
      <c r="AA18">
        <f t="shared" si="23"/>
        <v>2369.7000000000003</v>
      </c>
      <c r="AB18">
        <f t="shared" si="24"/>
        <v>596</v>
      </c>
      <c r="AC18">
        <f t="shared" si="25"/>
        <v>1117.9000000000001</v>
      </c>
      <c r="AD18">
        <f t="shared" si="26"/>
        <v>655.8</v>
      </c>
      <c r="AE18">
        <f t="shared" si="27"/>
        <v>16.615384615384617</v>
      </c>
      <c r="AF18">
        <f t="shared" si="28"/>
        <v>17.666666666666668</v>
      </c>
      <c r="AG18">
        <f t="shared" si="29"/>
        <v>17</v>
      </c>
      <c r="AH18">
        <f t="shared" si="30"/>
        <v>15.25</v>
      </c>
      <c r="AI18">
        <f t="shared" si="31"/>
        <v>17.827604166666667</v>
      </c>
      <c r="AJ18">
        <f t="shared" si="32"/>
        <v>4.2169811320754711</v>
      </c>
      <c r="AK18">
        <f t="shared" si="33"/>
        <v>8.2198529411764714</v>
      </c>
      <c r="AL18">
        <f t="shared" si="34"/>
        <v>5.3754098360655735</v>
      </c>
      <c r="AM18">
        <f t="shared" si="35"/>
        <v>2081.1</v>
      </c>
      <c r="AN18">
        <f t="shared" si="36"/>
        <v>497.59999999999997</v>
      </c>
      <c r="AO18">
        <f t="shared" si="37"/>
        <v>1067.1000000000001</v>
      </c>
      <c r="AP18">
        <f t="shared" si="38"/>
        <v>516.4</v>
      </c>
      <c r="AQ18">
        <f t="shared" si="39"/>
        <v>14.153846153846153</v>
      </c>
      <c r="AR18">
        <f t="shared" si="40"/>
        <v>14.333333333333334</v>
      </c>
      <c r="AS18">
        <f t="shared" si="41"/>
        <v>15.5</v>
      </c>
      <c r="AT18">
        <f t="shared" si="42"/>
        <v>12</v>
      </c>
      <c r="AU18">
        <f t="shared" si="43"/>
        <v>18.379279891304346</v>
      </c>
      <c r="AV18">
        <f t="shared" si="44"/>
        <v>4.3395348837209298</v>
      </c>
      <c r="AW18">
        <f t="shared" si="45"/>
        <v>8.6056451612903242</v>
      </c>
      <c r="AX18">
        <f t="shared" si="46"/>
        <v>5.3791666666666664</v>
      </c>
    </row>
    <row r="19" spans="1:50">
      <c r="A19">
        <v>1207036</v>
      </c>
      <c r="B19" t="str">
        <f>_xlfn.XLOOKUP(A19,monthly_work_hours!A:A,monthly_work_hours!B:B)</f>
        <v>우승윤</v>
      </c>
      <c r="C19" t="str">
        <f>_xlfn.XLOOKUP(A19,monthly_work_hours!A:A,monthly_work_hours!C:C)</f>
        <v>SL운영팀</v>
      </c>
      <c r="D19" t="str">
        <f>_xlfn.XLOOKUP(A19,monthly_work_hours!A:A,monthly_work_hours!D:D)</f>
        <v>책임</v>
      </c>
      <c r="E19">
        <f>SUMIFS(monthly_work_hours!$K:$K,monthly_work_hours!$A:$A,'FTE 계산'!$A19,monthly_work_hours!$F:$F,'FTE 계산'!E$2)</f>
        <v>152.69999999999999</v>
      </c>
      <c r="F19">
        <f>SUMIFS(monthly_work_hours!$K:$K,monthly_work_hours!$A:$A,'FTE 계산'!$A19,monthly_work_hours!$F:$F,'FTE 계산'!F$2)</f>
        <v>142.6</v>
      </c>
      <c r="G19">
        <f>SUMIFS(monthly_work_hours!$K:$K,monthly_work_hours!$A:$A,'FTE 계산'!$A19,monthly_work_hours!$F:$F,'FTE 계산'!G$2)</f>
        <v>103.4</v>
      </c>
      <c r="H19">
        <f>(SUMIFS(monthly_work_hours!$G:$G,monthly_work_hours!$A:$A,'FTE 계산'!$A19,monthly_work_hours!$F:$F,'FTE 계산'!H$2)) - (SUMIFS(monthly_work_hours!$J:$J,monthly_work_hours!$A:$A,'FTE 계산'!$A19,monthly_work_hours!$F:$F,'FTE 계산'!H$2))</f>
        <v>16</v>
      </c>
      <c r="I19">
        <f>(SUMIFS(monthly_work_hours!$G:$G,monthly_work_hours!$A:$A,'FTE 계산'!$A19,monthly_work_hours!$F:$F,'FTE 계산'!I$2)) - (SUMIFS(monthly_work_hours!$J:$J,monthly_work_hours!$A:$A,'FTE 계산'!$A19,monthly_work_hours!$F:$F,'FTE 계산'!I$2))</f>
        <v>18</v>
      </c>
      <c r="J19">
        <f>(SUMIFS(monthly_work_hours!$G:$G,monthly_work_hours!$A:$A,'FTE 계산'!$A19,monthly_work_hours!$F:$F,'FTE 계산'!J$2)) - (SUMIFS(monthly_work_hours!$J:$J,monthly_work_hours!$A:$A,'FTE 계산'!$A19,monthly_work_hours!$F:$F,'FTE 계산'!J$2))</f>
        <v>13</v>
      </c>
      <c r="N19" t="str">
        <v>FL사업지원실</v>
      </c>
      <c r="O19">
        <f t="shared" si="13"/>
        <v>176.1</v>
      </c>
      <c r="P19">
        <f t="shared" si="14"/>
        <v>176.1</v>
      </c>
      <c r="Q19">
        <f t="shared" si="14"/>
        <v>0</v>
      </c>
      <c r="R19">
        <f t="shared" si="14"/>
        <v>0</v>
      </c>
      <c r="S19">
        <f t="shared" si="15"/>
        <v>18</v>
      </c>
      <c r="T19">
        <f t="shared" si="16"/>
        <v>18</v>
      </c>
      <c r="U19" t="e">
        <f t="shared" si="17"/>
        <v>#DIV/0!</v>
      </c>
      <c r="V19" t="e">
        <f t="shared" si="18"/>
        <v>#DIV/0!</v>
      </c>
      <c r="W19">
        <f t="shared" si="19"/>
        <v>1.2229166666666667</v>
      </c>
      <c r="X19">
        <f t="shared" si="20"/>
        <v>1.2229166666666667</v>
      </c>
      <c r="Y19" t="str">
        <f t="shared" si="21"/>
        <v>-</v>
      </c>
      <c r="Z19" t="str">
        <f t="shared" si="22"/>
        <v>-</v>
      </c>
      <c r="AA19">
        <f t="shared" si="23"/>
        <v>177.8</v>
      </c>
      <c r="AB19">
        <f t="shared" si="24"/>
        <v>177.8</v>
      </c>
      <c r="AC19">
        <f t="shared" si="25"/>
        <v>0</v>
      </c>
      <c r="AD19">
        <f t="shared" si="26"/>
        <v>0</v>
      </c>
      <c r="AE19">
        <f t="shared" si="27"/>
        <v>19</v>
      </c>
      <c r="AF19">
        <f t="shared" si="28"/>
        <v>19</v>
      </c>
      <c r="AG19" t="e">
        <f t="shared" si="29"/>
        <v>#DIV/0!</v>
      </c>
      <c r="AH19" t="e">
        <f t="shared" si="30"/>
        <v>#DIV/0!</v>
      </c>
      <c r="AI19">
        <f t="shared" si="31"/>
        <v>1.1697368421052632</v>
      </c>
      <c r="AJ19">
        <f t="shared" si="32"/>
        <v>1.1697368421052632</v>
      </c>
      <c r="AK19" t="str">
        <f t="shared" si="33"/>
        <v>-</v>
      </c>
      <c r="AL19" t="str">
        <f t="shared" si="34"/>
        <v>-</v>
      </c>
      <c r="AM19">
        <f t="shared" si="35"/>
        <v>145.4</v>
      </c>
      <c r="AN19">
        <f t="shared" si="36"/>
        <v>145.4</v>
      </c>
      <c r="AO19">
        <f t="shared" si="37"/>
        <v>0</v>
      </c>
      <c r="AP19">
        <f t="shared" si="38"/>
        <v>0</v>
      </c>
      <c r="AQ19">
        <f t="shared" si="39"/>
        <v>16</v>
      </c>
      <c r="AR19">
        <f t="shared" si="40"/>
        <v>16</v>
      </c>
      <c r="AS19" t="e">
        <f t="shared" si="41"/>
        <v>#DIV/0!</v>
      </c>
      <c r="AT19" t="e">
        <f t="shared" si="42"/>
        <v>#DIV/0!</v>
      </c>
      <c r="AU19">
        <f t="shared" si="43"/>
        <v>1.1359375</v>
      </c>
      <c r="AV19">
        <f t="shared" si="44"/>
        <v>1.1359375</v>
      </c>
      <c r="AW19" t="str">
        <f t="shared" si="45"/>
        <v>-</v>
      </c>
      <c r="AX19" t="str">
        <f t="shared" si="46"/>
        <v>-</v>
      </c>
    </row>
    <row r="20" spans="1:50">
      <c r="A20">
        <v>1207078</v>
      </c>
      <c r="B20" t="str">
        <f>_xlfn.XLOOKUP(A20,monthly_work_hours!A:A,monthly_work_hours!B:B)</f>
        <v>이경우</v>
      </c>
      <c r="C20" t="str">
        <f>_xlfn.XLOOKUP(A20,monthly_work_hours!A:A,monthly_work_hours!C:C)</f>
        <v>구매원가팀</v>
      </c>
      <c r="D20" t="str">
        <f>_xlfn.XLOOKUP(A20,monthly_work_hours!A:A,monthly_work_hours!D:D)</f>
        <v>책임</v>
      </c>
      <c r="E20">
        <f>SUMIFS(monthly_work_hours!$K:$K,monthly_work_hours!$A:$A,'FTE 계산'!$A20,monthly_work_hours!$F:$F,'FTE 계산'!E$2)</f>
        <v>187.4</v>
      </c>
      <c r="F20">
        <f>SUMIFS(monthly_work_hours!$K:$K,monthly_work_hours!$A:$A,'FTE 계산'!$A20,monthly_work_hours!$F:$F,'FTE 계산'!F$2)</f>
        <v>187.7</v>
      </c>
      <c r="G20">
        <f>SUMIFS(monthly_work_hours!$K:$K,monthly_work_hours!$A:$A,'FTE 계산'!$A20,monthly_work_hours!$F:$F,'FTE 계산'!G$2)</f>
        <v>160.6</v>
      </c>
      <c r="H20">
        <f>(SUMIFS(monthly_work_hours!$G:$G,monthly_work_hours!$A:$A,'FTE 계산'!$A20,monthly_work_hours!$F:$F,'FTE 계산'!H$2)) - (SUMIFS(monthly_work_hours!$J:$J,monthly_work_hours!$A:$A,'FTE 계산'!$A20,monthly_work_hours!$F:$F,'FTE 계산'!H$2))</f>
        <v>18</v>
      </c>
      <c r="I20">
        <f>(SUMIFS(monthly_work_hours!$G:$G,monthly_work_hours!$A:$A,'FTE 계산'!$A20,monthly_work_hours!$F:$F,'FTE 계산'!I$2)) - (SUMIFS(monthly_work_hours!$J:$J,monthly_work_hours!$A:$A,'FTE 계산'!$A20,monthly_work_hours!$F:$F,'FTE 계산'!I$2))</f>
        <v>19</v>
      </c>
      <c r="J20">
        <f>(SUMIFS(monthly_work_hours!$G:$G,monthly_work_hours!$A:$A,'FTE 계산'!$A20,monthly_work_hours!$F:$F,'FTE 계산'!J$2)) - (SUMIFS(monthly_work_hours!$J:$J,monthly_work_hours!$A:$A,'FTE 계산'!$A20,monthly_work_hours!$F:$F,'FTE 계산'!J$2))</f>
        <v>16</v>
      </c>
      <c r="N20" t="str">
        <v>상생협력팀</v>
      </c>
      <c r="O20">
        <f t="shared" si="13"/>
        <v>970</v>
      </c>
      <c r="P20">
        <f t="shared" si="14"/>
        <v>403.1</v>
      </c>
      <c r="Q20">
        <f t="shared" si="14"/>
        <v>170.5</v>
      </c>
      <c r="R20">
        <f t="shared" si="14"/>
        <v>396.4</v>
      </c>
      <c r="S20">
        <f t="shared" si="15"/>
        <v>15</v>
      </c>
      <c r="T20">
        <f t="shared" si="16"/>
        <v>18.5</v>
      </c>
      <c r="U20">
        <f t="shared" si="17"/>
        <v>18</v>
      </c>
      <c r="V20">
        <f t="shared" si="18"/>
        <v>11.666666666666666</v>
      </c>
      <c r="W20">
        <f t="shared" si="19"/>
        <v>8.0833333333333339</v>
      </c>
      <c r="X20">
        <f t="shared" si="20"/>
        <v>2.7236486486486489</v>
      </c>
      <c r="Y20">
        <f t="shared" si="21"/>
        <v>1.1840277777777777</v>
      </c>
      <c r="Z20">
        <f t="shared" si="22"/>
        <v>4.2471428571428573</v>
      </c>
      <c r="AA20">
        <f t="shared" si="23"/>
        <v>1202</v>
      </c>
      <c r="AB20">
        <f t="shared" si="24"/>
        <v>443.8</v>
      </c>
      <c r="AC20">
        <f t="shared" si="25"/>
        <v>191.9</v>
      </c>
      <c r="AD20">
        <f t="shared" si="26"/>
        <v>566.29999999999995</v>
      </c>
      <c r="AE20">
        <f t="shared" si="27"/>
        <v>18.833333333333332</v>
      </c>
      <c r="AF20">
        <f t="shared" si="28"/>
        <v>19.5</v>
      </c>
      <c r="AG20">
        <f t="shared" si="29"/>
        <v>19</v>
      </c>
      <c r="AH20">
        <f t="shared" si="30"/>
        <v>18.333333333333332</v>
      </c>
      <c r="AI20">
        <f t="shared" si="31"/>
        <v>7.9778761061946906</v>
      </c>
      <c r="AJ20">
        <f t="shared" si="32"/>
        <v>2.844871794871795</v>
      </c>
      <c r="AK20">
        <f t="shared" si="33"/>
        <v>1.2625</v>
      </c>
      <c r="AL20">
        <f t="shared" si="34"/>
        <v>3.8611363636363634</v>
      </c>
      <c r="AM20">
        <f t="shared" si="35"/>
        <v>897.7</v>
      </c>
      <c r="AN20">
        <f t="shared" si="36"/>
        <v>356.4</v>
      </c>
      <c r="AO20">
        <f t="shared" si="37"/>
        <v>133</v>
      </c>
      <c r="AP20">
        <f t="shared" si="38"/>
        <v>408.3</v>
      </c>
      <c r="AQ20">
        <f t="shared" si="39"/>
        <v>14.833333333333334</v>
      </c>
      <c r="AR20">
        <f t="shared" si="40"/>
        <v>16</v>
      </c>
      <c r="AS20">
        <f t="shared" si="41"/>
        <v>15</v>
      </c>
      <c r="AT20">
        <f t="shared" si="42"/>
        <v>14</v>
      </c>
      <c r="AU20">
        <f t="shared" si="43"/>
        <v>7.5648876404494381</v>
      </c>
      <c r="AV20">
        <f t="shared" si="44"/>
        <v>2.7843749999999998</v>
      </c>
      <c r="AW20">
        <f t="shared" si="45"/>
        <v>1.1083333333333334</v>
      </c>
      <c r="AX20">
        <f t="shared" si="46"/>
        <v>3.6455357142857143</v>
      </c>
    </row>
    <row r="21" spans="1:50">
      <c r="A21">
        <v>1207092</v>
      </c>
      <c r="B21" t="str">
        <f>_xlfn.XLOOKUP(A21,monthly_work_hours!A:A,monthly_work_hours!B:B)</f>
        <v>이재식</v>
      </c>
      <c r="C21" t="str">
        <f>_xlfn.XLOOKUP(A21,monthly_work_hours!A:A,monthly_work_hours!C:C)</f>
        <v>SCM팀</v>
      </c>
      <c r="D21" t="str">
        <f>_xlfn.XLOOKUP(A21,monthly_work_hours!A:A,monthly_work_hours!D:D)</f>
        <v>책임</v>
      </c>
      <c r="E21">
        <f>SUMIFS(monthly_work_hours!$K:$K,monthly_work_hours!$A:$A,'FTE 계산'!$A21,monthly_work_hours!$F:$F,'FTE 계산'!E$2)</f>
        <v>200</v>
      </c>
      <c r="F21">
        <f>SUMIFS(monthly_work_hours!$K:$K,monthly_work_hours!$A:$A,'FTE 계산'!$A21,monthly_work_hours!$F:$F,'FTE 계산'!F$2)</f>
        <v>189.8</v>
      </c>
      <c r="G21">
        <f>SUMIFS(monthly_work_hours!$K:$K,monthly_work_hours!$A:$A,'FTE 계산'!$A21,monthly_work_hours!$F:$F,'FTE 계산'!G$2)</f>
        <v>150.5</v>
      </c>
      <c r="H21">
        <f>(SUMIFS(monthly_work_hours!$G:$G,monthly_work_hours!$A:$A,'FTE 계산'!$A21,monthly_work_hours!$F:$F,'FTE 계산'!H$2)) - (SUMIFS(monthly_work_hours!$J:$J,monthly_work_hours!$A:$A,'FTE 계산'!$A21,monthly_work_hours!$F:$F,'FTE 계산'!H$2))</f>
        <v>18</v>
      </c>
      <c r="I21">
        <f>(SUMIFS(monthly_work_hours!$G:$G,monthly_work_hours!$A:$A,'FTE 계산'!$A21,monthly_work_hours!$F:$F,'FTE 계산'!I$2)) - (SUMIFS(monthly_work_hours!$J:$J,monthly_work_hours!$A:$A,'FTE 계산'!$A21,monthly_work_hours!$F:$F,'FTE 계산'!I$2))</f>
        <v>18</v>
      </c>
      <c r="J21">
        <f>(SUMIFS(monthly_work_hours!$G:$G,monthly_work_hours!$A:$A,'FTE 계산'!$A21,monthly_work_hours!$F:$F,'FTE 계산'!J$2)) - (SUMIFS(monthly_work_hours!$J:$J,monthly_work_hours!$A:$A,'FTE 계산'!$A21,monthly_work_hours!$F:$F,'FTE 계산'!J$2))</f>
        <v>15</v>
      </c>
      <c r="N21" t="str">
        <v>Brake설계팀</v>
      </c>
      <c r="O21">
        <f t="shared" si="13"/>
        <v>2525.1999999999998</v>
      </c>
      <c r="P21">
        <f t="shared" si="14"/>
        <v>600.19999999999993</v>
      </c>
      <c r="Q21">
        <f t="shared" si="14"/>
        <v>706.4</v>
      </c>
      <c r="R21">
        <f t="shared" si="14"/>
        <v>1218.5999999999999</v>
      </c>
      <c r="S21">
        <f t="shared" si="15"/>
        <v>16.444444444444443</v>
      </c>
      <c r="T21">
        <f t="shared" si="16"/>
        <v>17.666666666666668</v>
      </c>
      <c r="U21">
        <f t="shared" si="17"/>
        <v>21</v>
      </c>
      <c r="V21">
        <f t="shared" si="18"/>
        <v>14.8</v>
      </c>
      <c r="W21">
        <f t="shared" si="19"/>
        <v>19.194932432432434</v>
      </c>
      <c r="X21">
        <f t="shared" si="20"/>
        <v>4.2466981132075468</v>
      </c>
      <c r="Y21">
        <f t="shared" si="21"/>
        <v>4.2047619047619049</v>
      </c>
      <c r="Z21">
        <f t="shared" si="22"/>
        <v>10.292229729729728</v>
      </c>
      <c r="AA21">
        <f t="shared" si="23"/>
        <v>2502</v>
      </c>
      <c r="AB21">
        <f t="shared" si="24"/>
        <v>549.20000000000005</v>
      </c>
      <c r="AC21">
        <f t="shared" si="25"/>
        <v>728.4</v>
      </c>
      <c r="AD21">
        <f t="shared" si="26"/>
        <v>1224.3999999999999</v>
      </c>
      <c r="AE21">
        <f t="shared" si="27"/>
        <v>16.666666666666668</v>
      </c>
      <c r="AF21">
        <f t="shared" si="28"/>
        <v>17.666666666666668</v>
      </c>
      <c r="AG21">
        <f t="shared" si="29"/>
        <v>23</v>
      </c>
      <c r="AH21">
        <f t="shared" si="30"/>
        <v>14.8</v>
      </c>
      <c r="AI21">
        <f t="shared" si="31"/>
        <v>18.764999999999997</v>
      </c>
      <c r="AJ21">
        <f t="shared" si="32"/>
        <v>3.8858490566037736</v>
      </c>
      <c r="AK21">
        <f t="shared" si="33"/>
        <v>3.9586956521739127</v>
      </c>
      <c r="AL21">
        <f t="shared" si="34"/>
        <v>10.341216216216214</v>
      </c>
      <c r="AM21">
        <f t="shared" si="35"/>
        <v>2092.5</v>
      </c>
      <c r="AN21">
        <f t="shared" si="36"/>
        <v>456.40000000000003</v>
      </c>
      <c r="AO21">
        <f t="shared" si="37"/>
        <v>611.6</v>
      </c>
      <c r="AP21">
        <f t="shared" si="38"/>
        <v>1024.5</v>
      </c>
      <c r="AQ21">
        <f t="shared" si="39"/>
        <v>14.444444444444445</v>
      </c>
      <c r="AR21">
        <f t="shared" si="40"/>
        <v>15.666666666666666</v>
      </c>
      <c r="AS21">
        <f t="shared" si="41"/>
        <v>18</v>
      </c>
      <c r="AT21">
        <f t="shared" si="42"/>
        <v>13</v>
      </c>
      <c r="AU21">
        <f t="shared" si="43"/>
        <v>18.108173076923077</v>
      </c>
      <c r="AV21">
        <f t="shared" si="44"/>
        <v>3.6414893617021282</v>
      </c>
      <c r="AW21">
        <f t="shared" si="45"/>
        <v>4.2472222222222227</v>
      </c>
      <c r="AX21">
        <f t="shared" si="46"/>
        <v>9.8509615384615383</v>
      </c>
    </row>
    <row r="22" spans="1:50">
      <c r="A22">
        <v>1208016</v>
      </c>
      <c r="B22" t="str">
        <f>_xlfn.XLOOKUP(A22,monthly_work_hours!A:A,monthly_work_hours!B:B)</f>
        <v>황권식</v>
      </c>
      <c r="C22" t="str">
        <f>_xlfn.XLOOKUP(A22,monthly_work_hours!A:A,monthly_work_hours!C:C)</f>
        <v>열관리설계팀</v>
      </c>
      <c r="D22" t="str">
        <f>_xlfn.XLOOKUP(A22,monthly_work_hours!A:A,monthly_work_hours!D:D)</f>
        <v>책임</v>
      </c>
      <c r="E22">
        <f>SUMIFS(monthly_work_hours!$K:$K,monthly_work_hours!$A:$A,'FTE 계산'!$A22,monthly_work_hours!$F:$F,'FTE 계산'!E$2)</f>
        <v>0</v>
      </c>
      <c r="F22">
        <f>SUMIFS(monthly_work_hours!$K:$K,monthly_work_hours!$A:$A,'FTE 계산'!$A22,monthly_work_hours!$F:$F,'FTE 계산'!F$2)</f>
        <v>146.6</v>
      </c>
      <c r="G22">
        <f>SUMIFS(monthly_work_hours!$K:$K,monthly_work_hours!$A:$A,'FTE 계산'!$A22,monthly_work_hours!$F:$F,'FTE 계산'!G$2)</f>
        <v>140.6</v>
      </c>
      <c r="H22">
        <f>(SUMIFS(monthly_work_hours!$G:$G,monthly_work_hours!$A:$A,'FTE 계산'!$A22,monthly_work_hours!$F:$F,'FTE 계산'!H$2)) - (SUMIFS(monthly_work_hours!$J:$J,monthly_work_hours!$A:$A,'FTE 계산'!$A22,monthly_work_hours!$F:$F,'FTE 계산'!H$2))</f>
        <v>0</v>
      </c>
      <c r="I22">
        <f>(SUMIFS(monthly_work_hours!$G:$G,monthly_work_hours!$A:$A,'FTE 계산'!$A22,monthly_work_hours!$F:$F,'FTE 계산'!I$2)) - (SUMIFS(monthly_work_hours!$J:$J,monthly_work_hours!$A:$A,'FTE 계산'!$A22,monthly_work_hours!$F:$F,'FTE 계산'!I$2))</f>
        <v>16</v>
      </c>
      <c r="J22">
        <f>(SUMIFS(monthly_work_hours!$G:$G,monthly_work_hours!$A:$A,'FTE 계산'!$A22,monthly_work_hours!$F:$F,'FTE 계산'!J$2)) - (SUMIFS(monthly_work_hours!$J:$J,monthly_work_hours!$A:$A,'FTE 계산'!$A22,monthly_work_hours!$F:$F,'FTE 계산'!J$2))</f>
        <v>14</v>
      </c>
      <c r="N22" t="str">
        <v>FL품질보증팀</v>
      </c>
      <c r="O22">
        <f t="shared" si="13"/>
        <v>2146.5</v>
      </c>
      <c r="P22">
        <f t="shared" si="14"/>
        <v>353.3</v>
      </c>
      <c r="Q22">
        <f t="shared" si="14"/>
        <v>1416.5</v>
      </c>
      <c r="R22">
        <f t="shared" si="14"/>
        <v>376.70000000000005</v>
      </c>
      <c r="S22">
        <f t="shared" si="15"/>
        <v>16.076923076923077</v>
      </c>
      <c r="T22">
        <f t="shared" si="16"/>
        <v>17</v>
      </c>
      <c r="U22">
        <f t="shared" si="17"/>
        <v>15.333333333333334</v>
      </c>
      <c r="V22">
        <f t="shared" si="18"/>
        <v>18.5</v>
      </c>
      <c r="W22">
        <f t="shared" si="19"/>
        <v>16.689294258373206</v>
      </c>
      <c r="X22">
        <f t="shared" si="20"/>
        <v>2.5977941176470587</v>
      </c>
      <c r="Y22">
        <f t="shared" si="21"/>
        <v>11.547554347826086</v>
      </c>
      <c r="Z22">
        <f t="shared" si="22"/>
        <v>2.5452702702702705</v>
      </c>
      <c r="AA22">
        <f t="shared" si="23"/>
        <v>1870.6</v>
      </c>
      <c r="AB22">
        <f t="shared" si="24"/>
        <v>161</v>
      </c>
      <c r="AC22">
        <f t="shared" si="25"/>
        <v>1333.6</v>
      </c>
      <c r="AD22">
        <f t="shared" si="26"/>
        <v>376</v>
      </c>
      <c r="AE22">
        <f t="shared" si="27"/>
        <v>15.615384615384615</v>
      </c>
      <c r="AF22">
        <f t="shared" si="28"/>
        <v>7.5</v>
      </c>
      <c r="AG22">
        <f t="shared" si="29"/>
        <v>16.777777777777779</v>
      </c>
      <c r="AH22">
        <f t="shared" si="30"/>
        <v>18.5</v>
      </c>
      <c r="AI22">
        <f t="shared" si="31"/>
        <v>14.974014778325122</v>
      </c>
      <c r="AJ22">
        <f t="shared" si="32"/>
        <v>2.6833333333333331</v>
      </c>
      <c r="AK22">
        <f t="shared" si="33"/>
        <v>9.9357615894039721</v>
      </c>
      <c r="AL22">
        <f t="shared" si="34"/>
        <v>2.5405405405405403</v>
      </c>
      <c r="AM22">
        <f t="shared" si="35"/>
        <v>1547.8</v>
      </c>
      <c r="AN22">
        <f t="shared" si="36"/>
        <v>144.9</v>
      </c>
      <c r="AO22">
        <f t="shared" si="37"/>
        <v>1112.6999999999998</v>
      </c>
      <c r="AP22">
        <f t="shared" si="38"/>
        <v>290.20000000000005</v>
      </c>
      <c r="AQ22">
        <f t="shared" si="39"/>
        <v>13.461538461538462</v>
      </c>
      <c r="AR22">
        <f t="shared" si="40"/>
        <v>7</v>
      </c>
      <c r="AS22">
        <f t="shared" si="41"/>
        <v>14.444444444444445</v>
      </c>
      <c r="AT22">
        <f t="shared" si="42"/>
        <v>15.5</v>
      </c>
      <c r="AU22">
        <f t="shared" si="43"/>
        <v>14.372428571428571</v>
      </c>
      <c r="AV22">
        <f t="shared" si="44"/>
        <v>2.5874999999999999</v>
      </c>
      <c r="AW22">
        <f t="shared" si="45"/>
        <v>9.6291346153846131</v>
      </c>
      <c r="AX22">
        <f t="shared" si="46"/>
        <v>2.3403225806451617</v>
      </c>
    </row>
    <row r="23" spans="1:50">
      <c r="A23">
        <v>1208044</v>
      </c>
      <c r="B23" t="str">
        <f>_xlfn.XLOOKUP(A23,monthly_work_hours!A:A,monthly_work_hours!B:B)</f>
        <v>박종철</v>
      </c>
      <c r="C23" t="str">
        <f>_xlfn.XLOOKUP(A23,monthly_work_hours!A:A,monthly_work_hours!C:C)</f>
        <v>품질경영팀</v>
      </c>
      <c r="D23" t="str">
        <f>_xlfn.XLOOKUP(A23,monthly_work_hours!A:A,monthly_work_hours!D:D)</f>
        <v>책임</v>
      </c>
      <c r="E23">
        <f>SUMIFS(monthly_work_hours!$K:$K,monthly_work_hours!$A:$A,'FTE 계산'!$A23,monthly_work_hours!$F:$F,'FTE 계산'!E$2)</f>
        <v>171.2</v>
      </c>
      <c r="F23">
        <f>SUMIFS(monthly_work_hours!$K:$K,monthly_work_hours!$A:$A,'FTE 계산'!$A23,monthly_work_hours!$F:$F,'FTE 계산'!F$2)</f>
        <v>172.5</v>
      </c>
      <c r="G23">
        <f>SUMIFS(monthly_work_hours!$K:$K,monthly_work_hours!$A:$A,'FTE 계산'!$A23,monthly_work_hours!$F:$F,'FTE 계산'!G$2)</f>
        <v>131.19999999999999</v>
      </c>
      <c r="H23">
        <f>(SUMIFS(monthly_work_hours!$G:$G,monthly_work_hours!$A:$A,'FTE 계산'!$A23,monthly_work_hours!$F:$F,'FTE 계산'!H$2)) - (SUMIFS(monthly_work_hours!$J:$J,monthly_work_hours!$A:$A,'FTE 계산'!$A23,monthly_work_hours!$F:$F,'FTE 계산'!H$2))</f>
        <v>20</v>
      </c>
      <c r="I23">
        <f>(SUMIFS(monthly_work_hours!$G:$G,monthly_work_hours!$A:$A,'FTE 계산'!$A23,monthly_work_hours!$F:$F,'FTE 계산'!I$2)) - (SUMIFS(monthly_work_hours!$J:$J,monthly_work_hours!$A:$A,'FTE 계산'!$A23,monthly_work_hours!$F:$F,'FTE 계산'!I$2))</f>
        <v>19</v>
      </c>
      <c r="J23">
        <f>(SUMIFS(monthly_work_hours!$G:$G,monthly_work_hours!$A:$A,'FTE 계산'!$A23,monthly_work_hours!$F:$F,'FTE 계산'!J$2)) - (SUMIFS(monthly_work_hours!$J:$J,monthly_work_hours!$A:$A,'FTE 계산'!$A23,monthly_work_hours!$F:$F,'FTE 계산'!J$2))</f>
        <v>15</v>
      </c>
      <c r="N23" t="str">
        <v>SL생산팀</v>
      </c>
      <c r="O23">
        <f t="shared" si="13"/>
        <v>837.6</v>
      </c>
      <c r="P23">
        <f t="shared" si="14"/>
        <v>9.3000000000000007</v>
      </c>
      <c r="Q23">
        <f t="shared" si="14"/>
        <v>676.4</v>
      </c>
      <c r="R23">
        <f t="shared" si="14"/>
        <v>151.9</v>
      </c>
      <c r="S23">
        <f t="shared" si="15"/>
        <v>14.142857142857142</v>
      </c>
      <c r="T23">
        <f t="shared" si="16"/>
        <v>3</v>
      </c>
      <c r="U23">
        <f t="shared" si="17"/>
        <v>15.8</v>
      </c>
      <c r="V23">
        <f t="shared" si="18"/>
        <v>17</v>
      </c>
      <c r="W23">
        <f t="shared" si="19"/>
        <v>7.4030303030303033</v>
      </c>
      <c r="X23">
        <f t="shared" si="20"/>
        <v>0.38750000000000001</v>
      </c>
      <c r="Y23">
        <f t="shared" si="21"/>
        <v>5.3512658227848098</v>
      </c>
      <c r="Z23">
        <f t="shared" si="22"/>
        <v>1.1169117647058824</v>
      </c>
      <c r="AA23">
        <f t="shared" si="23"/>
        <v>926.9</v>
      </c>
      <c r="AB23">
        <f t="shared" si="24"/>
        <v>50.6</v>
      </c>
      <c r="AC23">
        <f t="shared" si="25"/>
        <v>712.50000000000011</v>
      </c>
      <c r="AD23">
        <f t="shared" si="26"/>
        <v>163.80000000000001</v>
      </c>
      <c r="AE23">
        <f t="shared" si="27"/>
        <v>15.571428571428571</v>
      </c>
      <c r="AF23">
        <f t="shared" si="28"/>
        <v>8</v>
      </c>
      <c r="AG23">
        <f t="shared" si="29"/>
        <v>16.600000000000001</v>
      </c>
      <c r="AH23">
        <f t="shared" si="30"/>
        <v>18</v>
      </c>
      <c r="AI23">
        <f t="shared" si="31"/>
        <v>7.4407110091743123</v>
      </c>
      <c r="AJ23">
        <f t="shared" si="32"/>
        <v>0.79062500000000002</v>
      </c>
      <c r="AK23">
        <f t="shared" si="33"/>
        <v>5.365210843373494</v>
      </c>
      <c r="AL23">
        <f t="shared" si="34"/>
        <v>1.1375000000000002</v>
      </c>
      <c r="AM23">
        <f t="shared" si="35"/>
        <v>735.8</v>
      </c>
      <c r="AN23">
        <f t="shared" si="36"/>
        <v>89.2</v>
      </c>
      <c r="AO23">
        <f t="shared" si="37"/>
        <v>508.20000000000005</v>
      </c>
      <c r="AP23">
        <f t="shared" si="38"/>
        <v>138.4</v>
      </c>
      <c r="AQ23">
        <f t="shared" si="39"/>
        <v>13.285714285714286</v>
      </c>
      <c r="AR23">
        <f t="shared" si="40"/>
        <v>11</v>
      </c>
      <c r="AS23">
        <f t="shared" si="41"/>
        <v>13.2</v>
      </c>
      <c r="AT23">
        <f t="shared" si="42"/>
        <v>16</v>
      </c>
      <c r="AU23">
        <f t="shared" si="43"/>
        <v>6.9228494623655905</v>
      </c>
      <c r="AV23">
        <f t="shared" si="44"/>
        <v>1.0136363636363637</v>
      </c>
      <c r="AW23">
        <f t="shared" si="45"/>
        <v>4.8125000000000009</v>
      </c>
      <c r="AX23">
        <f t="shared" si="46"/>
        <v>1.08125</v>
      </c>
    </row>
    <row r="24" spans="1:50">
      <c r="A24">
        <v>1208052</v>
      </c>
      <c r="B24" t="str">
        <f>_xlfn.XLOOKUP(A24,monthly_work_hours!A:A,monthly_work_hours!B:B)</f>
        <v>양영주</v>
      </c>
      <c r="C24" t="str">
        <f>_xlfn.XLOOKUP(A24,monthly_work_hours!A:A,monthly_work_hours!C:C)</f>
        <v>B/H사업팀</v>
      </c>
      <c r="D24" t="str">
        <f>_xlfn.XLOOKUP(A24,monthly_work_hours!A:A,monthly_work_hours!D:D)</f>
        <v>책임</v>
      </c>
      <c r="E24">
        <f>SUMIFS(monthly_work_hours!$K:$K,monthly_work_hours!$A:$A,'FTE 계산'!$A24,monthly_work_hours!$F:$F,'FTE 계산'!E$2)</f>
        <v>134.6</v>
      </c>
      <c r="F24">
        <f>SUMIFS(monthly_work_hours!$K:$K,monthly_work_hours!$A:$A,'FTE 계산'!$A24,monthly_work_hours!$F:$F,'FTE 계산'!F$2)</f>
        <v>171.6</v>
      </c>
      <c r="G24">
        <f>SUMIFS(monthly_work_hours!$K:$K,monthly_work_hours!$A:$A,'FTE 계산'!$A24,monthly_work_hours!$F:$F,'FTE 계산'!G$2)</f>
        <v>146.80000000000001</v>
      </c>
      <c r="H24">
        <f>(SUMIFS(monthly_work_hours!$G:$G,monthly_work_hours!$A:$A,'FTE 계산'!$A24,monthly_work_hours!$F:$F,'FTE 계산'!H$2)) - (SUMIFS(monthly_work_hours!$J:$J,monthly_work_hours!$A:$A,'FTE 계산'!$A24,monthly_work_hours!$F:$F,'FTE 계산'!H$2))</f>
        <v>14</v>
      </c>
      <c r="I24">
        <f>(SUMIFS(monthly_work_hours!$G:$G,monthly_work_hours!$A:$A,'FTE 계산'!$A24,monthly_work_hours!$F:$F,'FTE 계산'!I$2)) - (SUMIFS(monthly_work_hours!$J:$J,monthly_work_hours!$A:$A,'FTE 계산'!$A24,monthly_work_hours!$F:$F,'FTE 계산'!I$2))</f>
        <v>19</v>
      </c>
      <c r="J24">
        <f>(SUMIFS(monthly_work_hours!$G:$G,monthly_work_hours!$A:$A,'FTE 계산'!$A24,monthly_work_hours!$F:$F,'FTE 계산'!J$2)) - (SUMIFS(monthly_work_hours!$J:$J,monthly_work_hours!$A:$A,'FTE 계산'!$A24,monthly_work_hours!$F:$F,'FTE 계산'!J$2))</f>
        <v>16</v>
      </c>
      <c r="N24" t="str">
        <v>기획팀</v>
      </c>
      <c r="O24">
        <f t="shared" si="13"/>
        <v>2169.3000000000002</v>
      </c>
      <c r="P24">
        <f t="shared" si="14"/>
        <v>910.7</v>
      </c>
      <c r="Q24">
        <f t="shared" si="14"/>
        <v>710.1</v>
      </c>
      <c r="R24">
        <f t="shared" si="14"/>
        <v>548.5</v>
      </c>
      <c r="S24">
        <f t="shared" si="15"/>
        <v>18.166666666666668</v>
      </c>
      <c r="T24">
        <f t="shared" si="16"/>
        <v>17.399999999999999</v>
      </c>
      <c r="U24">
        <f t="shared" si="17"/>
        <v>18.5</v>
      </c>
      <c r="V24">
        <f t="shared" si="18"/>
        <v>19</v>
      </c>
      <c r="W24">
        <f t="shared" si="19"/>
        <v>14.926376146788991</v>
      </c>
      <c r="X24">
        <f t="shared" si="20"/>
        <v>6.5423850574712654</v>
      </c>
      <c r="Y24">
        <f t="shared" si="21"/>
        <v>4.797972972972973</v>
      </c>
      <c r="Z24">
        <f t="shared" si="22"/>
        <v>3.6085526315789473</v>
      </c>
      <c r="AA24">
        <f t="shared" si="23"/>
        <v>2227</v>
      </c>
      <c r="AB24">
        <f t="shared" si="24"/>
        <v>910.19999999999993</v>
      </c>
      <c r="AC24">
        <f t="shared" si="25"/>
        <v>771.49999999999989</v>
      </c>
      <c r="AD24">
        <f t="shared" si="26"/>
        <v>545.29999999999995</v>
      </c>
      <c r="AE24">
        <f t="shared" si="27"/>
        <v>18.083333333333332</v>
      </c>
      <c r="AF24">
        <f t="shared" si="28"/>
        <v>17.2</v>
      </c>
      <c r="AG24">
        <f t="shared" si="29"/>
        <v>18.5</v>
      </c>
      <c r="AH24">
        <f t="shared" si="30"/>
        <v>19</v>
      </c>
      <c r="AI24">
        <f t="shared" si="31"/>
        <v>15.394009216589863</v>
      </c>
      <c r="AJ24">
        <f t="shared" si="32"/>
        <v>6.6148255813953485</v>
      </c>
      <c r="AK24">
        <f t="shared" si="33"/>
        <v>5.2128378378378368</v>
      </c>
      <c r="AL24">
        <f t="shared" si="34"/>
        <v>3.5874999999999999</v>
      </c>
      <c r="AM24">
        <f t="shared" si="35"/>
        <v>1756.8000000000002</v>
      </c>
      <c r="AN24">
        <f t="shared" si="36"/>
        <v>772.60000000000014</v>
      </c>
      <c r="AO24">
        <f t="shared" si="37"/>
        <v>612.70000000000005</v>
      </c>
      <c r="AP24">
        <f t="shared" si="38"/>
        <v>371.5</v>
      </c>
      <c r="AQ24">
        <f t="shared" si="39"/>
        <v>15.25</v>
      </c>
      <c r="AR24">
        <f t="shared" si="40"/>
        <v>15.6</v>
      </c>
      <c r="AS24">
        <f t="shared" si="41"/>
        <v>15.5</v>
      </c>
      <c r="AT24">
        <f t="shared" si="42"/>
        <v>14.333333333333334</v>
      </c>
      <c r="AU24">
        <f t="shared" si="43"/>
        <v>14.400000000000002</v>
      </c>
      <c r="AV24">
        <f t="shared" si="44"/>
        <v>6.1907051282051295</v>
      </c>
      <c r="AW24">
        <f t="shared" si="45"/>
        <v>4.9411290322580648</v>
      </c>
      <c r="AX24">
        <f t="shared" si="46"/>
        <v>3.2398255813953485</v>
      </c>
    </row>
    <row r="25" spans="1:50">
      <c r="A25">
        <v>1208073</v>
      </c>
      <c r="B25" t="str">
        <f>_xlfn.XLOOKUP(A25,monthly_work_hours!A:A,monthly_work_hours!B:B)</f>
        <v>장길수</v>
      </c>
      <c r="C25" t="str">
        <f>_xlfn.XLOOKUP(A25,monthly_work_hours!A:A,monthly_work_hours!C:C)</f>
        <v>관체사업팀</v>
      </c>
      <c r="D25" t="str">
        <f>_xlfn.XLOOKUP(A25,monthly_work_hours!A:A,monthly_work_hours!D:D)</f>
        <v>책임</v>
      </c>
      <c r="E25">
        <f>SUMIFS(monthly_work_hours!$K:$K,monthly_work_hours!$A:$A,'FTE 계산'!$A25,monthly_work_hours!$F:$F,'FTE 계산'!E$2)</f>
        <v>188</v>
      </c>
      <c r="F25">
        <f>SUMIFS(monthly_work_hours!$K:$K,monthly_work_hours!$A:$A,'FTE 계산'!$A25,monthly_work_hours!$F:$F,'FTE 계산'!F$2)</f>
        <v>174.4</v>
      </c>
      <c r="G25">
        <f>SUMIFS(monthly_work_hours!$K:$K,monthly_work_hours!$A:$A,'FTE 계산'!$A25,monthly_work_hours!$F:$F,'FTE 계산'!G$2)</f>
        <v>137.6</v>
      </c>
      <c r="H25">
        <f>(SUMIFS(monthly_work_hours!$G:$G,monthly_work_hours!$A:$A,'FTE 계산'!$A25,monthly_work_hours!$F:$F,'FTE 계산'!H$2)) - (SUMIFS(monthly_work_hours!$J:$J,monthly_work_hours!$A:$A,'FTE 계산'!$A25,monthly_work_hours!$F:$F,'FTE 계산'!H$2))</f>
        <v>18</v>
      </c>
      <c r="I25">
        <f>(SUMIFS(monthly_work_hours!$G:$G,monthly_work_hours!$A:$A,'FTE 계산'!$A25,monthly_work_hours!$F:$F,'FTE 계산'!I$2)) - (SUMIFS(monthly_work_hours!$J:$J,monthly_work_hours!$A:$A,'FTE 계산'!$A25,monthly_work_hours!$F:$F,'FTE 계산'!I$2))</f>
        <v>17</v>
      </c>
      <c r="J25">
        <f>(SUMIFS(monthly_work_hours!$G:$G,monthly_work_hours!$A:$A,'FTE 계산'!$A25,monthly_work_hours!$F:$F,'FTE 계산'!J$2)) - (SUMIFS(monthly_work_hours!$J:$J,monthly_work_hours!$A:$A,'FTE 계산'!$A25,monthly_work_hours!$F:$F,'FTE 계산'!J$2))</f>
        <v>15</v>
      </c>
      <c r="N25" t="str">
        <v>SL설계팀</v>
      </c>
      <c r="O25">
        <f t="shared" si="13"/>
        <v>2286.2000000000003</v>
      </c>
      <c r="P25">
        <f t="shared" si="14"/>
        <v>18.2</v>
      </c>
      <c r="Q25">
        <f t="shared" si="14"/>
        <v>1871.4999999999998</v>
      </c>
      <c r="R25">
        <f t="shared" si="14"/>
        <v>396.50000000000006</v>
      </c>
      <c r="S25">
        <f t="shared" si="15"/>
        <v>10.923076923076923</v>
      </c>
      <c r="T25">
        <f t="shared" si="16"/>
        <v>2</v>
      </c>
      <c r="U25">
        <f t="shared" si="17"/>
        <v>10.777777777777779</v>
      </c>
      <c r="V25">
        <f t="shared" si="18"/>
        <v>14.333333333333334</v>
      </c>
      <c r="W25">
        <f t="shared" si="19"/>
        <v>26.162500000000001</v>
      </c>
      <c r="X25">
        <f t="shared" si="20"/>
        <v>1.1375</v>
      </c>
      <c r="Y25">
        <f t="shared" si="21"/>
        <v>21.705541237113398</v>
      </c>
      <c r="Z25">
        <f t="shared" si="22"/>
        <v>3.4578488372093026</v>
      </c>
      <c r="AA25">
        <f t="shared" si="23"/>
        <v>1703.2000000000003</v>
      </c>
      <c r="AB25">
        <f t="shared" si="24"/>
        <v>67.900000000000006</v>
      </c>
      <c r="AC25">
        <f t="shared" si="25"/>
        <v>1221.4000000000001</v>
      </c>
      <c r="AD25">
        <f t="shared" si="26"/>
        <v>413.9</v>
      </c>
      <c r="AE25">
        <f t="shared" si="27"/>
        <v>11.076923076923077</v>
      </c>
      <c r="AF25">
        <f t="shared" si="28"/>
        <v>7</v>
      </c>
      <c r="AG25">
        <f t="shared" si="29"/>
        <v>10.111111111111111</v>
      </c>
      <c r="AH25">
        <f t="shared" si="30"/>
        <v>15.333333333333334</v>
      </c>
      <c r="AI25">
        <f t="shared" si="31"/>
        <v>19.220138888888894</v>
      </c>
      <c r="AJ25">
        <f t="shared" si="32"/>
        <v>1.2125000000000001</v>
      </c>
      <c r="AK25">
        <f t="shared" si="33"/>
        <v>15.099725274725277</v>
      </c>
      <c r="AL25">
        <f t="shared" si="34"/>
        <v>3.3741847826086953</v>
      </c>
      <c r="AM25">
        <f t="shared" si="35"/>
        <v>1230.9000000000001</v>
      </c>
      <c r="AN25">
        <f t="shared" si="36"/>
        <v>43.6</v>
      </c>
      <c r="AO25">
        <f t="shared" si="37"/>
        <v>920.1</v>
      </c>
      <c r="AP25">
        <f t="shared" si="38"/>
        <v>267.20000000000005</v>
      </c>
      <c r="AQ25">
        <f t="shared" si="39"/>
        <v>7.7692307692307692</v>
      </c>
      <c r="AR25">
        <f t="shared" si="40"/>
        <v>5</v>
      </c>
      <c r="AS25">
        <f t="shared" si="41"/>
        <v>7.1111111111111107</v>
      </c>
      <c r="AT25">
        <f t="shared" si="42"/>
        <v>10.666666666666666</v>
      </c>
      <c r="AU25">
        <f t="shared" si="43"/>
        <v>19.804084158415844</v>
      </c>
      <c r="AV25">
        <f t="shared" si="44"/>
        <v>1.0900000000000001</v>
      </c>
      <c r="AW25">
        <f t="shared" si="45"/>
        <v>16.173632812500003</v>
      </c>
      <c r="AX25">
        <f t="shared" si="46"/>
        <v>3.1312500000000005</v>
      </c>
    </row>
    <row r="26" spans="1:50">
      <c r="A26">
        <v>1208077</v>
      </c>
      <c r="B26" t="str">
        <f>_xlfn.XLOOKUP(A26,monthly_work_hours!A:A,monthly_work_hours!B:B)</f>
        <v>이동구</v>
      </c>
      <c r="C26" t="str">
        <f>_xlfn.XLOOKUP(A26,monthly_work_hours!A:A,monthly_work_hours!C:C)</f>
        <v>열관리사업팀</v>
      </c>
      <c r="D26" t="str">
        <f>_xlfn.XLOOKUP(A26,monthly_work_hours!A:A,monthly_work_hours!D:D)</f>
        <v>책임</v>
      </c>
      <c r="E26">
        <f>SUMIFS(monthly_work_hours!$K:$K,monthly_work_hours!$A:$A,'FTE 계산'!$A26,monthly_work_hours!$F:$F,'FTE 계산'!E$2)</f>
        <v>148.1</v>
      </c>
      <c r="F26">
        <f>SUMIFS(monthly_work_hours!$K:$K,monthly_work_hours!$A:$A,'FTE 계산'!$A26,monthly_work_hours!$F:$F,'FTE 계산'!F$2)</f>
        <v>199.6</v>
      </c>
      <c r="G26">
        <f>SUMIFS(monthly_work_hours!$K:$K,monthly_work_hours!$A:$A,'FTE 계산'!$A26,monthly_work_hours!$F:$F,'FTE 계산'!G$2)</f>
        <v>134</v>
      </c>
      <c r="H26">
        <f>(SUMIFS(monthly_work_hours!$G:$G,monthly_work_hours!$A:$A,'FTE 계산'!$A26,monthly_work_hours!$F:$F,'FTE 계산'!H$2)) - (SUMIFS(monthly_work_hours!$J:$J,monthly_work_hours!$A:$A,'FTE 계산'!$A26,monthly_work_hours!$F:$F,'FTE 계산'!H$2))</f>
        <v>15</v>
      </c>
      <c r="I26">
        <f>(SUMIFS(monthly_work_hours!$G:$G,monthly_work_hours!$A:$A,'FTE 계산'!$A26,monthly_work_hours!$F:$F,'FTE 계산'!I$2)) - (SUMIFS(monthly_work_hours!$J:$J,monthly_work_hours!$A:$A,'FTE 계산'!$A26,monthly_work_hours!$F:$F,'FTE 계산'!I$2))</f>
        <v>18</v>
      </c>
      <c r="J26">
        <f>(SUMIFS(monthly_work_hours!$G:$G,monthly_work_hours!$A:$A,'FTE 계산'!$A26,monthly_work_hours!$F:$F,'FTE 계산'!J$2)) - (SUMIFS(monthly_work_hours!$J:$J,monthly_work_hours!$A:$A,'FTE 계산'!$A26,monthly_work_hours!$F:$F,'FTE 계산'!J$2))</f>
        <v>16</v>
      </c>
      <c r="N26" t="str">
        <v>재무팀</v>
      </c>
      <c r="O26">
        <f t="shared" si="13"/>
        <v>1165.1999999999998</v>
      </c>
      <c r="P26">
        <f t="shared" si="14"/>
        <v>420.20000000000005</v>
      </c>
      <c r="Q26">
        <f t="shared" si="14"/>
        <v>369.4</v>
      </c>
      <c r="R26">
        <f t="shared" si="14"/>
        <v>375.6</v>
      </c>
      <c r="S26">
        <f t="shared" si="15"/>
        <v>18.833333333333332</v>
      </c>
      <c r="T26">
        <f t="shared" si="16"/>
        <v>19</v>
      </c>
      <c r="U26">
        <f t="shared" si="17"/>
        <v>18.5</v>
      </c>
      <c r="V26">
        <f t="shared" si="18"/>
        <v>19</v>
      </c>
      <c r="W26">
        <f t="shared" si="19"/>
        <v>7.7336283185840697</v>
      </c>
      <c r="X26">
        <f t="shared" si="20"/>
        <v>2.7644736842105266</v>
      </c>
      <c r="Y26">
        <f t="shared" si="21"/>
        <v>2.4959459459459459</v>
      </c>
      <c r="Z26">
        <f t="shared" si="22"/>
        <v>2.4710526315789476</v>
      </c>
      <c r="AA26">
        <f t="shared" si="23"/>
        <v>1350.9999999999998</v>
      </c>
      <c r="AB26">
        <f t="shared" si="24"/>
        <v>457.5</v>
      </c>
      <c r="AC26">
        <f t="shared" si="25"/>
        <v>468.4</v>
      </c>
      <c r="AD26">
        <f t="shared" si="26"/>
        <v>425.1</v>
      </c>
      <c r="AE26">
        <f t="shared" si="27"/>
        <v>22</v>
      </c>
      <c r="AF26">
        <f t="shared" si="28"/>
        <v>23</v>
      </c>
      <c r="AG26">
        <f t="shared" si="29"/>
        <v>22.5</v>
      </c>
      <c r="AH26">
        <f t="shared" si="30"/>
        <v>20.5</v>
      </c>
      <c r="AI26">
        <f t="shared" si="31"/>
        <v>7.6761363636363624</v>
      </c>
      <c r="AJ26">
        <f t="shared" si="32"/>
        <v>2.4864130434782608</v>
      </c>
      <c r="AK26">
        <f t="shared" si="33"/>
        <v>2.6022222222222222</v>
      </c>
      <c r="AL26">
        <f t="shared" si="34"/>
        <v>2.5920731707317075</v>
      </c>
      <c r="AM26">
        <f t="shared" si="35"/>
        <v>899</v>
      </c>
      <c r="AN26">
        <f t="shared" si="36"/>
        <v>337.79999999999995</v>
      </c>
      <c r="AO26">
        <f t="shared" si="37"/>
        <v>275.3</v>
      </c>
      <c r="AP26">
        <f t="shared" si="38"/>
        <v>285.89999999999998</v>
      </c>
      <c r="AQ26">
        <f t="shared" si="39"/>
        <v>16.166666666666668</v>
      </c>
      <c r="AR26">
        <f t="shared" si="40"/>
        <v>17</v>
      </c>
      <c r="AS26">
        <f t="shared" si="41"/>
        <v>15.5</v>
      </c>
      <c r="AT26">
        <f t="shared" si="42"/>
        <v>16</v>
      </c>
      <c r="AU26">
        <f t="shared" si="43"/>
        <v>6.9510309278350508</v>
      </c>
      <c r="AV26">
        <f t="shared" si="44"/>
        <v>2.4838235294117643</v>
      </c>
      <c r="AW26">
        <f t="shared" si="45"/>
        <v>2.2201612903225807</v>
      </c>
      <c r="AX26">
        <f t="shared" si="46"/>
        <v>2.2335937499999998</v>
      </c>
    </row>
    <row r="27" spans="1:50">
      <c r="A27">
        <v>1209035</v>
      </c>
      <c r="B27" t="str">
        <f>_xlfn.XLOOKUP(A27,monthly_work_hours!A:A,monthly_work_hours!B:B)</f>
        <v>김석수</v>
      </c>
      <c r="C27" t="str">
        <f>_xlfn.XLOOKUP(A27,monthly_work_hours!A:A,monthly_work_hours!C:C)</f>
        <v>FL개발팀</v>
      </c>
      <c r="D27" t="str">
        <f>_xlfn.XLOOKUP(A27,monthly_work_hours!A:A,monthly_work_hours!D:D)</f>
        <v>기능대리</v>
      </c>
      <c r="E27">
        <f>SUMIFS(monthly_work_hours!$K:$K,monthly_work_hours!$A:$A,'FTE 계산'!$A27,monthly_work_hours!$F:$F,'FTE 계산'!E$2)</f>
        <v>197.8</v>
      </c>
      <c r="F27">
        <f>SUMIFS(monthly_work_hours!$K:$K,monthly_work_hours!$A:$A,'FTE 계산'!$A27,monthly_work_hours!$F:$F,'FTE 계산'!F$2)</f>
        <v>250.4</v>
      </c>
      <c r="G27">
        <f>SUMIFS(monthly_work_hours!$K:$K,monthly_work_hours!$A:$A,'FTE 계산'!$A27,monthly_work_hours!$F:$F,'FTE 계산'!G$2)</f>
        <v>58.6</v>
      </c>
      <c r="H27">
        <f>(SUMIFS(monthly_work_hours!$G:$G,monthly_work_hours!$A:$A,'FTE 계산'!$A27,monthly_work_hours!$F:$F,'FTE 계산'!H$2)) - (SUMIFS(monthly_work_hours!$J:$J,monthly_work_hours!$A:$A,'FTE 계산'!$A27,monthly_work_hours!$F:$F,'FTE 계산'!H$2))</f>
        <v>18</v>
      </c>
      <c r="I27">
        <f>(SUMIFS(monthly_work_hours!$G:$G,monthly_work_hours!$A:$A,'FTE 계산'!$A27,monthly_work_hours!$F:$F,'FTE 계산'!I$2)) - (SUMIFS(monthly_work_hours!$J:$J,monthly_work_hours!$A:$A,'FTE 계산'!$A27,monthly_work_hours!$F:$F,'FTE 계산'!I$2))</f>
        <v>17</v>
      </c>
      <c r="J27">
        <f>(SUMIFS(monthly_work_hours!$G:$G,monthly_work_hours!$A:$A,'FTE 계산'!$A27,monthly_work_hours!$F:$F,'FTE 계산'!J$2)) - (SUMIFS(monthly_work_hours!$J:$J,monthly_work_hours!$A:$A,'FTE 계산'!$A27,monthly_work_hours!$F:$F,'FTE 계산'!J$2))</f>
        <v>13</v>
      </c>
      <c r="N27" t="str">
        <v>경영지원팀</v>
      </c>
      <c r="O27">
        <f t="shared" si="13"/>
        <v>1894.1999999999998</v>
      </c>
      <c r="P27">
        <f t="shared" si="14"/>
        <v>361</v>
      </c>
      <c r="Q27">
        <f t="shared" si="14"/>
        <v>881.59999999999991</v>
      </c>
      <c r="R27">
        <f t="shared" si="14"/>
        <v>651.6</v>
      </c>
      <c r="S27">
        <f t="shared" si="15"/>
        <v>18.2</v>
      </c>
      <c r="T27">
        <f t="shared" si="16"/>
        <v>19</v>
      </c>
      <c r="U27">
        <f t="shared" si="17"/>
        <v>18</v>
      </c>
      <c r="V27">
        <f t="shared" si="18"/>
        <v>18</v>
      </c>
      <c r="W27">
        <f t="shared" si="19"/>
        <v>13.009615384615383</v>
      </c>
      <c r="X27">
        <f t="shared" si="20"/>
        <v>2.375</v>
      </c>
      <c r="Y27">
        <f t="shared" si="21"/>
        <v>6.1222222222222218</v>
      </c>
      <c r="Z27">
        <f t="shared" si="22"/>
        <v>4.5250000000000004</v>
      </c>
      <c r="AA27">
        <f t="shared" si="23"/>
        <v>1946.1000000000001</v>
      </c>
      <c r="AB27">
        <f t="shared" si="24"/>
        <v>352.6</v>
      </c>
      <c r="AC27">
        <f t="shared" si="25"/>
        <v>922.90000000000009</v>
      </c>
      <c r="AD27">
        <f t="shared" si="26"/>
        <v>670.59999999999991</v>
      </c>
      <c r="AE27">
        <f t="shared" si="27"/>
        <v>19.3</v>
      </c>
      <c r="AF27">
        <f t="shared" si="28"/>
        <v>19.5</v>
      </c>
      <c r="AG27">
        <f t="shared" si="29"/>
        <v>18.600000000000001</v>
      </c>
      <c r="AH27">
        <f t="shared" si="30"/>
        <v>20.333333333333332</v>
      </c>
      <c r="AI27">
        <f t="shared" si="31"/>
        <v>12.604274611398964</v>
      </c>
      <c r="AJ27">
        <f t="shared" si="32"/>
        <v>2.2602564102564102</v>
      </c>
      <c r="AK27">
        <f t="shared" si="33"/>
        <v>6.202284946236559</v>
      </c>
      <c r="AL27">
        <f t="shared" si="34"/>
        <v>4.122540983606557</v>
      </c>
      <c r="AM27">
        <f t="shared" si="35"/>
        <v>1431.6000000000001</v>
      </c>
      <c r="AN27">
        <f t="shared" si="36"/>
        <v>307.89999999999998</v>
      </c>
      <c r="AO27">
        <f t="shared" si="37"/>
        <v>701.7</v>
      </c>
      <c r="AP27">
        <f t="shared" si="38"/>
        <v>422</v>
      </c>
      <c r="AQ27">
        <f t="shared" si="39"/>
        <v>15.2</v>
      </c>
      <c r="AR27">
        <f t="shared" si="40"/>
        <v>16.5</v>
      </c>
      <c r="AS27">
        <f t="shared" si="41"/>
        <v>15.4</v>
      </c>
      <c r="AT27">
        <f t="shared" si="42"/>
        <v>14</v>
      </c>
      <c r="AU27">
        <f t="shared" si="43"/>
        <v>11.773026315789476</v>
      </c>
      <c r="AV27">
        <f t="shared" si="44"/>
        <v>2.3325757575757575</v>
      </c>
      <c r="AW27">
        <f t="shared" si="45"/>
        <v>5.695616883116883</v>
      </c>
      <c r="AX27">
        <f t="shared" si="46"/>
        <v>3.7678571428571428</v>
      </c>
    </row>
    <row r="28" spans="1:50">
      <c r="A28">
        <v>1209039</v>
      </c>
      <c r="B28" t="str">
        <f>_xlfn.XLOOKUP(A28,monthly_work_hours!A:A,monthly_work_hours!B:B)</f>
        <v>정용선</v>
      </c>
      <c r="C28" t="str">
        <f>_xlfn.XLOOKUP(A28,monthly_work_hours!A:A,monthly_work_hours!C:C)</f>
        <v>SL상생협력팀</v>
      </c>
      <c r="D28" t="str">
        <f>_xlfn.XLOOKUP(A28,monthly_work_hours!A:A,monthly_work_hours!D:D)</f>
        <v>기능과장</v>
      </c>
      <c r="E28">
        <f>SUMIFS(monthly_work_hours!$K:$K,monthly_work_hours!$A:$A,'FTE 계산'!$A28,monthly_work_hours!$F:$F,'FTE 계산'!E$2)</f>
        <v>0.8</v>
      </c>
      <c r="F28">
        <f>SUMIFS(monthly_work_hours!$K:$K,monthly_work_hours!$A:$A,'FTE 계산'!$A28,monthly_work_hours!$F:$F,'FTE 계산'!F$2)</f>
        <v>0</v>
      </c>
      <c r="G28">
        <f>SUMIFS(monthly_work_hours!$K:$K,monthly_work_hours!$A:$A,'FTE 계산'!$A28,monthly_work_hours!$F:$F,'FTE 계산'!G$2)</f>
        <v>0</v>
      </c>
      <c r="H28">
        <f>(SUMIFS(monthly_work_hours!$G:$G,monthly_work_hours!$A:$A,'FTE 계산'!$A28,monthly_work_hours!$F:$F,'FTE 계산'!H$2)) - (SUMIFS(monthly_work_hours!$J:$J,monthly_work_hours!$A:$A,'FTE 계산'!$A28,monthly_work_hours!$F:$F,'FTE 계산'!H$2))</f>
        <v>3</v>
      </c>
      <c r="I28">
        <f>(SUMIFS(monthly_work_hours!$G:$G,monthly_work_hours!$A:$A,'FTE 계산'!$A28,monthly_work_hours!$F:$F,'FTE 계산'!I$2)) - (SUMIFS(monthly_work_hours!$J:$J,monthly_work_hours!$A:$A,'FTE 계산'!$A28,monthly_work_hours!$F:$F,'FTE 계산'!I$2))</f>
        <v>0</v>
      </c>
      <c r="J28">
        <f>(SUMIFS(monthly_work_hours!$G:$G,monthly_work_hours!$A:$A,'FTE 계산'!$A28,monthly_work_hours!$F:$F,'FTE 계산'!J$2)) - (SUMIFS(monthly_work_hours!$J:$J,monthly_work_hours!$A:$A,'FTE 계산'!$A28,monthly_work_hours!$F:$F,'FTE 계산'!J$2))</f>
        <v>0</v>
      </c>
      <c r="N28" t="str">
        <v>SL개발팀</v>
      </c>
      <c r="O28">
        <f t="shared" si="13"/>
        <v>993.4</v>
      </c>
      <c r="P28">
        <f t="shared" si="14"/>
        <v>165.7</v>
      </c>
      <c r="Q28">
        <f t="shared" si="14"/>
        <v>665.3</v>
      </c>
      <c r="R28">
        <f t="shared" si="14"/>
        <v>162.4</v>
      </c>
      <c r="S28">
        <f t="shared" si="15"/>
        <v>13.625</v>
      </c>
      <c r="T28">
        <f t="shared" si="16"/>
        <v>19</v>
      </c>
      <c r="U28">
        <f t="shared" si="17"/>
        <v>12.166666666666666</v>
      </c>
      <c r="V28">
        <f t="shared" si="18"/>
        <v>17</v>
      </c>
      <c r="W28">
        <f t="shared" si="19"/>
        <v>9.1137614678899084</v>
      </c>
      <c r="X28">
        <f t="shared" si="20"/>
        <v>1.0901315789473685</v>
      </c>
      <c r="Y28">
        <f t="shared" si="21"/>
        <v>6.8352739726027396</v>
      </c>
      <c r="Z28">
        <f t="shared" si="22"/>
        <v>1.1941176470588235</v>
      </c>
      <c r="AA28">
        <f t="shared" si="23"/>
        <v>1075.8999999999999</v>
      </c>
      <c r="AB28">
        <f t="shared" si="24"/>
        <v>155.19999999999999</v>
      </c>
      <c r="AC28">
        <f t="shared" si="25"/>
        <v>781.5</v>
      </c>
      <c r="AD28">
        <f t="shared" si="26"/>
        <v>139.19999999999999</v>
      </c>
      <c r="AE28">
        <f t="shared" si="27"/>
        <v>14.125</v>
      </c>
      <c r="AF28">
        <f t="shared" si="28"/>
        <v>18</v>
      </c>
      <c r="AG28">
        <f t="shared" si="29"/>
        <v>13.333333333333334</v>
      </c>
      <c r="AH28">
        <f t="shared" si="30"/>
        <v>15</v>
      </c>
      <c r="AI28">
        <f t="shared" si="31"/>
        <v>9.5212389380530968</v>
      </c>
      <c r="AJ28">
        <f t="shared" si="32"/>
        <v>1.0777777777777777</v>
      </c>
      <c r="AK28">
        <f t="shared" si="33"/>
        <v>7.3265624999999996</v>
      </c>
      <c r="AL28">
        <f t="shared" si="34"/>
        <v>1.1599999999999999</v>
      </c>
      <c r="AM28">
        <f t="shared" si="35"/>
        <v>892.30000000000007</v>
      </c>
      <c r="AN28">
        <f t="shared" si="36"/>
        <v>133.6</v>
      </c>
      <c r="AO28">
        <f t="shared" si="37"/>
        <v>634.20000000000005</v>
      </c>
      <c r="AP28">
        <f t="shared" si="38"/>
        <v>124.5</v>
      </c>
      <c r="AQ28">
        <f t="shared" si="39"/>
        <v>12.5</v>
      </c>
      <c r="AR28">
        <f t="shared" si="40"/>
        <v>16</v>
      </c>
      <c r="AS28">
        <f t="shared" si="41"/>
        <v>11.666666666666666</v>
      </c>
      <c r="AT28">
        <f t="shared" si="42"/>
        <v>14</v>
      </c>
      <c r="AU28">
        <f t="shared" si="43"/>
        <v>8.923</v>
      </c>
      <c r="AV28">
        <f t="shared" si="44"/>
        <v>1.04375</v>
      </c>
      <c r="AW28">
        <f t="shared" si="45"/>
        <v>6.7950000000000008</v>
      </c>
      <c r="AX28">
        <f t="shared" si="46"/>
        <v>1.1116071428571428</v>
      </c>
    </row>
    <row r="29" spans="1:50">
      <c r="A29">
        <v>1209046</v>
      </c>
      <c r="B29" t="str">
        <f>_xlfn.XLOOKUP(A29,monthly_work_hours!A:A,monthly_work_hours!B:B)</f>
        <v>장성욱</v>
      </c>
      <c r="C29" t="str">
        <f>_xlfn.XLOOKUP(A29,monthly_work_hours!A:A,monthly_work_hours!C:C)</f>
        <v>FL영업팀</v>
      </c>
      <c r="D29" t="str">
        <f>_xlfn.XLOOKUP(A29,monthly_work_hours!A:A,monthly_work_hours!D:D)</f>
        <v>책임</v>
      </c>
      <c r="E29">
        <f>SUMIFS(monthly_work_hours!$K:$K,monthly_work_hours!$A:$A,'FTE 계산'!$A29,monthly_work_hours!$F:$F,'FTE 계산'!E$2)</f>
        <v>195.2</v>
      </c>
      <c r="F29">
        <f>SUMIFS(monthly_work_hours!$K:$K,monthly_work_hours!$A:$A,'FTE 계산'!$A29,monthly_work_hours!$F:$F,'FTE 계산'!F$2)</f>
        <v>201</v>
      </c>
      <c r="G29">
        <f>SUMIFS(monthly_work_hours!$K:$K,monthly_work_hours!$A:$A,'FTE 계산'!$A29,monthly_work_hours!$F:$F,'FTE 계산'!G$2)</f>
        <v>157.6</v>
      </c>
      <c r="H29">
        <f>(SUMIFS(monthly_work_hours!$G:$G,monthly_work_hours!$A:$A,'FTE 계산'!$A29,monthly_work_hours!$F:$F,'FTE 계산'!H$2)) - (SUMIFS(monthly_work_hours!$J:$J,monthly_work_hours!$A:$A,'FTE 계산'!$A29,monthly_work_hours!$F:$F,'FTE 계산'!H$2))</f>
        <v>18</v>
      </c>
      <c r="I29">
        <f>(SUMIFS(monthly_work_hours!$G:$G,monthly_work_hours!$A:$A,'FTE 계산'!$A29,monthly_work_hours!$F:$F,'FTE 계산'!I$2)) - (SUMIFS(monthly_work_hours!$J:$J,monthly_work_hours!$A:$A,'FTE 계산'!$A29,monthly_work_hours!$F:$F,'FTE 계산'!I$2))</f>
        <v>18</v>
      </c>
      <c r="J29">
        <f>(SUMIFS(monthly_work_hours!$G:$G,monthly_work_hours!$A:$A,'FTE 계산'!$A29,monthly_work_hours!$F:$F,'FTE 계산'!J$2)) - (SUMIFS(monthly_work_hours!$J:$J,monthly_work_hours!$A:$A,'FTE 계산'!$A29,monthly_work_hours!$F:$F,'FTE 계산'!J$2))</f>
        <v>14</v>
      </c>
      <c r="N29" t="str">
        <v>SL영업팀</v>
      </c>
      <c r="O29">
        <f t="shared" si="13"/>
        <v>1001.8</v>
      </c>
      <c r="P29">
        <f t="shared" si="14"/>
        <v>0</v>
      </c>
      <c r="Q29">
        <f t="shared" si="14"/>
        <v>742.3</v>
      </c>
      <c r="R29">
        <f t="shared" si="14"/>
        <v>259.5</v>
      </c>
      <c r="S29">
        <f t="shared" si="15"/>
        <v>18</v>
      </c>
      <c r="T29" t="e">
        <f t="shared" si="16"/>
        <v>#DIV/0!</v>
      </c>
      <c r="U29">
        <f t="shared" si="17"/>
        <v>19</v>
      </c>
      <c r="V29">
        <f t="shared" si="18"/>
        <v>16</v>
      </c>
      <c r="W29">
        <f t="shared" si="19"/>
        <v>6.9569444444444439</v>
      </c>
      <c r="X29" t="str">
        <f t="shared" si="20"/>
        <v>-</v>
      </c>
      <c r="Y29">
        <f t="shared" si="21"/>
        <v>4.8835526315789473</v>
      </c>
      <c r="Z29">
        <f t="shared" si="22"/>
        <v>2.02734375</v>
      </c>
      <c r="AA29">
        <f t="shared" si="23"/>
        <v>1061.5999999999999</v>
      </c>
      <c r="AB29">
        <f t="shared" si="24"/>
        <v>0</v>
      </c>
      <c r="AC29">
        <f t="shared" si="25"/>
        <v>754.69999999999993</v>
      </c>
      <c r="AD29">
        <f t="shared" si="26"/>
        <v>306.89999999999998</v>
      </c>
      <c r="AE29">
        <f t="shared" si="27"/>
        <v>18.166666666666668</v>
      </c>
      <c r="AF29" t="e">
        <f t="shared" si="28"/>
        <v>#DIV/0!</v>
      </c>
      <c r="AG29">
        <f t="shared" si="29"/>
        <v>18.75</v>
      </c>
      <c r="AH29">
        <f t="shared" si="30"/>
        <v>17</v>
      </c>
      <c r="AI29">
        <f t="shared" si="31"/>
        <v>7.3045871559633015</v>
      </c>
      <c r="AJ29" t="str">
        <f t="shared" si="32"/>
        <v>-</v>
      </c>
      <c r="AK29">
        <f t="shared" si="33"/>
        <v>5.0313333333333325</v>
      </c>
      <c r="AL29">
        <f t="shared" si="34"/>
        <v>2.2566176470588233</v>
      </c>
      <c r="AM29">
        <f t="shared" si="35"/>
        <v>874.2</v>
      </c>
      <c r="AN29">
        <f t="shared" si="36"/>
        <v>0</v>
      </c>
      <c r="AO29">
        <f t="shared" si="37"/>
        <v>573.09999999999991</v>
      </c>
      <c r="AP29">
        <f t="shared" si="38"/>
        <v>301.10000000000002</v>
      </c>
      <c r="AQ29">
        <f t="shared" si="39"/>
        <v>15.666666666666666</v>
      </c>
      <c r="AR29" t="e">
        <f t="shared" si="40"/>
        <v>#DIV/0!</v>
      </c>
      <c r="AS29">
        <f t="shared" si="41"/>
        <v>15.75</v>
      </c>
      <c r="AT29">
        <f t="shared" si="42"/>
        <v>15.5</v>
      </c>
      <c r="AU29">
        <f t="shared" si="43"/>
        <v>6.9750000000000005</v>
      </c>
      <c r="AV29" t="str">
        <f t="shared" si="44"/>
        <v>-</v>
      </c>
      <c r="AW29">
        <f t="shared" si="45"/>
        <v>4.5484126984126974</v>
      </c>
      <c r="AX29">
        <f t="shared" si="46"/>
        <v>2.4282258064516129</v>
      </c>
    </row>
    <row r="30" spans="1:50">
      <c r="A30">
        <v>1209058</v>
      </c>
      <c r="B30" t="str">
        <f>_xlfn.XLOOKUP(A30,monthly_work_hours!A:A,monthly_work_hours!B:B)</f>
        <v>도윤희</v>
      </c>
      <c r="C30" t="str">
        <f>_xlfn.XLOOKUP(A30,monthly_work_hours!A:A,monthly_work_hours!C:C)</f>
        <v>관체사업팀</v>
      </c>
      <c r="D30" t="str">
        <f>_xlfn.XLOOKUP(A30,monthly_work_hours!A:A,monthly_work_hours!D:D)</f>
        <v>책임</v>
      </c>
      <c r="E30">
        <f>SUMIFS(monthly_work_hours!$K:$K,monthly_work_hours!$A:$A,'FTE 계산'!$A30,monthly_work_hours!$F:$F,'FTE 계산'!E$2)</f>
        <v>188.1</v>
      </c>
      <c r="F30">
        <f>SUMIFS(monthly_work_hours!$K:$K,monthly_work_hours!$A:$A,'FTE 계산'!$A30,monthly_work_hours!$F:$F,'FTE 계산'!F$2)</f>
        <v>200.9</v>
      </c>
      <c r="G30">
        <f>SUMIFS(monthly_work_hours!$K:$K,monthly_work_hours!$A:$A,'FTE 계산'!$A30,monthly_work_hours!$F:$F,'FTE 계산'!G$2)</f>
        <v>144</v>
      </c>
      <c r="H30">
        <f>(SUMIFS(monthly_work_hours!$G:$G,monthly_work_hours!$A:$A,'FTE 계산'!$A30,monthly_work_hours!$F:$F,'FTE 계산'!H$2)) - (SUMIFS(monthly_work_hours!$J:$J,monthly_work_hours!$A:$A,'FTE 계산'!$A30,monthly_work_hours!$F:$F,'FTE 계산'!H$2))</f>
        <v>19</v>
      </c>
      <c r="I30">
        <f>(SUMIFS(monthly_work_hours!$G:$G,monthly_work_hours!$A:$A,'FTE 계산'!$A30,monthly_work_hours!$F:$F,'FTE 계산'!I$2)) - (SUMIFS(monthly_work_hours!$J:$J,monthly_work_hours!$A:$A,'FTE 계산'!$A30,monthly_work_hours!$F:$F,'FTE 계산'!I$2))</f>
        <v>19</v>
      </c>
      <c r="J30">
        <f>(SUMIFS(monthly_work_hours!$G:$G,monthly_work_hours!$A:$A,'FTE 계산'!$A30,monthly_work_hours!$F:$F,'FTE 계산'!J$2)) - (SUMIFS(monthly_work_hours!$J:$J,monthly_work_hours!$A:$A,'FTE 계산'!$A30,monthly_work_hours!$F:$F,'FTE 계산'!J$2))</f>
        <v>16</v>
      </c>
      <c r="N30" t="str">
        <v>ESG팀</v>
      </c>
      <c r="O30">
        <f t="shared" si="13"/>
        <v>452</v>
      </c>
      <c r="P30">
        <f t="shared" si="14"/>
        <v>254.8</v>
      </c>
      <c r="Q30">
        <f t="shared" si="14"/>
        <v>0</v>
      </c>
      <c r="R30">
        <f t="shared" si="14"/>
        <v>197.2</v>
      </c>
      <c r="S30">
        <f t="shared" si="15"/>
        <v>18.5</v>
      </c>
      <c r="T30">
        <f t="shared" si="16"/>
        <v>18</v>
      </c>
      <c r="U30" t="e">
        <f t="shared" si="17"/>
        <v>#DIV/0!</v>
      </c>
      <c r="V30">
        <f t="shared" si="18"/>
        <v>19</v>
      </c>
      <c r="W30">
        <f t="shared" si="19"/>
        <v>3.0540540540540539</v>
      </c>
      <c r="X30">
        <f t="shared" si="20"/>
        <v>1.7694444444444446</v>
      </c>
      <c r="Y30" t="str">
        <f t="shared" si="21"/>
        <v>-</v>
      </c>
      <c r="Z30">
        <f t="shared" si="22"/>
        <v>1.2973684210526315</v>
      </c>
      <c r="AA30">
        <f t="shared" si="23"/>
        <v>373.1</v>
      </c>
      <c r="AB30">
        <f t="shared" si="24"/>
        <v>221.9</v>
      </c>
      <c r="AC30">
        <f t="shared" si="25"/>
        <v>0</v>
      </c>
      <c r="AD30">
        <f t="shared" si="26"/>
        <v>151.19999999999999</v>
      </c>
      <c r="AE30">
        <f t="shared" si="27"/>
        <v>16.5</v>
      </c>
      <c r="AF30">
        <f t="shared" si="28"/>
        <v>16</v>
      </c>
      <c r="AG30" t="e">
        <f t="shared" si="29"/>
        <v>#DIV/0!</v>
      </c>
      <c r="AH30">
        <f t="shared" si="30"/>
        <v>17</v>
      </c>
      <c r="AI30">
        <f t="shared" si="31"/>
        <v>2.8265151515151516</v>
      </c>
      <c r="AJ30">
        <f t="shared" si="32"/>
        <v>1.73359375</v>
      </c>
      <c r="AK30" t="str">
        <f t="shared" si="33"/>
        <v>-</v>
      </c>
      <c r="AL30">
        <f t="shared" si="34"/>
        <v>1.1117647058823528</v>
      </c>
      <c r="AM30">
        <f t="shared" si="35"/>
        <v>337.4</v>
      </c>
      <c r="AN30">
        <f t="shared" si="36"/>
        <v>192.5</v>
      </c>
      <c r="AO30">
        <f t="shared" si="37"/>
        <v>0</v>
      </c>
      <c r="AP30">
        <f t="shared" si="38"/>
        <v>144.9</v>
      </c>
      <c r="AQ30">
        <f t="shared" si="39"/>
        <v>16</v>
      </c>
      <c r="AR30">
        <f t="shared" si="40"/>
        <v>16</v>
      </c>
      <c r="AS30" t="e">
        <f t="shared" si="41"/>
        <v>#DIV/0!</v>
      </c>
      <c r="AT30">
        <f t="shared" si="42"/>
        <v>16</v>
      </c>
      <c r="AU30">
        <f t="shared" si="43"/>
        <v>2.6359374999999998</v>
      </c>
      <c r="AV30">
        <f t="shared" si="44"/>
        <v>1.50390625</v>
      </c>
      <c r="AW30" t="str">
        <f t="shared" si="45"/>
        <v>-</v>
      </c>
      <c r="AX30">
        <f t="shared" si="46"/>
        <v>1.13203125</v>
      </c>
    </row>
    <row r="31" spans="1:50">
      <c r="A31">
        <v>1209074</v>
      </c>
      <c r="B31" t="str">
        <f>_xlfn.XLOOKUP(A31,monthly_work_hours!A:A,monthly_work_hours!B:B)</f>
        <v>김주진</v>
      </c>
      <c r="C31" t="str">
        <f>_xlfn.XLOOKUP(A31,monthly_work_hours!A:A,monthly_work_hours!C:C)</f>
        <v>FL사업지원실</v>
      </c>
      <c r="D31" t="str">
        <f>_xlfn.XLOOKUP(A31,monthly_work_hours!A:A,monthly_work_hours!D:D)</f>
        <v>책임</v>
      </c>
      <c r="E31">
        <f>SUMIFS(monthly_work_hours!$K:$K,monthly_work_hours!$A:$A,'FTE 계산'!$A31,monthly_work_hours!$F:$F,'FTE 계산'!E$2)</f>
        <v>176.1</v>
      </c>
      <c r="F31">
        <f>SUMIFS(monthly_work_hours!$K:$K,monthly_work_hours!$A:$A,'FTE 계산'!$A31,monthly_work_hours!$F:$F,'FTE 계산'!F$2)</f>
        <v>177.8</v>
      </c>
      <c r="G31">
        <f>SUMIFS(monthly_work_hours!$K:$K,monthly_work_hours!$A:$A,'FTE 계산'!$A31,monthly_work_hours!$F:$F,'FTE 계산'!G$2)</f>
        <v>145.4</v>
      </c>
      <c r="H31">
        <f>(SUMIFS(monthly_work_hours!$G:$G,monthly_work_hours!$A:$A,'FTE 계산'!$A31,monthly_work_hours!$F:$F,'FTE 계산'!H$2)) - (SUMIFS(monthly_work_hours!$J:$J,monthly_work_hours!$A:$A,'FTE 계산'!$A31,monthly_work_hours!$F:$F,'FTE 계산'!H$2))</f>
        <v>18</v>
      </c>
      <c r="I31">
        <f>(SUMIFS(monthly_work_hours!$G:$G,monthly_work_hours!$A:$A,'FTE 계산'!$A31,monthly_work_hours!$F:$F,'FTE 계산'!I$2)) - (SUMIFS(monthly_work_hours!$J:$J,monthly_work_hours!$A:$A,'FTE 계산'!$A31,monthly_work_hours!$F:$F,'FTE 계산'!I$2))</f>
        <v>19</v>
      </c>
      <c r="J31">
        <f>(SUMIFS(monthly_work_hours!$G:$G,monthly_work_hours!$A:$A,'FTE 계산'!$A31,monthly_work_hours!$F:$F,'FTE 계산'!J$2)) - (SUMIFS(monthly_work_hours!$J:$J,monthly_work_hours!$A:$A,'FTE 계산'!$A31,monthly_work_hours!$F:$F,'FTE 계산'!J$2))</f>
        <v>16</v>
      </c>
      <c r="N31" t="str">
        <v>안전보안팀</v>
      </c>
      <c r="O31">
        <f t="shared" si="13"/>
        <v>1571.2</v>
      </c>
      <c r="P31">
        <f t="shared" si="14"/>
        <v>608.20000000000005</v>
      </c>
      <c r="Q31">
        <f t="shared" si="14"/>
        <v>731.39999999999986</v>
      </c>
      <c r="R31">
        <f t="shared" si="14"/>
        <v>231.6</v>
      </c>
      <c r="S31">
        <f t="shared" si="15"/>
        <v>14.428571428571429</v>
      </c>
      <c r="T31">
        <f t="shared" si="16"/>
        <v>21</v>
      </c>
      <c r="U31">
        <f t="shared" si="17"/>
        <v>18.333333333333332</v>
      </c>
      <c r="V31">
        <f t="shared" si="18"/>
        <v>8.3333333333333339</v>
      </c>
      <c r="W31">
        <f t="shared" si="19"/>
        <v>13.611881188118812</v>
      </c>
      <c r="X31">
        <f t="shared" si="20"/>
        <v>3.6202380952380957</v>
      </c>
      <c r="Y31">
        <f t="shared" si="21"/>
        <v>4.9868181818181814</v>
      </c>
      <c r="Z31">
        <f t="shared" si="22"/>
        <v>3.4739999999999998</v>
      </c>
      <c r="AA31">
        <f t="shared" si="23"/>
        <v>1635.7</v>
      </c>
      <c r="AB31">
        <f t="shared" si="24"/>
        <v>634.9</v>
      </c>
      <c r="AC31">
        <f t="shared" si="25"/>
        <v>535.6</v>
      </c>
      <c r="AD31">
        <f t="shared" si="26"/>
        <v>465.2</v>
      </c>
      <c r="AE31">
        <f t="shared" si="27"/>
        <v>17.571428571428573</v>
      </c>
      <c r="AF31">
        <f t="shared" si="28"/>
        <v>21</v>
      </c>
      <c r="AG31">
        <f t="shared" si="29"/>
        <v>16.666666666666668</v>
      </c>
      <c r="AH31">
        <f t="shared" si="30"/>
        <v>17.333333333333332</v>
      </c>
      <c r="AI31">
        <f t="shared" si="31"/>
        <v>11.636077235772357</v>
      </c>
      <c r="AJ31">
        <f t="shared" si="32"/>
        <v>3.7791666666666663</v>
      </c>
      <c r="AK31">
        <f t="shared" si="33"/>
        <v>4.0169999999999995</v>
      </c>
      <c r="AL31">
        <f t="shared" si="34"/>
        <v>3.3548076923076926</v>
      </c>
      <c r="AM31">
        <f t="shared" si="35"/>
        <v>1074.3000000000002</v>
      </c>
      <c r="AN31">
        <f t="shared" si="36"/>
        <v>355</v>
      </c>
      <c r="AO31">
        <f t="shared" si="37"/>
        <v>414.5</v>
      </c>
      <c r="AP31">
        <f t="shared" si="38"/>
        <v>304.8</v>
      </c>
      <c r="AQ31">
        <f t="shared" si="39"/>
        <v>13.428571428571429</v>
      </c>
      <c r="AR31">
        <f t="shared" si="40"/>
        <v>16</v>
      </c>
      <c r="AS31">
        <f t="shared" si="41"/>
        <v>14.333333333333334</v>
      </c>
      <c r="AT31">
        <f t="shared" si="42"/>
        <v>11.666666666666666</v>
      </c>
      <c r="AU31">
        <f t="shared" si="43"/>
        <v>10.000132978723405</v>
      </c>
      <c r="AV31">
        <f t="shared" si="44"/>
        <v>2.7734375</v>
      </c>
      <c r="AW31">
        <f t="shared" si="45"/>
        <v>3.6148255813953485</v>
      </c>
      <c r="AX31">
        <f t="shared" si="46"/>
        <v>3.265714285714286</v>
      </c>
    </row>
    <row r="32" spans="1:50">
      <c r="A32">
        <v>1209084</v>
      </c>
      <c r="B32" t="str">
        <f>_xlfn.XLOOKUP(A32,monthly_work_hours!A:A,monthly_work_hours!B:B)</f>
        <v>박정현</v>
      </c>
      <c r="C32" t="str">
        <f>_xlfn.XLOOKUP(A32,monthly_work_hours!A:A,monthly_work_hours!C:C)</f>
        <v>FL영업팀</v>
      </c>
      <c r="D32" t="str">
        <f>_xlfn.XLOOKUP(A32,monthly_work_hours!A:A,monthly_work_hours!D:D)</f>
        <v>책임</v>
      </c>
      <c r="E32">
        <f>SUMIFS(monthly_work_hours!$K:$K,monthly_work_hours!$A:$A,'FTE 계산'!$A32,monthly_work_hours!$F:$F,'FTE 계산'!E$2)</f>
        <v>172</v>
      </c>
      <c r="F32">
        <f>SUMIFS(monthly_work_hours!$K:$K,monthly_work_hours!$A:$A,'FTE 계산'!$A32,monthly_work_hours!$F:$F,'FTE 계산'!F$2)</f>
        <v>185.2</v>
      </c>
      <c r="G32">
        <f>SUMIFS(monthly_work_hours!$K:$K,monthly_work_hours!$A:$A,'FTE 계산'!$A32,monthly_work_hours!$F:$F,'FTE 계산'!G$2)</f>
        <v>169.2</v>
      </c>
      <c r="H32">
        <f>(SUMIFS(monthly_work_hours!$G:$G,monthly_work_hours!$A:$A,'FTE 계산'!$A32,monthly_work_hours!$F:$F,'FTE 계산'!H$2)) - (SUMIFS(monthly_work_hours!$J:$J,monthly_work_hours!$A:$A,'FTE 계산'!$A32,monthly_work_hours!$F:$F,'FTE 계산'!H$2))</f>
        <v>15</v>
      </c>
      <c r="I32">
        <f>(SUMIFS(monthly_work_hours!$G:$G,monthly_work_hours!$A:$A,'FTE 계산'!$A32,monthly_work_hours!$F:$F,'FTE 계산'!I$2)) - (SUMIFS(monthly_work_hours!$J:$J,monthly_work_hours!$A:$A,'FTE 계산'!$A32,monthly_work_hours!$F:$F,'FTE 계산'!I$2))</f>
        <v>17</v>
      </c>
      <c r="J32">
        <f>(SUMIFS(monthly_work_hours!$G:$G,monthly_work_hours!$A:$A,'FTE 계산'!$A32,monthly_work_hours!$F:$F,'FTE 계산'!J$2)) - (SUMIFS(monthly_work_hours!$J:$J,monthly_work_hours!$A:$A,'FTE 계산'!$A32,monthly_work_hours!$F:$F,'FTE 계산'!J$2))</f>
        <v>15</v>
      </c>
      <c r="N32" t="str">
        <v>설비기획팀</v>
      </c>
      <c r="O32">
        <f t="shared" si="13"/>
        <v>1056.7</v>
      </c>
      <c r="P32">
        <f t="shared" si="14"/>
        <v>301.60000000000002</v>
      </c>
      <c r="Q32">
        <f t="shared" si="14"/>
        <v>556.4</v>
      </c>
      <c r="R32">
        <f t="shared" si="14"/>
        <v>198.70000000000002</v>
      </c>
      <c r="S32">
        <f t="shared" si="15"/>
        <v>14.125</v>
      </c>
      <c r="T32">
        <f t="shared" si="16"/>
        <v>15.5</v>
      </c>
      <c r="U32">
        <f t="shared" si="17"/>
        <v>14.75</v>
      </c>
      <c r="V32">
        <f t="shared" si="18"/>
        <v>11.5</v>
      </c>
      <c r="W32">
        <f t="shared" si="19"/>
        <v>9.3513274336283185</v>
      </c>
      <c r="X32">
        <f t="shared" si="20"/>
        <v>2.4322580645161294</v>
      </c>
      <c r="Y32">
        <f t="shared" si="21"/>
        <v>4.7152542372881356</v>
      </c>
      <c r="Z32">
        <f t="shared" si="22"/>
        <v>2.1597826086956524</v>
      </c>
      <c r="AA32">
        <f t="shared" si="23"/>
        <v>1300.5999999999999</v>
      </c>
      <c r="AB32">
        <f t="shared" si="24"/>
        <v>368.6</v>
      </c>
      <c r="AC32">
        <f t="shared" si="25"/>
        <v>744.40000000000009</v>
      </c>
      <c r="AD32">
        <f t="shared" si="26"/>
        <v>187.6</v>
      </c>
      <c r="AE32">
        <f t="shared" si="27"/>
        <v>16.75</v>
      </c>
      <c r="AF32">
        <f t="shared" si="28"/>
        <v>19</v>
      </c>
      <c r="AG32">
        <f t="shared" si="29"/>
        <v>18</v>
      </c>
      <c r="AH32">
        <f t="shared" si="30"/>
        <v>12</v>
      </c>
      <c r="AI32">
        <f t="shared" si="31"/>
        <v>9.70597014925373</v>
      </c>
      <c r="AJ32">
        <f t="shared" si="32"/>
        <v>2.4250000000000003</v>
      </c>
      <c r="AK32">
        <f t="shared" si="33"/>
        <v>5.1694444444444452</v>
      </c>
      <c r="AL32">
        <f t="shared" si="34"/>
        <v>1.9541666666666666</v>
      </c>
      <c r="AM32">
        <f t="shared" si="35"/>
        <v>955.1</v>
      </c>
      <c r="AN32">
        <f t="shared" si="36"/>
        <v>266.60000000000002</v>
      </c>
      <c r="AO32">
        <f t="shared" si="37"/>
        <v>542.6</v>
      </c>
      <c r="AP32">
        <f t="shared" si="38"/>
        <v>145.9</v>
      </c>
      <c r="AQ32">
        <f t="shared" si="39"/>
        <v>13.375</v>
      </c>
      <c r="AR32">
        <f t="shared" si="40"/>
        <v>14.5</v>
      </c>
      <c r="AS32">
        <f t="shared" si="41"/>
        <v>15.5</v>
      </c>
      <c r="AT32">
        <f t="shared" si="42"/>
        <v>8</v>
      </c>
      <c r="AU32">
        <f t="shared" si="43"/>
        <v>8.9261682242990652</v>
      </c>
      <c r="AV32">
        <f t="shared" si="44"/>
        <v>2.2982758620689658</v>
      </c>
      <c r="AW32">
        <f t="shared" si="45"/>
        <v>4.3758064516129034</v>
      </c>
      <c r="AX32">
        <f t="shared" si="46"/>
        <v>2.2796875000000001</v>
      </c>
    </row>
    <row r="33" spans="1:50">
      <c r="A33">
        <v>1210014</v>
      </c>
      <c r="B33" t="str">
        <f>_xlfn.XLOOKUP(A33,monthly_work_hours!A:A,monthly_work_hours!B:B)</f>
        <v>이장희</v>
      </c>
      <c r="C33" t="str">
        <f>_xlfn.XLOOKUP(A33,monthly_work_hours!A:A,monthly_work_hours!C:C)</f>
        <v>SL구매팀</v>
      </c>
      <c r="D33" t="str">
        <f>_xlfn.XLOOKUP(A33,monthly_work_hours!A:A,monthly_work_hours!D:D)</f>
        <v>책임</v>
      </c>
      <c r="E33">
        <f>SUMIFS(monthly_work_hours!$K:$K,monthly_work_hours!$A:$A,'FTE 계산'!$A33,monthly_work_hours!$F:$F,'FTE 계산'!E$2)</f>
        <v>191.7</v>
      </c>
      <c r="F33">
        <f>SUMIFS(monthly_work_hours!$K:$K,monthly_work_hours!$A:$A,'FTE 계산'!$A33,monthly_work_hours!$F:$F,'FTE 계산'!F$2)</f>
        <v>188.8</v>
      </c>
      <c r="G33">
        <f>SUMIFS(monthly_work_hours!$K:$K,monthly_work_hours!$A:$A,'FTE 계산'!$A33,monthly_work_hours!$F:$F,'FTE 계산'!G$2)</f>
        <v>172.3</v>
      </c>
      <c r="H33">
        <f>(SUMIFS(monthly_work_hours!$G:$G,monthly_work_hours!$A:$A,'FTE 계산'!$A33,monthly_work_hours!$F:$F,'FTE 계산'!H$2)) - (SUMIFS(monthly_work_hours!$J:$J,monthly_work_hours!$A:$A,'FTE 계산'!$A33,monthly_work_hours!$F:$F,'FTE 계산'!H$2))</f>
        <v>18</v>
      </c>
      <c r="I33">
        <f>(SUMIFS(monthly_work_hours!$G:$G,monthly_work_hours!$A:$A,'FTE 계산'!$A33,monthly_work_hours!$F:$F,'FTE 계산'!I$2)) - (SUMIFS(monthly_work_hours!$J:$J,monthly_work_hours!$A:$A,'FTE 계산'!$A33,monthly_work_hours!$F:$F,'FTE 계산'!I$2))</f>
        <v>18</v>
      </c>
      <c r="J33">
        <f>(SUMIFS(monthly_work_hours!$G:$G,monthly_work_hours!$A:$A,'FTE 계산'!$A33,monthly_work_hours!$F:$F,'FTE 계산'!J$2)) - (SUMIFS(monthly_work_hours!$J:$J,monthly_work_hours!$A:$A,'FTE 계산'!$A33,monthly_work_hours!$F:$F,'FTE 계산'!J$2))</f>
        <v>16</v>
      </c>
      <c r="N33" t="str">
        <v>노동조합</v>
      </c>
      <c r="O33">
        <f t="shared" si="13"/>
        <v>137.30000000000001</v>
      </c>
      <c r="P33">
        <f t="shared" si="14"/>
        <v>0</v>
      </c>
      <c r="Q33">
        <f t="shared" si="14"/>
        <v>0</v>
      </c>
      <c r="R33">
        <f t="shared" si="14"/>
        <v>137.30000000000001</v>
      </c>
      <c r="S33">
        <f t="shared" si="15"/>
        <v>16</v>
      </c>
      <c r="T33" t="e">
        <f t="shared" si="16"/>
        <v>#DIV/0!</v>
      </c>
      <c r="U33" t="e">
        <f t="shared" si="17"/>
        <v>#DIV/0!</v>
      </c>
      <c r="V33">
        <f t="shared" si="18"/>
        <v>16</v>
      </c>
      <c r="W33">
        <f t="shared" si="19"/>
        <v>1.0726562500000001</v>
      </c>
      <c r="X33" t="str">
        <f t="shared" si="20"/>
        <v>-</v>
      </c>
      <c r="Y33" t="str">
        <f t="shared" si="21"/>
        <v>-</v>
      </c>
      <c r="Z33">
        <f t="shared" si="22"/>
        <v>1.0726562500000001</v>
      </c>
      <c r="AA33">
        <f t="shared" si="23"/>
        <v>177.8</v>
      </c>
      <c r="AB33">
        <f t="shared" si="24"/>
        <v>0</v>
      </c>
      <c r="AC33">
        <f t="shared" si="25"/>
        <v>0</v>
      </c>
      <c r="AD33">
        <f t="shared" si="26"/>
        <v>177.8</v>
      </c>
      <c r="AE33">
        <f t="shared" si="27"/>
        <v>19</v>
      </c>
      <c r="AF33" t="e">
        <f t="shared" si="28"/>
        <v>#DIV/0!</v>
      </c>
      <c r="AG33" t="e">
        <f t="shared" si="29"/>
        <v>#DIV/0!</v>
      </c>
      <c r="AH33">
        <f t="shared" si="30"/>
        <v>19</v>
      </c>
      <c r="AI33">
        <f t="shared" si="31"/>
        <v>1.1697368421052632</v>
      </c>
      <c r="AJ33" t="str">
        <f t="shared" si="32"/>
        <v>-</v>
      </c>
      <c r="AK33" t="str">
        <f t="shared" si="33"/>
        <v>-</v>
      </c>
      <c r="AL33">
        <f t="shared" si="34"/>
        <v>1.1697368421052632</v>
      </c>
      <c r="AM33">
        <f t="shared" si="35"/>
        <v>138.1</v>
      </c>
      <c r="AN33">
        <f t="shared" si="36"/>
        <v>0</v>
      </c>
      <c r="AO33">
        <f t="shared" si="37"/>
        <v>0</v>
      </c>
      <c r="AP33">
        <f t="shared" si="38"/>
        <v>138.1</v>
      </c>
      <c r="AQ33">
        <f t="shared" si="39"/>
        <v>16</v>
      </c>
      <c r="AR33" t="e">
        <f t="shared" si="40"/>
        <v>#DIV/0!</v>
      </c>
      <c r="AS33" t="e">
        <f t="shared" si="41"/>
        <v>#DIV/0!</v>
      </c>
      <c r="AT33">
        <f t="shared" si="42"/>
        <v>16</v>
      </c>
      <c r="AU33">
        <f t="shared" si="43"/>
        <v>1.07890625</v>
      </c>
      <c r="AV33" t="str">
        <f t="shared" si="44"/>
        <v>-</v>
      </c>
      <c r="AW33" t="str">
        <f t="shared" si="45"/>
        <v>-</v>
      </c>
      <c r="AX33">
        <f t="shared" si="46"/>
        <v>1.07890625</v>
      </c>
    </row>
    <row r="34" spans="1:50">
      <c r="A34">
        <v>1210019</v>
      </c>
      <c r="B34" t="str">
        <f>_xlfn.XLOOKUP(A34,monthly_work_hours!A:A,monthly_work_hours!B:B)</f>
        <v>심재덕</v>
      </c>
      <c r="C34" t="str">
        <f>_xlfn.XLOOKUP(A34,monthly_work_hours!A:A,monthly_work_hours!C:C)</f>
        <v>상생협력팀</v>
      </c>
      <c r="D34" t="str">
        <f>_xlfn.XLOOKUP(A34,monthly_work_hours!A:A,monthly_work_hours!D:D)</f>
        <v>책임</v>
      </c>
      <c r="E34">
        <f>SUMIFS(monthly_work_hours!$K:$K,monthly_work_hours!$A:$A,'FTE 계산'!$A34,monthly_work_hours!$F:$F,'FTE 계산'!E$2)</f>
        <v>194.7</v>
      </c>
      <c r="F34">
        <f>SUMIFS(monthly_work_hours!$K:$K,monthly_work_hours!$A:$A,'FTE 계산'!$A34,monthly_work_hours!$F:$F,'FTE 계산'!F$2)</f>
        <v>209.5</v>
      </c>
      <c r="G34">
        <f>SUMIFS(monthly_work_hours!$K:$K,monthly_work_hours!$A:$A,'FTE 계산'!$A34,monthly_work_hours!$F:$F,'FTE 계산'!G$2)</f>
        <v>174.7</v>
      </c>
      <c r="H34">
        <f>(SUMIFS(monthly_work_hours!$G:$G,monthly_work_hours!$A:$A,'FTE 계산'!$A34,monthly_work_hours!$F:$F,'FTE 계산'!H$2)) - (SUMIFS(monthly_work_hours!$J:$J,monthly_work_hours!$A:$A,'FTE 계산'!$A34,monthly_work_hours!$F:$F,'FTE 계산'!H$2))</f>
        <v>18</v>
      </c>
      <c r="I34">
        <f>(SUMIFS(monthly_work_hours!$G:$G,monthly_work_hours!$A:$A,'FTE 계산'!$A34,monthly_work_hours!$F:$F,'FTE 계산'!I$2)) - (SUMIFS(monthly_work_hours!$J:$J,monthly_work_hours!$A:$A,'FTE 계산'!$A34,monthly_work_hours!$F:$F,'FTE 계산'!I$2))</f>
        <v>19</v>
      </c>
      <c r="J34">
        <f>(SUMIFS(monthly_work_hours!$G:$G,monthly_work_hours!$A:$A,'FTE 계산'!$A34,monthly_work_hours!$F:$F,'FTE 계산'!J$2)) - (SUMIFS(monthly_work_hours!$J:$J,monthly_work_hours!$A:$A,'FTE 계산'!$A34,monthly_work_hours!$F:$F,'FTE 계산'!J$2))</f>
        <v>16</v>
      </c>
      <c r="N34" t="str">
        <v>비서팀</v>
      </c>
      <c r="O34">
        <f t="shared" si="13"/>
        <v>705.30000000000007</v>
      </c>
      <c r="P34">
        <f t="shared" si="14"/>
        <v>182.7</v>
      </c>
      <c r="Q34">
        <f t="shared" si="14"/>
        <v>345.6</v>
      </c>
      <c r="R34">
        <f t="shared" si="14"/>
        <v>177</v>
      </c>
      <c r="S34">
        <f t="shared" si="15"/>
        <v>18.75</v>
      </c>
      <c r="T34">
        <f t="shared" si="16"/>
        <v>19</v>
      </c>
      <c r="U34">
        <f t="shared" si="17"/>
        <v>18.5</v>
      </c>
      <c r="V34">
        <f t="shared" si="18"/>
        <v>19</v>
      </c>
      <c r="W34">
        <f t="shared" si="19"/>
        <v>4.7020000000000008</v>
      </c>
      <c r="X34">
        <f t="shared" si="20"/>
        <v>1.2019736842105262</v>
      </c>
      <c r="Y34">
        <f t="shared" si="21"/>
        <v>2.3351351351351353</v>
      </c>
      <c r="Z34">
        <f t="shared" si="22"/>
        <v>1.1644736842105263</v>
      </c>
      <c r="AA34">
        <f t="shared" si="23"/>
        <v>711</v>
      </c>
      <c r="AB34">
        <f t="shared" si="24"/>
        <v>181.8</v>
      </c>
      <c r="AC34">
        <f t="shared" si="25"/>
        <v>350.1</v>
      </c>
      <c r="AD34">
        <f t="shared" si="26"/>
        <v>179.1</v>
      </c>
      <c r="AE34">
        <f t="shared" si="27"/>
        <v>18.75</v>
      </c>
      <c r="AF34">
        <f t="shared" si="28"/>
        <v>19</v>
      </c>
      <c r="AG34">
        <f t="shared" si="29"/>
        <v>18.5</v>
      </c>
      <c r="AH34">
        <f t="shared" si="30"/>
        <v>19</v>
      </c>
      <c r="AI34">
        <f t="shared" si="31"/>
        <v>4.74</v>
      </c>
      <c r="AJ34">
        <f t="shared" si="32"/>
        <v>1.1960526315789475</v>
      </c>
      <c r="AK34">
        <f t="shared" si="33"/>
        <v>2.3655405405405405</v>
      </c>
      <c r="AL34">
        <f t="shared" si="34"/>
        <v>1.1782894736842104</v>
      </c>
      <c r="AM34">
        <f t="shared" si="35"/>
        <v>554.30000000000007</v>
      </c>
      <c r="AN34">
        <f t="shared" si="36"/>
        <v>150.80000000000001</v>
      </c>
      <c r="AO34">
        <f t="shared" si="37"/>
        <v>257.10000000000002</v>
      </c>
      <c r="AP34">
        <f t="shared" si="38"/>
        <v>146.4</v>
      </c>
      <c r="AQ34">
        <f t="shared" si="39"/>
        <v>15.25</v>
      </c>
      <c r="AR34">
        <f t="shared" si="40"/>
        <v>16</v>
      </c>
      <c r="AS34">
        <f t="shared" si="41"/>
        <v>14.5</v>
      </c>
      <c r="AT34">
        <f t="shared" si="42"/>
        <v>16</v>
      </c>
      <c r="AU34">
        <f t="shared" si="43"/>
        <v>4.5434426229508205</v>
      </c>
      <c r="AV34">
        <f t="shared" si="44"/>
        <v>1.1781250000000001</v>
      </c>
      <c r="AW34">
        <f t="shared" si="45"/>
        <v>2.2163793103448279</v>
      </c>
      <c r="AX34">
        <f t="shared" si="46"/>
        <v>1.14375</v>
      </c>
    </row>
    <row r="35" spans="1:50">
      <c r="A35">
        <v>1210020</v>
      </c>
      <c r="B35" t="str">
        <f>_xlfn.XLOOKUP(A35,monthly_work_hours!A:A,monthly_work_hours!B:B)</f>
        <v>오정민</v>
      </c>
      <c r="C35" t="str">
        <f>_xlfn.XLOOKUP(A35,monthly_work_hours!A:A,monthly_work_hours!C:C)</f>
        <v>Brake설계팀</v>
      </c>
      <c r="D35" t="str">
        <f>_xlfn.XLOOKUP(A35,monthly_work_hours!A:A,monthly_work_hours!D:D)</f>
        <v>책임</v>
      </c>
      <c r="E35">
        <f>SUMIFS(monthly_work_hours!$K:$K,monthly_work_hours!$A:$A,'FTE 계산'!$A35,monthly_work_hours!$F:$F,'FTE 계산'!E$2)</f>
        <v>171.4</v>
      </c>
      <c r="F35">
        <f>SUMIFS(monthly_work_hours!$K:$K,monthly_work_hours!$A:$A,'FTE 계산'!$A35,monthly_work_hours!$F:$F,'FTE 계산'!F$2)</f>
        <v>180.7</v>
      </c>
      <c r="G35">
        <f>SUMIFS(monthly_work_hours!$K:$K,monthly_work_hours!$A:$A,'FTE 계산'!$A35,monthly_work_hours!$F:$F,'FTE 계산'!G$2)</f>
        <v>147.9</v>
      </c>
      <c r="H35">
        <f>(SUMIFS(monthly_work_hours!$G:$G,monthly_work_hours!$A:$A,'FTE 계산'!$A35,monthly_work_hours!$F:$F,'FTE 계산'!H$2)) - (SUMIFS(monthly_work_hours!$J:$J,monthly_work_hours!$A:$A,'FTE 계산'!$A35,monthly_work_hours!$F:$F,'FTE 계산'!H$2))</f>
        <v>19</v>
      </c>
      <c r="I35">
        <f>(SUMIFS(monthly_work_hours!$G:$G,monthly_work_hours!$A:$A,'FTE 계산'!$A35,monthly_work_hours!$F:$F,'FTE 계산'!I$2)) - (SUMIFS(monthly_work_hours!$J:$J,monthly_work_hours!$A:$A,'FTE 계산'!$A35,monthly_work_hours!$F:$F,'FTE 계산'!I$2))</f>
        <v>19</v>
      </c>
      <c r="J35">
        <f>(SUMIFS(monthly_work_hours!$G:$G,monthly_work_hours!$A:$A,'FTE 계산'!$A35,monthly_work_hours!$F:$F,'FTE 계산'!J$2)) - (SUMIFS(monthly_work_hours!$J:$J,monthly_work_hours!$A:$A,'FTE 계산'!$A35,monthly_work_hours!$F:$F,'FTE 계산'!J$2))</f>
        <v>16</v>
      </c>
      <c r="N35" t="str">
        <v>내부회계관리팀</v>
      </c>
      <c r="O35">
        <f t="shared" si="13"/>
        <v>289.89999999999998</v>
      </c>
      <c r="P35">
        <f t="shared" si="14"/>
        <v>135.30000000000001</v>
      </c>
      <c r="Q35">
        <f t="shared" si="14"/>
        <v>154.6</v>
      </c>
      <c r="R35">
        <f t="shared" si="14"/>
        <v>0</v>
      </c>
      <c r="S35">
        <f t="shared" si="15"/>
        <v>15.5</v>
      </c>
      <c r="T35">
        <f t="shared" si="16"/>
        <v>16</v>
      </c>
      <c r="U35">
        <f t="shared" si="17"/>
        <v>15</v>
      </c>
      <c r="V35" t="e">
        <f t="shared" si="18"/>
        <v>#DIV/0!</v>
      </c>
      <c r="W35">
        <f t="shared" si="19"/>
        <v>2.3379032258064516</v>
      </c>
      <c r="X35">
        <f t="shared" si="20"/>
        <v>1.0570312500000001</v>
      </c>
      <c r="Y35">
        <f t="shared" si="21"/>
        <v>1.2883333333333333</v>
      </c>
      <c r="Z35" t="str">
        <f t="shared" si="22"/>
        <v>-</v>
      </c>
      <c r="AA35">
        <f t="shared" si="23"/>
        <v>447.1</v>
      </c>
      <c r="AB35">
        <f t="shared" si="24"/>
        <v>233.7</v>
      </c>
      <c r="AC35">
        <f t="shared" si="25"/>
        <v>213.4</v>
      </c>
      <c r="AD35">
        <f t="shared" si="26"/>
        <v>0</v>
      </c>
      <c r="AE35">
        <f t="shared" si="27"/>
        <v>21.5</v>
      </c>
      <c r="AF35">
        <f t="shared" si="28"/>
        <v>22</v>
      </c>
      <c r="AG35">
        <f t="shared" si="29"/>
        <v>21</v>
      </c>
      <c r="AH35" t="e">
        <f t="shared" si="30"/>
        <v>#DIV/0!</v>
      </c>
      <c r="AI35">
        <f t="shared" si="31"/>
        <v>2.5994186046511629</v>
      </c>
      <c r="AJ35">
        <f t="shared" si="32"/>
        <v>1.3278409090909091</v>
      </c>
      <c r="AK35">
        <f t="shared" si="33"/>
        <v>1.2702380952380952</v>
      </c>
      <c r="AL35" t="str">
        <f t="shared" si="34"/>
        <v>-</v>
      </c>
      <c r="AM35">
        <f t="shared" si="35"/>
        <v>359.70000000000005</v>
      </c>
      <c r="AN35">
        <f t="shared" si="36"/>
        <v>181.8</v>
      </c>
      <c r="AO35">
        <f t="shared" si="37"/>
        <v>177.9</v>
      </c>
      <c r="AP35">
        <f t="shared" si="38"/>
        <v>0</v>
      </c>
      <c r="AQ35">
        <f t="shared" si="39"/>
        <v>16.5</v>
      </c>
      <c r="AR35">
        <f t="shared" si="40"/>
        <v>17</v>
      </c>
      <c r="AS35">
        <f t="shared" si="41"/>
        <v>16</v>
      </c>
      <c r="AT35" t="e">
        <f t="shared" si="42"/>
        <v>#DIV/0!</v>
      </c>
      <c r="AU35">
        <f t="shared" si="43"/>
        <v>2.7250000000000005</v>
      </c>
      <c r="AV35">
        <f t="shared" si="44"/>
        <v>1.3367647058823531</v>
      </c>
      <c r="AW35">
        <f t="shared" si="45"/>
        <v>1.38984375</v>
      </c>
      <c r="AX35" t="str">
        <f t="shared" si="46"/>
        <v>-</v>
      </c>
    </row>
    <row r="36" spans="1:50">
      <c r="A36">
        <v>1210021</v>
      </c>
      <c r="B36" t="str">
        <f>_xlfn.XLOOKUP(A36,monthly_work_hours!A:A,monthly_work_hours!B:B)</f>
        <v>이대희</v>
      </c>
      <c r="C36" t="str">
        <f>_xlfn.XLOOKUP(A36,monthly_work_hours!A:A,monthly_work_hours!C:C)</f>
        <v>관체사업팀</v>
      </c>
      <c r="D36" t="str">
        <f>_xlfn.XLOOKUP(A36,monthly_work_hours!A:A,monthly_work_hours!D:D)</f>
        <v>책임</v>
      </c>
      <c r="E36">
        <f>SUMIFS(monthly_work_hours!$K:$K,monthly_work_hours!$A:$A,'FTE 계산'!$A36,monthly_work_hours!$F:$F,'FTE 계산'!E$2)</f>
        <v>191.8</v>
      </c>
      <c r="F36">
        <f>SUMIFS(monthly_work_hours!$K:$K,monthly_work_hours!$A:$A,'FTE 계산'!$A36,monthly_work_hours!$F:$F,'FTE 계산'!F$2)</f>
        <v>197.2</v>
      </c>
      <c r="G36">
        <f>SUMIFS(monthly_work_hours!$K:$K,monthly_work_hours!$A:$A,'FTE 계산'!$A36,monthly_work_hours!$F:$F,'FTE 계산'!G$2)</f>
        <v>166.7</v>
      </c>
      <c r="H36">
        <f>(SUMIFS(monthly_work_hours!$G:$G,monthly_work_hours!$A:$A,'FTE 계산'!$A36,monthly_work_hours!$F:$F,'FTE 계산'!H$2)) - (SUMIFS(monthly_work_hours!$J:$J,monthly_work_hours!$A:$A,'FTE 계산'!$A36,monthly_work_hours!$F:$F,'FTE 계산'!H$2))</f>
        <v>18</v>
      </c>
      <c r="I36">
        <f>(SUMIFS(monthly_work_hours!$G:$G,monthly_work_hours!$A:$A,'FTE 계산'!$A36,monthly_work_hours!$F:$F,'FTE 계산'!I$2)) - (SUMIFS(monthly_work_hours!$J:$J,monthly_work_hours!$A:$A,'FTE 계산'!$A36,monthly_work_hours!$F:$F,'FTE 계산'!I$2))</f>
        <v>18</v>
      </c>
      <c r="J36">
        <f>(SUMIFS(monthly_work_hours!$G:$G,monthly_work_hours!$A:$A,'FTE 계산'!$A36,monthly_work_hours!$F:$F,'FTE 계산'!J$2)) - (SUMIFS(monthly_work_hours!$J:$J,monthly_work_hours!$A:$A,'FTE 계산'!$A36,monthly_work_hours!$F:$F,'FTE 계산'!J$2))</f>
        <v>16</v>
      </c>
      <c r="N36" t="str">
        <v>Marketing팀</v>
      </c>
      <c r="O36">
        <f t="shared" si="13"/>
        <v>180.3</v>
      </c>
      <c r="P36">
        <f t="shared" ref="P36:R77" si="47">SUMIFS($E$3:$E$503,$C$3:$C$503,$N36,$D$3:$D$503,P$2)</f>
        <v>180.3</v>
      </c>
      <c r="Q36">
        <f t="shared" si="47"/>
        <v>0</v>
      </c>
      <c r="R36">
        <f t="shared" si="47"/>
        <v>0</v>
      </c>
      <c r="S36">
        <f t="shared" si="15"/>
        <v>19</v>
      </c>
      <c r="T36">
        <f t="shared" si="16"/>
        <v>19</v>
      </c>
      <c r="U36" t="e">
        <f t="shared" si="17"/>
        <v>#DIV/0!</v>
      </c>
      <c r="V36" t="e">
        <f t="shared" si="18"/>
        <v>#DIV/0!</v>
      </c>
      <c r="W36">
        <f t="shared" si="19"/>
        <v>1.1861842105263158</v>
      </c>
      <c r="X36">
        <f t="shared" si="20"/>
        <v>1.1861842105263158</v>
      </c>
      <c r="Y36" t="str">
        <f t="shared" si="21"/>
        <v>-</v>
      </c>
      <c r="Z36" t="str">
        <f t="shared" si="22"/>
        <v>-</v>
      </c>
      <c r="AA36">
        <f t="shared" si="23"/>
        <v>185.5</v>
      </c>
      <c r="AB36">
        <f t="shared" si="24"/>
        <v>185.5</v>
      </c>
      <c r="AC36">
        <f t="shared" si="25"/>
        <v>0</v>
      </c>
      <c r="AD36">
        <f t="shared" si="26"/>
        <v>0</v>
      </c>
      <c r="AE36">
        <f t="shared" si="27"/>
        <v>19</v>
      </c>
      <c r="AF36">
        <f t="shared" si="28"/>
        <v>19</v>
      </c>
      <c r="AG36" t="e">
        <f t="shared" si="29"/>
        <v>#DIV/0!</v>
      </c>
      <c r="AH36" t="e">
        <f t="shared" si="30"/>
        <v>#DIV/0!</v>
      </c>
      <c r="AI36">
        <f t="shared" si="31"/>
        <v>1.2203947368421053</v>
      </c>
      <c r="AJ36">
        <f t="shared" si="32"/>
        <v>1.2203947368421053</v>
      </c>
      <c r="AK36" t="str">
        <f t="shared" si="33"/>
        <v>-</v>
      </c>
      <c r="AL36" t="str">
        <f t="shared" si="34"/>
        <v>-</v>
      </c>
      <c r="AM36">
        <f t="shared" si="35"/>
        <v>156</v>
      </c>
      <c r="AN36">
        <f t="shared" si="36"/>
        <v>156</v>
      </c>
      <c r="AO36">
        <f t="shared" si="37"/>
        <v>0</v>
      </c>
      <c r="AP36">
        <f t="shared" si="38"/>
        <v>0</v>
      </c>
      <c r="AQ36">
        <f t="shared" si="39"/>
        <v>16</v>
      </c>
      <c r="AR36">
        <f t="shared" si="40"/>
        <v>16</v>
      </c>
      <c r="AS36" t="e">
        <f t="shared" si="41"/>
        <v>#DIV/0!</v>
      </c>
      <c r="AT36" t="e">
        <f t="shared" si="42"/>
        <v>#DIV/0!</v>
      </c>
      <c r="AU36">
        <f t="shared" si="43"/>
        <v>1.21875</v>
      </c>
      <c r="AV36">
        <f t="shared" si="44"/>
        <v>1.21875</v>
      </c>
      <c r="AW36" t="str">
        <f t="shared" si="45"/>
        <v>-</v>
      </c>
      <c r="AX36" t="str">
        <f t="shared" si="46"/>
        <v>-</v>
      </c>
    </row>
    <row r="37" spans="1:50">
      <c r="A37">
        <v>1210025</v>
      </c>
      <c r="B37" t="str">
        <f>_xlfn.XLOOKUP(A37,monthly_work_hours!A:A,monthly_work_hours!B:B)</f>
        <v>이주화</v>
      </c>
      <c r="C37" t="str">
        <f>_xlfn.XLOOKUP(A37,monthly_work_hours!A:A,monthly_work_hours!C:C)</f>
        <v>SL운영팀</v>
      </c>
      <c r="D37" t="str">
        <f>_xlfn.XLOOKUP(A37,monthly_work_hours!A:A,monthly_work_hours!D:D)</f>
        <v>책임</v>
      </c>
      <c r="E37">
        <f>SUMIFS(monthly_work_hours!$K:$K,monthly_work_hours!$A:$A,'FTE 계산'!$A37,monthly_work_hours!$F:$F,'FTE 계산'!E$2)</f>
        <v>195.7</v>
      </c>
      <c r="F37">
        <f>SUMIFS(monthly_work_hours!$K:$K,monthly_work_hours!$A:$A,'FTE 계산'!$A37,monthly_work_hours!$F:$F,'FTE 계산'!F$2)</f>
        <v>178.4</v>
      </c>
      <c r="G37">
        <f>SUMIFS(monthly_work_hours!$K:$K,monthly_work_hours!$A:$A,'FTE 계산'!$A37,monthly_work_hours!$F:$F,'FTE 계산'!G$2)</f>
        <v>149.19999999999999</v>
      </c>
      <c r="H37">
        <f>(SUMIFS(monthly_work_hours!$G:$G,monthly_work_hours!$A:$A,'FTE 계산'!$A37,monthly_work_hours!$F:$F,'FTE 계산'!H$2)) - (SUMIFS(monthly_work_hours!$J:$J,monthly_work_hours!$A:$A,'FTE 계산'!$A37,monthly_work_hours!$F:$F,'FTE 계산'!H$2))</f>
        <v>19</v>
      </c>
      <c r="I37">
        <f>(SUMIFS(monthly_work_hours!$G:$G,monthly_work_hours!$A:$A,'FTE 계산'!$A37,monthly_work_hours!$F:$F,'FTE 계산'!I$2)) - (SUMIFS(monthly_work_hours!$J:$J,monthly_work_hours!$A:$A,'FTE 계산'!$A37,monthly_work_hours!$F:$F,'FTE 계산'!I$2))</f>
        <v>17</v>
      </c>
      <c r="J37">
        <f>(SUMIFS(monthly_work_hours!$G:$G,monthly_work_hours!$A:$A,'FTE 계산'!$A37,monthly_work_hours!$F:$F,'FTE 계산'!J$2)) - (SUMIFS(monthly_work_hours!$J:$J,monthly_work_hours!$A:$A,'FTE 계산'!$A37,monthly_work_hours!$F:$F,'FTE 계산'!J$2))</f>
        <v>15</v>
      </c>
      <c r="N37" t="str">
        <v>그룹홍보실</v>
      </c>
      <c r="O37">
        <f t="shared" si="13"/>
        <v>323.79999999999995</v>
      </c>
      <c r="P37">
        <f t="shared" si="47"/>
        <v>323.79999999999995</v>
      </c>
      <c r="Q37">
        <f t="shared" si="47"/>
        <v>0</v>
      </c>
      <c r="R37">
        <f t="shared" si="47"/>
        <v>0</v>
      </c>
      <c r="S37">
        <f t="shared" si="15"/>
        <v>18.5</v>
      </c>
      <c r="T37">
        <f t="shared" si="16"/>
        <v>18.5</v>
      </c>
      <c r="U37" t="e">
        <f t="shared" si="17"/>
        <v>#DIV/0!</v>
      </c>
      <c r="V37" t="e">
        <f t="shared" si="18"/>
        <v>#DIV/0!</v>
      </c>
      <c r="W37">
        <f t="shared" si="19"/>
        <v>2.1878378378378374</v>
      </c>
      <c r="X37">
        <f t="shared" si="20"/>
        <v>2.1878378378378374</v>
      </c>
      <c r="Y37" t="str">
        <f t="shared" si="21"/>
        <v>-</v>
      </c>
      <c r="Z37" t="str">
        <f t="shared" si="22"/>
        <v>-</v>
      </c>
      <c r="AA37">
        <f t="shared" si="23"/>
        <v>354.7</v>
      </c>
      <c r="AB37">
        <f t="shared" si="24"/>
        <v>354.7</v>
      </c>
      <c r="AC37">
        <f t="shared" si="25"/>
        <v>0</v>
      </c>
      <c r="AD37">
        <f t="shared" si="26"/>
        <v>0</v>
      </c>
      <c r="AE37">
        <f t="shared" si="27"/>
        <v>18.5</v>
      </c>
      <c r="AF37">
        <f t="shared" si="28"/>
        <v>18.5</v>
      </c>
      <c r="AG37" t="e">
        <f t="shared" si="29"/>
        <v>#DIV/0!</v>
      </c>
      <c r="AH37" t="e">
        <f t="shared" si="30"/>
        <v>#DIV/0!</v>
      </c>
      <c r="AI37">
        <f t="shared" si="31"/>
        <v>2.3966216216216214</v>
      </c>
      <c r="AJ37">
        <f t="shared" si="32"/>
        <v>2.3966216216216214</v>
      </c>
      <c r="AK37" t="str">
        <f t="shared" si="33"/>
        <v>-</v>
      </c>
      <c r="AL37" t="str">
        <f t="shared" si="34"/>
        <v>-</v>
      </c>
      <c r="AM37">
        <f t="shared" si="35"/>
        <v>297.5</v>
      </c>
      <c r="AN37">
        <f t="shared" si="36"/>
        <v>297.5</v>
      </c>
      <c r="AO37">
        <f t="shared" si="37"/>
        <v>0</v>
      </c>
      <c r="AP37">
        <f t="shared" si="38"/>
        <v>0</v>
      </c>
      <c r="AQ37">
        <f t="shared" si="39"/>
        <v>16</v>
      </c>
      <c r="AR37">
        <f t="shared" si="40"/>
        <v>16</v>
      </c>
      <c r="AS37" t="e">
        <f t="shared" si="41"/>
        <v>#DIV/0!</v>
      </c>
      <c r="AT37" t="e">
        <f t="shared" si="42"/>
        <v>#DIV/0!</v>
      </c>
      <c r="AU37">
        <f t="shared" si="43"/>
        <v>2.32421875</v>
      </c>
      <c r="AV37">
        <f t="shared" si="44"/>
        <v>2.32421875</v>
      </c>
      <c r="AW37" t="str">
        <f t="shared" si="45"/>
        <v>-</v>
      </c>
      <c r="AX37" t="str">
        <f t="shared" si="46"/>
        <v>-</v>
      </c>
    </row>
    <row r="38" spans="1:50">
      <c r="A38">
        <v>1210026</v>
      </c>
      <c r="B38" t="str">
        <f>_xlfn.XLOOKUP(A38,monthly_work_hours!A:A,monthly_work_hours!B:B)</f>
        <v>안창용</v>
      </c>
      <c r="C38" t="str">
        <f>_xlfn.XLOOKUP(A38,monthly_work_hours!A:A,monthly_work_hours!C:C)</f>
        <v>SCM팀</v>
      </c>
      <c r="D38" t="str">
        <f>_xlfn.XLOOKUP(A38,monthly_work_hours!A:A,monthly_work_hours!D:D)</f>
        <v>책임</v>
      </c>
      <c r="E38">
        <f>SUMIFS(monthly_work_hours!$K:$K,monthly_work_hours!$A:$A,'FTE 계산'!$A38,monthly_work_hours!$F:$F,'FTE 계산'!E$2)</f>
        <v>142.4</v>
      </c>
      <c r="F38">
        <f>SUMIFS(monthly_work_hours!$K:$K,monthly_work_hours!$A:$A,'FTE 계산'!$A38,monthly_work_hours!$F:$F,'FTE 계산'!F$2)</f>
        <v>156.30000000000001</v>
      </c>
      <c r="G38">
        <f>SUMIFS(monthly_work_hours!$K:$K,monthly_work_hours!$A:$A,'FTE 계산'!$A38,monthly_work_hours!$F:$F,'FTE 계산'!G$2)</f>
        <v>144.6</v>
      </c>
      <c r="H38">
        <f>(SUMIFS(monthly_work_hours!$G:$G,monthly_work_hours!$A:$A,'FTE 계산'!$A38,monthly_work_hours!$F:$F,'FTE 계산'!H$2)) - (SUMIFS(monthly_work_hours!$J:$J,monthly_work_hours!$A:$A,'FTE 계산'!$A38,monthly_work_hours!$F:$F,'FTE 계산'!H$2))</f>
        <v>17</v>
      </c>
      <c r="I38">
        <f>(SUMIFS(monthly_work_hours!$G:$G,monthly_work_hours!$A:$A,'FTE 계산'!$A38,monthly_work_hours!$F:$F,'FTE 계산'!I$2)) - (SUMIFS(monthly_work_hours!$J:$J,monthly_work_hours!$A:$A,'FTE 계산'!$A38,monthly_work_hours!$F:$F,'FTE 계산'!I$2))</f>
        <v>19</v>
      </c>
      <c r="J38">
        <f>(SUMIFS(monthly_work_hours!$G:$G,monthly_work_hours!$A:$A,'FTE 계산'!$A38,monthly_work_hours!$F:$F,'FTE 계산'!J$2)) - (SUMIFS(monthly_work_hours!$J:$J,monthly_work_hours!$A:$A,'FTE 계산'!$A38,monthly_work_hours!$F:$F,'FTE 계산'!J$2))</f>
        <v>17</v>
      </c>
      <c r="N38" t="str">
        <v>회계팀</v>
      </c>
      <c r="O38">
        <f t="shared" si="13"/>
        <v>1437.6000000000001</v>
      </c>
      <c r="P38">
        <f t="shared" si="47"/>
        <v>150.5</v>
      </c>
      <c r="Q38">
        <f t="shared" si="47"/>
        <v>970.30000000000007</v>
      </c>
      <c r="R38">
        <f t="shared" si="47"/>
        <v>316.8</v>
      </c>
      <c r="S38">
        <f t="shared" si="15"/>
        <v>17.285714285714285</v>
      </c>
      <c r="T38">
        <f t="shared" si="16"/>
        <v>19</v>
      </c>
      <c r="U38">
        <f t="shared" si="17"/>
        <v>16.75</v>
      </c>
      <c r="V38">
        <f t="shared" si="18"/>
        <v>17.5</v>
      </c>
      <c r="W38">
        <f t="shared" si="19"/>
        <v>10.395867768595043</v>
      </c>
      <c r="X38">
        <f t="shared" si="20"/>
        <v>0.99013157894736847</v>
      </c>
      <c r="Y38">
        <f t="shared" si="21"/>
        <v>7.2410447761194039</v>
      </c>
      <c r="Z38">
        <f t="shared" si="22"/>
        <v>2.2628571428571429</v>
      </c>
      <c r="AA38">
        <f t="shared" si="23"/>
        <v>1826.5</v>
      </c>
      <c r="AB38">
        <f t="shared" si="24"/>
        <v>178.7</v>
      </c>
      <c r="AC38">
        <f t="shared" si="25"/>
        <v>1213.5</v>
      </c>
      <c r="AD38">
        <f t="shared" si="26"/>
        <v>434.29999999999995</v>
      </c>
      <c r="AE38">
        <f t="shared" si="27"/>
        <v>21.571428571428573</v>
      </c>
      <c r="AF38">
        <f t="shared" si="28"/>
        <v>22</v>
      </c>
      <c r="AG38">
        <f t="shared" si="29"/>
        <v>20.75</v>
      </c>
      <c r="AH38">
        <f t="shared" si="30"/>
        <v>23</v>
      </c>
      <c r="AI38">
        <f t="shared" si="31"/>
        <v>10.584023178807946</v>
      </c>
      <c r="AJ38">
        <f t="shared" si="32"/>
        <v>1.0153409090909091</v>
      </c>
      <c r="AK38">
        <f t="shared" si="33"/>
        <v>7.3102409638554215</v>
      </c>
      <c r="AL38">
        <f t="shared" si="34"/>
        <v>2.3603260869565217</v>
      </c>
      <c r="AM38">
        <f t="shared" si="35"/>
        <v>1280.2</v>
      </c>
      <c r="AN38">
        <f t="shared" si="36"/>
        <v>108.6</v>
      </c>
      <c r="AO38">
        <f t="shared" si="37"/>
        <v>885.7</v>
      </c>
      <c r="AP38">
        <f t="shared" si="38"/>
        <v>285.89999999999998</v>
      </c>
      <c r="AQ38">
        <f t="shared" si="39"/>
        <v>16.142857142857142</v>
      </c>
      <c r="AR38">
        <f t="shared" si="40"/>
        <v>15</v>
      </c>
      <c r="AS38">
        <f t="shared" si="41"/>
        <v>16.25</v>
      </c>
      <c r="AT38">
        <f t="shared" si="42"/>
        <v>16.5</v>
      </c>
      <c r="AU38">
        <f t="shared" si="43"/>
        <v>9.9130530973451343</v>
      </c>
      <c r="AV38">
        <f t="shared" si="44"/>
        <v>0.90499999999999992</v>
      </c>
      <c r="AW38">
        <f t="shared" si="45"/>
        <v>6.813076923076923</v>
      </c>
      <c r="AX38">
        <f t="shared" si="46"/>
        <v>2.1659090909090906</v>
      </c>
    </row>
    <row r="39" spans="1:50">
      <c r="A39">
        <v>1210111</v>
      </c>
      <c r="B39" t="str">
        <f>_xlfn.XLOOKUP(A39,monthly_work_hours!A:A,monthly_work_hours!B:B)</f>
        <v>이재현</v>
      </c>
      <c r="C39" t="str">
        <f>_xlfn.XLOOKUP(A39,monthly_work_hours!A:A,monthly_work_hours!C:C)</f>
        <v>SL품질보증팀</v>
      </c>
      <c r="D39" t="str">
        <f>_xlfn.XLOOKUP(A39,monthly_work_hours!A:A,monthly_work_hours!D:D)</f>
        <v>책임</v>
      </c>
      <c r="E39">
        <f>SUMIFS(monthly_work_hours!$K:$K,monthly_work_hours!$A:$A,'FTE 계산'!$A39,monthly_work_hours!$F:$F,'FTE 계산'!E$2)</f>
        <v>159.19999999999999</v>
      </c>
      <c r="F39">
        <f>SUMIFS(monthly_work_hours!$K:$K,monthly_work_hours!$A:$A,'FTE 계산'!$A39,monthly_work_hours!$F:$F,'FTE 계산'!F$2)</f>
        <v>175</v>
      </c>
      <c r="G39">
        <f>SUMIFS(monthly_work_hours!$K:$K,monthly_work_hours!$A:$A,'FTE 계산'!$A39,monthly_work_hours!$F:$F,'FTE 계산'!G$2)</f>
        <v>144.80000000000001</v>
      </c>
      <c r="H39">
        <f>(SUMIFS(monthly_work_hours!$G:$G,monthly_work_hours!$A:$A,'FTE 계산'!$A39,monthly_work_hours!$F:$F,'FTE 계산'!H$2)) - (SUMIFS(monthly_work_hours!$J:$J,monthly_work_hours!$A:$A,'FTE 계산'!$A39,monthly_work_hours!$F:$F,'FTE 계산'!H$2))</f>
        <v>17</v>
      </c>
      <c r="I39">
        <f>(SUMIFS(monthly_work_hours!$G:$G,monthly_work_hours!$A:$A,'FTE 계산'!$A39,monthly_work_hours!$F:$F,'FTE 계산'!I$2)) - (SUMIFS(monthly_work_hours!$J:$J,monthly_work_hours!$A:$A,'FTE 계산'!$A39,monthly_work_hours!$F:$F,'FTE 계산'!I$2))</f>
        <v>18</v>
      </c>
      <c r="J39">
        <f>(SUMIFS(monthly_work_hours!$G:$G,monthly_work_hours!$A:$A,'FTE 계산'!$A39,monthly_work_hours!$F:$F,'FTE 계산'!J$2)) - (SUMIFS(monthly_work_hours!$J:$J,monthly_work_hours!$A:$A,'FTE 계산'!$A39,monthly_work_hours!$F:$F,'FTE 계산'!J$2))</f>
        <v>16</v>
      </c>
      <c r="N39" t="str">
        <v>자금팀</v>
      </c>
      <c r="O39">
        <f t="shared" si="13"/>
        <v>736.3</v>
      </c>
      <c r="P39">
        <f t="shared" si="47"/>
        <v>168</v>
      </c>
      <c r="Q39">
        <f t="shared" si="47"/>
        <v>568.29999999999995</v>
      </c>
      <c r="R39">
        <f t="shared" si="47"/>
        <v>0</v>
      </c>
      <c r="S39">
        <f t="shared" si="15"/>
        <v>14.4</v>
      </c>
      <c r="T39">
        <f t="shared" si="16"/>
        <v>16</v>
      </c>
      <c r="U39">
        <f t="shared" si="17"/>
        <v>18.666666666666668</v>
      </c>
      <c r="V39">
        <f t="shared" si="18"/>
        <v>0</v>
      </c>
      <c r="W39">
        <f t="shared" si="19"/>
        <v>6.3914930555555554</v>
      </c>
      <c r="X39">
        <f t="shared" si="20"/>
        <v>1.3125</v>
      </c>
      <c r="Y39">
        <f t="shared" si="21"/>
        <v>3.8055803571428566</v>
      </c>
      <c r="Z39" t="str">
        <f t="shared" si="22"/>
        <v>-</v>
      </c>
      <c r="AA39">
        <f t="shared" si="23"/>
        <v>894.90000000000009</v>
      </c>
      <c r="AB39">
        <f t="shared" si="24"/>
        <v>220.3</v>
      </c>
      <c r="AC39">
        <f t="shared" si="25"/>
        <v>674.6</v>
      </c>
      <c r="AD39">
        <f t="shared" si="26"/>
        <v>0</v>
      </c>
      <c r="AE39">
        <f t="shared" si="27"/>
        <v>17</v>
      </c>
      <c r="AF39">
        <f t="shared" si="28"/>
        <v>22</v>
      </c>
      <c r="AG39">
        <f t="shared" si="29"/>
        <v>21</v>
      </c>
      <c r="AH39">
        <f t="shared" si="30"/>
        <v>0</v>
      </c>
      <c r="AI39">
        <f t="shared" si="31"/>
        <v>6.5801470588235302</v>
      </c>
      <c r="AJ39">
        <f t="shared" si="32"/>
        <v>1.2517045454545455</v>
      </c>
      <c r="AK39">
        <f t="shared" si="33"/>
        <v>4.0154761904761909</v>
      </c>
      <c r="AL39" t="str">
        <f t="shared" si="34"/>
        <v>-</v>
      </c>
      <c r="AM39">
        <f t="shared" si="35"/>
        <v>837.9</v>
      </c>
      <c r="AN39">
        <f t="shared" si="36"/>
        <v>246.3</v>
      </c>
      <c r="AO39">
        <f t="shared" si="37"/>
        <v>547.20000000000005</v>
      </c>
      <c r="AP39">
        <f t="shared" si="38"/>
        <v>44.4</v>
      </c>
      <c r="AQ39">
        <f t="shared" si="39"/>
        <v>14.8</v>
      </c>
      <c r="AR39">
        <f t="shared" si="40"/>
        <v>17</v>
      </c>
      <c r="AS39">
        <f t="shared" si="41"/>
        <v>17</v>
      </c>
      <c r="AT39">
        <f t="shared" si="42"/>
        <v>6</v>
      </c>
      <c r="AU39">
        <f t="shared" si="43"/>
        <v>7.0768581081081079</v>
      </c>
      <c r="AV39">
        <f t="shared" si="44"/>
        <v>1.8110294117647059</v>
      </c>
      <c r="AW39">
        <f t="shared" si="45"/>
        <v>4.0235294117647058</v>
      </c>
      <c r="AX39">
        <f t="shared" si="46"/>
        <v>0.92499999999999993</v>
      </c>
    </row>
    <row r="40" spans="1:50">
      <c r="A40">
        <v>1210115</v>
      </c>
      <c r="B40" t="str">
        <f>_xlfn.XLOOKUP(A40,monthly_work_hours!A:A,monthly_work_hours!B:B)</f>
        <v>박기수</v>
      </c>
      <c r="C40" t="str">
        <f>_xlfn.XLOOKUP(A40,monthly_work_hours!A:A,monthly_work_hours!C:C)</f>
        <v>FL개발팀</v>
      </c>
      <c r="D40" t="str">
        <f>_xlfn.XLOOKUP(A40,monthly_work_hours!A:A,monthly_work_hours!D:D)</f>
        <v>선임</v>
      </c>
      <c r="E40">
        <f>SUMIFS(monthly_work_hours!$K:$K,monthly_work_hours!$A:$A,'FTE 계산'!$A40,monthly_work_hours!$F:$F,'FTE 계산'!E$2)</f>
        <v>198.3</v>
      </c>
      <c r="F40">
        <f>SUMIFS(monthly_work_hours!$K:$K,monthly_work_hours!$A:$A,'FTE 계산'!$A40,monthly_work_hours!$F:$F,'FTE 계산'!F$2)</f>
        <v>212.5</v>
      </c>
      <c r="G40">
        <f>SUMIFS(monthly_work_hours!$K:$K,monthly_work_hours!$A:$A,'FTE 계산'!$A40,monthly_work_hours!$F:$F,'FTE 계산'!G$2)</f>
        <v>143</v>
      </c>
      <c r="H40">
        <f>(SUMIFS(monthly_work_hours!$G:$G,monthly_work_hours!$A:$A,'FTE 계산'!$A40,monthly_work_hours!$F:$F,'FTE 계산'!H$2)) - (SUMIFS(monthly_work_hours!$J:$J,monthly_work_hours!$A:$A,'FTE 계산'!$A40,monthly_work_hours!$F:$F,'FTE 계산'!H$2))</f>
        <v>16</v>
      </c>
      <c r="I40">
        <f>(SUMIFS(monthly_work_hours!$G:$G,monthly_work_hours!$A:$A,'FTE 계산'!$A40,monthly_work_hours!$F:$F,'FTE 계산'!I$2)) - (SUMIFS(monthly_work_hours!$J:$J,monthly_work_hours!$A:$A,'FTE 계산'!$A40,monthly_work_hours!$F:$F,'FTE 계산'!I$2))</f>
        <v>17</v>
      </c>
      <c r="J40">
        <f>(SUMIFS(monthly_work_hours!$G:$G,monthly_work_hours!$A:$A,'FTE 계산'!$A40,monthly_work_hours!$F:$F,'FTE 계산'!J$2)) - (SUMIFS(monthly_work_hours!$J:$J,monthly_work_hours!$A:$A,'FTE 계산'!$A40,monthly_work_hours!$F:$F,'FTE 계산'!J$2))</f>
        <v>15</v>
      </c>
      <c r="N40" t="str">
        <v>PEOPLE팀</v>
      </c>
      <c r="O40">
        <f t="shared" si="13"/>
        <v>2112.1</v>
      </c>
      <c r="P40">
        <f t="shared" si="47"/>
        <v>316.2</v>
      </c>
      <c r="Q40">
        <f t="shared" si="47"/>
        <v>1048</v>
      </c>
      <c r="R40">
        <f t="shared" si="47"/>
        <v>747.90000000000009</v>
      </c>
      <c r="S40">
        <f t="shared" si="15"/>
        <v>17.111111111111111</v>
      </c>
      <c r="T40">
        <f t="shared" si="16"/>
        <v>12.5</v>
      </c>
      <c r="U40">
        <f t="shared" si="17"/>
        <v>18.25</v>
      </c>
      <c r="V40">
        <f t="shared" si="18"/>
        <v>18.666666666666668</v>
      </c>
      <c r="W40">
        <f t="shared" si="19"/>
        <v>15.429301948051947</v>
      </c>
      <c r="X40">
        <f t="shared" si="20"/>
        <v>3.1619999999999999</v>
      </c>
      <c r="Y40">
        <f t="shared" si="21"/>
        <v>7.1780821917808222</v>
      </c>
      <c r="Z40">
        <f t="shared" si="22"/>
        <v>5.0082589285714292</v>
      </c>
      <c r="AA40">
        <f t="shared" si="23"/>
        <v>2237.1000000000004</v>
      </c>
      <c r="AB40">
        <f t="shared" si="24"/>
        <v>280.60000000000002</v>
      </c>
      <c r="AC40">
        <f t="shared" si="25"/>
        <v>1176.4000000000001</v>
      </c>
      <c r="AD40">
        <f t="shared" si="26"/>
        <v>780.1</v>
      </c>
      <c r="AE40">
        <f t="shared" si="27"/>
        <v>19.444444444444443</v>
      </c>
      <c r="AF40">
        <f t="shared" si="28"/>
        <v>15.5</v>
      </c>
      <c r="AG40">
        <f t="shared" si="29"/>
        <v>21.5</v>
      </c>
      <c r="AH40">
        <f t="shared" si="30"/>
        <v>19.333333333333332</v>
      </c>
      <c r="AI40">
        <f t="shared" si="31"/>
        <v>14.381357142857146</v>
      </c>
      <c r="AJ40">
        <f t="shared" si="32"/>
        <v>2.2629032258064519</v>
      </c>
      <c r="AK40">
        <f t="shared" si="33"/>
        <v>6.8395348837209307</v>
      </c>
      <c r="AL40">
        <f t="shared" si="34"/>
        <v>5.0437500000000002</v>
      </c>
      <c r="AM40">
        <f t="shared" si="35"/>
        <v>1933.9000000000003</v>
      </c>
      <c r="AN40">
        <f t="shared" si="36"/>
        <v>239.4</v>
      </c>
      <c r="AO40">
        <f t="shared" si="37"/>
        <v>926.90000000000009</v>
      </c>
      <c r="AP40">
        <f t="shared" si="38"/>
        <v>767.6</v>
      </c>
      <c r="AQ40">
        <f t="shared" si="39"/>
        <v>16.444444444444443</v>
      </c>
      <c r="AR40">
        <f t="shared" si="40"/>
        <v>15</v>
      </c>
      <c r="AS40">
        <f t="shared" si="41"/>
        <v>17</v>
      </c>
      <c r="AT40">
        <f t="shared" si="42"/>
        <v>16.666666666666668</v>
      </c>
      <c r="AU40">
        <f t="shared" si="43"/>
        <v>14.700253378378383</v>
      </c>
      <c r="AV40">
        <f t="shared" si="44"/>
        <v>1.9950000000000001</v>
      </c>
      <c r="AW40">
        <f t="shared" si="45"/>
        <v>6.8154411764705891</v>
      </c>
      <c r="AX40">
        <f t="shared" si="46"/>
        <v>5.7569999999999997</v>
      </c>
    </row>
    <row r="41" spans="1:50">
      <c r="A41">
        <v>1210154</v>
      </c>
      <c r="B41" t="str">
        <f>_xlfn.XLOOKUP(A41,monthly_work_hours!A:A,monthly_work_hours!B:B)</f>
        <v>신상훈</v>
      </c>
      <c r="C41" t="str">
        <f>_xlfn.XLOOKUP(A41,monthly_work_hours!A:A,monthly_work_hours!C:C)</f>
        <v>상생협력팀</v>
      </c>
      <c r="D41" t="str">
        <f>_xlfn.XLOOKUP(A41,monthly_work_hours!A:A,monthly_work_hours!D:D)</f>
        <v>책임</v>
      </c>
      <c r="E41">
        <f>SUMIFS(monthly_work_hours!$K:$K,monthly_work_hours!$A:$A,'FTE 계산'!$A41,monthly_work_hours!$F:$F,'FTE 계산'!E$2)</f>
        <v>208.4</v>
      </c>
      <c r="F41">
        <f>SUMIFS(monthly_work_hours!$K:$K,monthly_work_hours!$A:$A,'FTE 계산'!$A41,monthly_work_hours!$F:$F,'FTE 계산'!F$2)</f>
        <v>234.3</v>
      </c>
      <c r="G41">
        <f>SUMIFS(monthly_work_hours!$K:$K,monthly_work_hours!$A:$A,'FTE 계산'!$A41,monthly_work_hours!$F:$F,'FTE 계산'!G$2)</f>
        <v>181.7</v>
      </c>
      <c r="H41">
        <f>(SUMIFS(monthly_work_hours!$G:$G,monthly_work_hours!$A:$A,'FTE 계산'!$A41,monthly_work_hours!$F:$F,'FTE 계산'!H$2)) - (SUMIFS(monthly_work_hours!$J:$J,monthly_work_hours!$A:$A,'FTE 계산'!$A41,monthly_work_hours!$F:$F,'FTE 계산'!H$2))</f>
        <v>19</v>
      </c>
      <c r="I41">
        <f>(SUMIFS(monthly_work_hours!$G:$G,monthly_work_hours!$A:$A,'FTE 계산'!$A41,monthly_work_hours!$F:$F,'FTE 계산'!I$2)) - (SUMIFS(monthly_work_hours!$J:$J,monthly_work_hours!$A:$A,'FTE 계산'!$A41,monthly_work_hours!$F:$F,'FTE 계산'!I$2))</f>
        <v>20</v>
      </c>
      <c r="J41">
        <f>(SUMIFS(monthly_work_hours!$G:$G,monthly_work_hours!$A:$A,'FTE 계산'!$A41,monthly_work_hours!$F:$F,'FTE 계산'!J$2)) - (SUMIFS(monthly_work_hours!$J:$J,monthly_work_hours!$A:$A,'FTE 계산'!$A41,monthly_work_hours!$F:$F,'FTE 계산'!J$2))</f>
        <v>16</v>
      </c>
      <c r="N41" t="str">
        <v>자산/법무팀</v>
      </c>
      <c r="O41">
        <f t="shared" si="13"/>
        <v>836</v>
      </c>
      <c r="P41">
        <f t="shared" si="47"/>
        <v>326.89999999999998</v>
      </c>
      <c r="Q41">
        <f t="shared" si="47"/>
        <v>171.3</v>
      </c>
      <c r="R41">
        <f t="shared" si="47"/>
        <v>337.79999999999995</v>
      </c>
      <c r="S41">
        <f t="shared" si="15"/>
        <v>17.600000000000001</v>
      </c>
      <c r="T41">
        <f t="shared" si="16"/>
        <v>17</v>
      </c>
      <c r="U41">
        <f t="shared" si="17"/>
        <v>19</v>
      </c>
      <c r="V41">
        <f t="shared" si="18"/>
        <v>17.5</v>
      </c>
      <c r="W41">
        <f t="shared" si="19"/>
        <v>5.9374999999999991</v>
      </c>
      <c r="X41">
        <f t="shared" si="20"/>
        <v>2.403676470588235</v>
      </c>
      <c r="Y41">
        <f t="shared" si="21"/>
        <v>1.1269736842105265</v>
      </c>
      <c r="Z41">
        <f t="shared" si="22"/>
        <v>2.4128571428571424</v>
      </c>
      <c r="AA41">
        <f t="shared" si="23"/>
        <v>957.19999999999993</v>
      </c>
      <c r="AB41">
        <f t="shared" si="24"/>
        <v>399.7</v>
      </c>
      <c r="AC41">
        <f t="shared" si="25"/>
        <v>181.6</v>
      </c>
      <c r="AD41">
        <f t="shared" si="26"/>
        <v>375.9</v>
      </c>
      <c r="AE41">
        <f t="shared" si="27"/>
        <v>20.2</v>
      </c>
      <c r="AF41">
        <f t="shared" si="28"/>
        <v>20</v>
      </c>
      <c r="AG41">
        <f t="shared" si="29"/>
        <v>20</v>
      </c>
      <c r="AH41">
        <f t="shared" si="30"/>
        <v>20.5</v>
      </c>
      <c r="AI41">
        <f t="shared" si="31"/>
        <v>5.923267326732673</v>
      </c>
      <c r="AJ41">
        <f t="shared" si="32"/>
        <v>2.4981249999999999</v>
      </c>
      <c r="AK41">
        <f t="shared" si="33"/>
        <v>1.135</v>
      </c>
      <c r="AL41">
        <f t="shared" si="34"/>
        <v>2.2920731707317072</v>
      </c>
      <c r="AM41">
        <f t="shared" si="35"/>
        <v>696.6</v>
      </c>
      <c r="AN41">
        <f t="shared" si="36"/>
        <v>286.2</v>
      </c>
      <c r="AO41">
        <f t="shared" si="37"/>
        <v>135</v>
      </c>
      <c r="AP41">
        <f t="shared" si="38"/>
        <v>275.39999999999998</v>
      </c>
      <c r="AQ41">
        <f t="shared" si="39"/>
        <v>16.399999999999999</v>
      </c>
      <c r="AR41">
        <f t="shared" si="40"/>
        <v>16.5</v>
      </c>
      <c r="AS41">
        <f t="shared" si="41"/>
        <v>17</v>
      </c>
      <c r="AT41">
        <f t="shared" si="42"/>
        <v>16</v>
      </c>
      <c r="AU41">
        <f t="shared" si="43"/>
        <v>5.3094512195121961</v>
      </c>
      <c r="AV41">
        <f t="shared" si="44"/>
        <v>2.168181818181818</v>
      </c>
      <c r="AW41">
        <f t="shared" si="45"/>
        <v>0.99264705882352944</v>
      </c>
      <c r="AX41">
        <f t="shared" si="46"/>
        <v>2.1515624999999998</v>
      </c>
    </row>
    <row r="42" spans="1:50">
      <c r="A42">
        <v>1210237</v>
      </c>
      <c r="B42" t="str">
        <f>_xlfn.XLOOKUP(A42,monthly_work_hours!A:A,monthly_work_hours!B:B)</f>
        <v>유호남</v>
      </c>
      <c r="C42" t="str">
        <f>_xlfn.XLOOKUP(A42,monthly_work_hours!A:A,monthly_work_hours!C:C)</f>
        <v>FL영업팀</v>
      </c>
      <c r="D42" t="str">
        <f>_xlfn.XLOOKUP(A42,monthly_work_hours!A:A,monthly_work_hours!D:D)</f>
        <v>책임</v>
      </c>
      <c r="E42">
        <f>SUMIFS(monthly_work_hours!$K:$K,monthly_work_hours!$A:$A,'FTE 계산'!$A42,monthly_work_hours!$F:$F,'FTE 계산'!E$2)</f>
        <v>242.4</v>
      </c>
      <c r="F42">
        <f>SUMIFS(monthly_work_hours!$K:$K,monthly_work_hours!$A:$A,'FTE 계산'!$A42,monthly_work_hours!$F:$F,'FTE 계산'!F$2)</f>
        <v>209.8</v>
      </c>
      <c r="G42">
        <f>SUMIFS(monthly_work_hours!$K:$K,monthly_work_hours!$A:$A,'FTE 계산'!$A42,monthly_work_hours!$F:$F,'FTE 계산'!G$2)</f>
        <v>170.8</v>
      </c>
      <c r="H42">
        <f>(SUMIFS(monthly_work_hours!$G:$G,monthly_work_hours!$A:$A,'FTE 계산'!$A42,monthly_work_hours!$F:$F,'FTE 계산'!H$2)) - (SUMIFS(monthly_work_hours!$J:$J,monthly_work_hours!$A:$A,'FTE 계산'!$A42,monthly_work_hours!$F:$F,'FTE 계산'!H$2))</f>
        <v>19</v>
      </c>
      <c r="I42">
        <f>(SUMIFS(monthly_work_hours!$G:$G,monthly_work_hours!$A:$A,'FTE 계산'!$A42,monthly_work_hours!$F:$F,'FTE 계산'!I$2)) - (SUMIFS(monthly_work_hours!$J:$J,monthly_work_hours!$A:$A,'FTE 계산'!$A42,monthly_work_hours!$F:$F,'FTE 계산'!I$2))</f>
        <v>18</v>
      </c>
      <c r="J42">
        <f>(SUMIFS(monthly_work_hours!$G:$G,monthly_work_hours!$A:$A,'FTE 계산'!$A42,monthly_work_hours!$F:$F,'FTE 계산'!J$2)) - (SUMIFS(monthly_work_hours!$J:$J,monthly_work_hours!$A:$A,'FTE 계산'!$A42,monthly_work_hours!$F:$F,'FTE 계산'!J$2))</f>
        <v>14</v>
      </c>
      <c r="N42" t="str">
        <v>인더스트리얼 설계개발팀</v>
      </c>
      <c r="O42">
        <f t="shared" si="13"/>
        <v>2278.2000000000003</v>
      </c>
      <c r="P42">
        <f t="shared" si="47"/>
        <v>283.89999999999998</v>
      </c>
      <c r="Q42">
        <f t="shared" si="47"/>
        <v>918.5</v>
      </c>
      <c r="R42">
        <f t="shared" si="47"/>
        <v>1075.8</v>
      </c>
      <c r="S42">
        <f t="shared" si="15"/>
        <v>17.46153846153846</v>
      </c>
      <c r="T42">
        <f t="shared" si="16"/>
        <v>14.5</v>
      </c>
      <c r="U42">
        <f t="shared" si="17"/>
        <v>18</v>
      </c>
      <c r="V42">
        <f t="shared" si="18"/>
        <v>18</v>
      </c>
      <c r="W42">
        <f t="shared" si="19"/>
        <v>16.308700440528639</v>
      </c>
      <c r="X42">
        <f t="shared" si="20"/>
        <v>2.4474137931034479</v>
      </c>
      <c r="Y42">
        <f t="shared" si="21"/>
        <v>6.3784722222222223</v>
      </c>
      <c r="Z42">
        <f t="shared" si="22"/>
        <v>7.4708333333333332</v>
      </c>
      <c r="AA42">
        <f t="shared" si="23"/>
        <v>2419.9</v>
      </c>
      <c r="AB42">
        <f t="shared" si="24"/>
        <v>409.1</v>
      </c>
      <c r="AC42">
        <f t="shared" si="25"/>
        <v>918.3</v>
      </c>
      <c r="AD42">
        <f t="shared" si="26"/>
        <v>1092.5</v>
      </c>
      <c r="AE42">
        <f t="shared" si="27"/>
        <v>18.384615384615383</v>
      </c>
      <c r="AF42">
        <f t="shared" si="28"/>
        <v>18.5</v>
      </c>
      <c r="AG42">
        <f t="shared" si="29"/>
        <v>18.2</v>
      </c>
      <c r="AH42">
        <f t="shared" si="30"/>
        <v>18.5</v>
      </c>
      <c r="AI42">
        <f t="shared" si="31"/>
        <v>16.453294979079498</v>
      </c>
      <c r="AJ42">
        <f t="shared" si="32"/>
        <v>2.7641891891891892</v>
      </c>
      <c r="AK42">
        <f t="shared" si="33"/>
        <v>6.3070054945054945</v>
      </c>
      <c r="AL42">
        <f t="shared" si="34"/>
        <v>7.381756756756757</v>
      </c>
      <c r="AM42">
        <f t="shared" si="35"/>
        <v>1619.6000000000001</v>
      </c>
      <c r="AN42">
        <f t="shared" si="36"/>
        <v>196.10000000000002</v>
      </c>
      <c r="AO42">
        <f t="shared" si="37"/>
        <v>596.79999999999995</v>
      </c>
      <c r="AP42">
        <f t="shared" si="38"/>
        <v>826.69999999999993</v>
      </c>
      <c r="AQ42">
        <f t="shared" si="39"/>
        <v>13.76923076923077</v>
      </c>
      <c r="AR42">
        <f t="shared" si="40"/>
        <v>11.5</v>
      </c>
      <c r="AS42">
        <f t="shared" si="41"/>
        <v>13.4</v>
      </c>
      <c r="AT42">
        <f t="shared" si="42"/>
        <v>14.833333333333334</v>
      </c>
      <c r="AU42">
        <f t="shared" si="43"/>
        <v>14.703072625698324</v>
      </c>
      <c r="AV42">
        <f t="shared" si="44"/>
        <v>2.1315217391304349</v>
      </c>
      <c r="AW42">
        <f t="shared" si="45"/>
        <v>5.567164179104477</v>
      </c>
      <c r="AX42">
        <f t="shared" si="46"/>
        <v>6.9665730337078644</v>
      </c>
    </row>
    <row r="43" spans="1:50">
      <c r="A43">
        <v>1211015</v>
      </c>
      <c r="B43" t="str">
        <f>_xlfn.XLOOKUP(A43,monthly_work_hours!A:A,monthly_work_hours!B:B)</f>
        <v>박상진</v>
      </c>
      <c r="C43" t="str">
        <f>_xlfn.XLOOKUP(A43,monthly_work_hours!A:A,monthly_work_hours!C:C)</f>
        <v>SL상생협력팀</v>
      </c>
      <c r="D43" t="str">
        <f>_xlfn.XLOOKUP(A43,monthly_work_hours!A:A,monthly_work_hours!D:D)</f>
        <v>선임</v>
      </c>
      <c r="E43">
        <f>SUMIFS(monthly_work_hours!$K:$K,monthly_work_hours!$A:$A,'FTE 계산'!$A43,monthly_work_hours!$F:$F,'FTE 계산'!E$2)</f>
        <v>149.6</v>
      </c>
      <c r="F43">
        <f>SUMIFS(monthly_work_hours!$K:$K,monthly_work_hours!$A:$A,'FTE 계산'!$A43,monthly_work_hours!$F:$F,'FTE 계산'!F$2)</f>
        <v>107</v>
      </c>
      <c r="G43">
        <f>SUMIFS(monthly_work_hours!$K:$K,monthly_work_hours!$A:$A,'FTE 계산'!$A43,monthly_work_hours!$F:$F,'FTE 계산'!G$2)</f>
        <v>86.3</v>
      </c>
      <c r="H43">
        <f>(SUMIFS(monthly_work_hours!$G:$G,monthly_work_hours!$A:$A,'FTE 계산'!$A43,monthly_work_hours!$F:$F,'FTE 계산'!H$2)) - (SUMIFS(monthly_work_hours!$J:$J,monthly_work_hours!$A:$A,'FTE 계산'!$A43,monthly_work_hours!$F:$F,'FTE 계산'!H$2))</f>
        <v>15</v>
      </c>
      <c r="I43">
        <f>(SUMIFS(monthly_work_hours!$G:$G,monthly_work_hours!$A:$A,'FTE 계산'!$A43,monthly_work_hours!$F:$F,'FTE 계산'!I$2)) - (SUMIFS(monthly_work_hours!$J:$J,monthly_work_hours!$A:$A,'FTE 계산'!$A43,monthly_work_hours!$F:$F,'FTE 계산'!I$2))</f>
        <v>11</v>
      </c>
      <c r="J43">
        <f>(SUMIFS(monthly_work_hours!$G:$G,monthly_work_hours!$A:$A,'FTE 계산'!$A43,monthly_work_hours!$F:$F,'FTE 계산'!J$2)) - (SUMIFS(monthly_work_hours!$J:$J,monthly_work_hours!$A:$A,'FTE 계산'!$A43,monthly_work_hours!$F:$F,'FTE 계산'!J$2))</f>
        <v>11</v>
      </c>
      <c r="N43" t="str">
        <v>Energy사업팀</v>
      </c>
      <c r="O43">
        <f t="shared" si="13"/>
        <v>464.5</v>
      </c>
      <c r="P43">
        <f t="shared" si="47"/>
        <v>47.8</v>
      </c>
      <c r="Q43">
        <f t="shared" si="47"/>
        <v>83.5</v>
      </c>
      <c r="R43">
        <f t="shared" si="47"/>
        <v>333.2</v>
      </c>
      <c r="S43">
        <f t="shared" si="15"/>
        <v>14.5</v>
      </c>
      <c r="T43">
        <f t="shared" si="16"/>
        <v>9</v>
      </c>
      <c r="U43">
        <f t="shared" si="17"/>
        <v>15</v>
      </c>
      <c r="V43">
        <f t="shared" si="18"/>
        <v>17</v>
      </c>
      <c r="W43">
        <f t="shared" si="19"/>
        <v>4.0043103448275863</v>
      </c>
      <c r="X43">
        <f t="shared" si="20"/>
        <v>0.66388888888888886</v>
      </c>
      <c r="Y43">
        <f t="shared" si="21"/>
        <v>0.6958333333333333</v>
      </c>
      <c r="Z43">
        <f t="shared" si="22"/>
        <v>2.4499999999999997</v>
      </c>
      <c r="AA43">
        <f t="shared" si="23"/>
        <v>550.79999999999995</v>
      </c>
      <c r="AB43">
        <f t="shared" si="24"/>
        <v>66.2</v>
      </c>
      <c r="AC43">
        <f t="shared" si="25"/>
        <v>100.3</v>
      </c>
      <c r="AD43">
        <f t="shared" si="26"/>
        <v>384.3</v>
      </c>
      <c r="AE43">
        <f t="shared" si="27"/>
        <v>15.75</v>
      </c>
      <c r="AF43">
        <f t="shared" si="28"/>
        <v>10</v>
      </c>
      <c r="AG43">
        <f t="shared" si="29"/>
        <v>15</v>
      </c>
      <c r="AH43">
        <f t="shared" si="30"/>
        <v>19</v>
      </c>
      <c r="AI43">
        <f t="shared" si="31"/>
        <v>4.371428571428571</v>
      </c>
      <c r="AJ43">
        <f t="shared" si="32"/>
        <v>0.82750000000000001</v>
      </c>
      <c r="AK43">
        <f t="shared" si="33"/>
        <v>0.83583333333333332</v>
      </c>
      <c r="AL43">
        <f t="shared" si="34"/>
        <v>2.5282894736842105</v>
      </c>
      <c r="AM43">
        <f t="shared" si="35"/>
        <v>329.8</v>
      </c>
      <c r="AN43">
        <f t="shared" si="36"/>
        <v>30.4</v>
      </c>
      <c r="AO43">
        <f t="shared" si="37"/>
        <v>44</v>
      </c>
      <c r="AP43">
        <f t="shared" si="38"/>
        <v>255.4</v>
      </c>
      <c r="AQ43">
        <f t="shared" si="39"/>
        <v>10</v>
      </c>
      <c r="AR43">
        <f t="shared" si="40"/>
        <v>6</v>
      </c>
      <c r="AS43">
        <f t="shared" si="41"/>
        <v>8</v>
      </c>
      <c r="AT43">
        <f t="shared" si="42"/>
        <v>13</v>
      </c>
      <c r="AU43">
        <f t="shared" si="43"/>
        <v>4.1225000000000005</v>
      </c>
      <c r="AV43">
        <f t="shared" si="44"/>
        <v>0.6333333333333333</v>
      </c>
      <c r="AW43">
        <f t="shared" si="45"/>
        <v>0.6875</v>
      </c>
      <c r="AX43">
        <f t="shared" si="46"/>
        <v>2.4557692307692309</v>
      </c>
    </row>
    <row r="44" spans="1:50">
      <c r="A44">
        <v>1211016</v>
      </c>
      <c r="B44" t="str">
        <f>_xlfn.XLOOKUP(A44,monthly_work_hours!A:A,monthly_work_hours!B:B)</f>
        <v>조진웅</v>
      </c>
      <c r="C44" t="str">
        <f>_xlfn.XLOOKUP(A44,monthly_work_hours!A:A,monthly_work_hours!C:C)</f>
        <v>SL품질보증팀</v>
      </c>
      <c r="D44" t="str">
        <f>_xlfn.XLOOKUP(A44,monthly_work_hours!A:A,monthly_work_hours!D:D)</f>
        <v>선임</v>
      </c>
      <c r="E44">
        <f>SUMIFS(monthly_work_hours!$K:$K,monthly_work_hours!$A:$A,'FTE 계산'!$A44,monthly_work_hours!$F:$F,'FTE 계산'!E$2)</f>
        <v>111.1</v>
      </c>
      <c r="F44">
        <f>SUMIFS(monthly_work_hours!$K:$K,monthly_work_hours!$A:$A,'FTE 계산'!$A44,monthly_work_hours!$F:$F,'FTE 계산'!F$2)</f>
        <v>115.8</v>
      </c>
      <c r="G44">
        <f>SUMIFS(monthly_work_hours!$K:$K,monthly_work_hours!$A:$A,'FTE 계산'!$A44,monthly_work_hours!$F:$F,'FTE 계산'!G$2)</f>
        <v>111.4</v>
      </c>
      <c r="H44">
        <f>(SUMIFS(monthly_work_hours!$G:$G,monthly_work_hours!$A:$A,'FTE 계산'!$A44,monthly_work_hours!$F:$F,'FTE 계산'!H$2)) - (SUMIFS(monthly_work_hours!$J:$J,monthly_work_hours!$A:$A,'FTE 계산'!$A44,monthly_work_hours!$F:$F,'FTE 계산'!H$2))</f>
        <v>14</v>
      </c>
      <c r="I44">
        <f>(SUMIFS(monthly_work_hours!$G:$G,monthly_work_hours!$A:$A,'FTE 계산'!$A44,monthly_work_hours!$F:$F,'FTE 계산'!I$2)) - (SUMIFS(monthly_work_hours!$J:$J,monthly_work_hours!$A:$A,'FTE 계산'!$A44,monthly_work_hours!$F:$F,'FTE 계산'!I$2))</f>
        <v>16</v>
      </c>
      <c r="J44">
        <f>(SUMIFS(monthly_work_hours!$G:$G,monthly_work_hours!$A:$A,'FTE 계산'!$A44,monthly_work_hours!$F:$F,'FTE 계산'!J$2)) - (SUMIFS(monthly_work_hours!$J:$J,monthly_work_hours!$A:$A,'FTE 계산'!$A44,monthly_work_hours!$F:$F,'FTE 계산'!J$2))</f>
        <v>15</v>
      </c>
      <c r="N44" t="str">
        <v>전략팀</v>
      </c>
      <c r="O44">
        <f t="shared" si="13"/>
        <v>288.8</v>
      </c>
      <c r="P44">
        <f t="shared" si="47"/>
        <v>125.7</v>
      </c>
      <c r="Q44">
        <f t="shared" si="47"/>
        <v>163.1</v>
      </c>
      <c r="R44">
        <f t="shared" si="47"/>
        <v>0</v>
      </c>
      <c r="S44">
        <f t="shared" si="15"/>
        <v>15</v>
      </c>
      <c r="T44">
        <f t="shared" si="16"/>
        <v>13</v>
      </c>
      <c r="U44">
        <f t="shared" si="17"/>
        <v>17</v>
      </c>
      <c r="V44" t="e">
        <f t="shared" si="18"/>
        <v>#DIV/0!</v>
      </c>
      <c r="W44">
        <f t="shared" si="19"/>
        <v>2.4066666666666667</v>
      </c>
      <c r="X44">
        <f t="shared" si="20"/>
        <v>1.2086538461538461</v>
      </c>
      <c r="Y44">
        <f t="shared" si="21"/>
        <v>1.1992647058823529</v>
      </c>
      <c r="Z44" t="str">
        <f t="shared" si="22"/>
        <v>-</v>
      </c>
      <c r="AA44">
        <f t="shared" si="23"/>
        <v>694.5</v>
      </c>
      <c r="AB44">
        <f t="shared" si="24"/>
        <v>163</v>
      </c>
      <c r="AC44">
        <f t="shared" si="25"/>
        <v>531.5</v>
      </c>
      <c r="AD44">
        <f t="shared" si="26"/>
        <v>0</v>
      </c>
      <c r="AE44">
        <f t="shared" si="27"/>
        <v>19</v>
      </c>
      <c r="AF44">
        <f t="shared" si="28"/>
        <v>16</v>
      </c>
      <c r="AG44">
        <f t="shared" si="29"/>
        <v>22</v>
      </c>
      <c r="AH44" t="e">
        <f t="shared" si="30"/>
        <v>#DIV/0!</v>
      </c>
      <c r="AI44">
        <f t="shared" si="31"/>
        <v>4.5690789473684212</v>
      </c>
      <c r="AJ44">
        <f t="shared" si="32"/>
        <v>1.2734375</v>
      </c>
      <c r="AK44">
        <f t="shared" si="33"/>
        <v>3.0198863636363638</v>
      </c>
      <c r="AL44" t="str">
        <f t="shared" si="34"/>
        <v>-</v>
      </c>
      <c r="AM44">
        <f t="shared" si="35"/>
        <v>167.1</v>
      </c>
      <c r="AN44">
        <f t="shared" si="36"/>
        <v>34.5</v>
      </c>
      <c r="AO44">
        <f t="shared" si="37"/>
        <v>132.6</v>
      </c>
      <c r="AP44">
        <f t="shared" si="38"/>
        <v>0</v>
      </c>
      <c r="AQ44">
        <f t="shared" si="39"/>
        <v>10</v>
      </c>
      <c r="AR44">
        <f t="shared" si="40"/>
        <v>4</v>
      </c>
      <c r="AS44">
        <f t="shared" si="41"/>
        <v>16</v>
      </c>
      <c r="AT44" t="e">
        <f t="shared" si="42"/>
        <v>#DIV/0!</v>
      </c>
      <c r="AU44">
        <f t="shared" si="43"/>
        <v>2.0887500000000001</v>
      </c>
      <c r="AV44">
        <f t="shared" si="44"/>
        <v>1.078125</v>
      </c>
      <c r="AW44">
        <f t="shared" si="45"/>
        <v>1.0359375</v>
      </c>
      <c r="AX44" t="str">
        <f t="shared" si="46"/>
        <v>-</v>
      </c>
    </row>
    <row r="45" spans="1:50">
      <c r="A45">
        <v>1211018</v>
      </c>
      <c r="B45" t="str">
        <f>_xlfn.XLOOKUP(A45,monthly_work_hours!A:A,monthly_work_hours!B:B)</f>
        <v>양천광</v>
      </c>
      <c r="C45" t="str">
        <f>_xlfn.XLOOKUP(A45,monthly_work_hours!A:A,monthly_work_hours!C:C)</f>
        <v>품질경영팀</v>
      </c>
      <c r="D45" t="str">
        <f>_xlfn.XLOOKUP(A45,monthly_work_hours!A:A,monthly_work_hours!D:D)</f>
        <v>선임</v>
      </c>
      <c r="E45">
        <f>SUMIFS(monthly_work_hours!$K:$K,monthly_work_hours!$A:$A,'FTE 계산'!$A45,monthly_work_hours!$F:$F,'FTE 계산'!E$2)</f>
        <v>153.6</v>
      </c>
      <c r="F45">
        <f>SUMIFS(monthly_work_hours!$K:$K,monthly_work_hours!$A:$A,'FTE 계산'!$A45,monthly_work_hours!$F:$F,'FTE 계산'!F$2)</f>
        <v>143.19999999999999</v>
      </c>
      <c r="G45">
        <f>SUMIFS(monthly_work_hours!$K:$K,monthly_work_hours!$A:$A,'FTE 계산'!$A45,monthly_work_hours!$F:$F,'FTE 계산'!G$2)</f>
        <v>125.3</v>
      </c>
      <c r="H45">
        <f>(SUMIFS(monthly_work_hours!$G:$G,monthly_work_hours!$A:$A,'FTE 계산'!$A45,monthly_work_hours!$F:$F,'FTE 계산'!H$2)) - (SUMIFS(monthly_work_hours!$J:$J,monthly_work_hours!$A:$A,'FTE 계산'!$A45,monthly_work_hours!$F:$F,'FTE 계산'!H$2))</f>
        <v>17</v>
      </c>
      <c r="I45">
        <f>(SUMIFS(monthly_work_hours!$G:$G,monthly_work_hours!$A:$A,'FTE 계산'!$A45,monthly_work_hours!$F:$F,'FTE 계산'!I$2)) - (SUMIFS(monthly_work_hours!$J:$J,monthly_work_hours!$A:$A,'FTE 계산'!$A45,monthly_work_hours!$F:$F,'FTE 계산'!I$2))</f>
        <v>18</v>
      </c>
      <c r="J45">
        <f>(SUMIFS(monthly_work_hours!$G:$G,monthly_work_hours!$A:$A,'FTE 계산'!$A45,monthly_work_hours!$F:$F,'FTE 계산'!J$2)) - (SUMIFS(monthly_work_hours!$J:$J,monthly_work_hours!$A:$A,'FTE 계산'!$A45,monthly_work_hours!$F:$F,'FTE 계산'!J$2))</f>
        <v>16</v>
      </c>
      <c r="N45" t="str">
        <v>SL기술지원팀</v>
      </c>
      <c r="O45">
        <f t="shared" si="13"/>
        <v>708.9</v>
      </c>
      <c r="P45">
        <f t="shared" si="47"/>
        <v>388.4</v>
      </c>
      <c r="Q45">
        <f t="shared" si="47"/>
        <v>320.5</v>
      </c>
      <c r="R45">
        <f t="shared" si="47"/>
        <v>0</v>
      </c>
      <c r="S45">
        <f t="shared" si="15"/>
        <v>11.666666666666666</v>
      </c>
      <c r="T45">
        <f t="shared" si="16"/>
        <v>18</v>
      </c>
      <c r="U45">
        <f t="shared" si="17"/>
        <v>11.333333333333334</v>
      </c>
      <c r="V45">
        <f t="shared" si="18"/>
        <v>0</v>
      </c>
      <c r="W45">
        <f t="shared" si="19"/>
        <v>7.5953571428571429</v>
      </c>
      <c r="X45">
        <f t="shared" si="20"/>
        <v>2.697222222222222</v>
      </c>
      <c r="Y45">
        <f t="shared" si="21"/>
        <v>3.5349264705882351</v>
      </c>
      <c r="Z45" t="str">
        <f t="shared" si="22"/>
        <v>-</v>
      </c>
      <c r="AA45">
        <f t="shared" si="23"/>
        <v>879.59999999999991</v>
      </c>
      <c r="AB45">
        <f t="shared" si="24"/>
        <v>373.8</v>
      </c>
      <c r="AC45">
        <f t="shared" si="25"/>
        <v>505.8</v>
      </c>
      <c r="AD45">
        <f t="shared" si="26"/>
        <v>0</v>
      </c>
      <c r="AE45">
        <f t="shared" si="27"/>
        <v>15</v>
      </c>
      <c r="AF45">
        <f t="shared" si="28"/>
        <v>18.5</v>
      </c>
      <c r="AG45">
        <f t="shared" si="29"/>
        <v>17.666666666666668</v>
      </c>
      <c r="AH45">
        <f t="shared" si="30"/>
        <v>0</v>
      </c>
      <c r="AI45">
        <f t="shared" si="31"/>
        <v>7.3299999999999992</v>
      </c>
      <c r="AJ45">
        <f t="shared" si="32"/>
        <v>2.525675675675676</v>
      </c>
      <c r="AK45">
        <f t="shared" si="33"/>
        <v>3.5787735849056603</v>
      </c>
      <c r="AL45" t="str">
        <f t="shared" si="34"/>
        <v>-</v>
      </c>
      <c r="AM45">
        <f t="shared" si="35"/>
        <v>746.4</v>
      </c>
      <c r="AN45">
        <f t="shared" si="36"/>
        <v>264.10000000000002</v>
      </c>
      <c r="AO45">
        <f t="shared" si="37"/>
        <v>428.90000000000003</v>
      </c>
      <c r="AP45">
        <f t="shared" si="38"/>
        <v>53.4</v>
      </c>
      <c r="AQ45">
        <f t="shared" si="39"/>
        <v>14</v>
      </c>
      <c r="AR45">
        <f t="shared" si="40"/>
        <v>16</v>
      </c>
      <c r="AS45">
        <f t="shared" si="41"/>
        <v>15.333333333333334</v>
      </c>
      <c r="AT45">
        <f t="shared" si="42"/>
        <v>6</v>
      </c>
      <c r="AU45">
        <f t="shared" si="43"/>
        <v>6.6642857142857137</v>
      </c>
      <c r="AV45">
        <f t="shared" si="44"/>
        <v>2.0632812500000002</v>
      </c>
      <c r="AW45">
        <f t="shared" si="45"/>
        <v>3.496467391304348</v>
      </c>
      <c r="AX45">
        <f t="shared" si="46"/>
        <v>1.1125</v>
      </c>
    </row>
    <row r="46" spans="1:50">
      <c r="A46">
        <v>1211025</v>
      </c>
      <c r="B46" t="str">
        <f>_xlfn.XLOOKUP(A46,monthly_work_hours!A:A,monthly_work_hours!B:B)</f>
        <v>안국현</v>
      </c>
      <c r="C46" t="str">
        <f>_xlfn.XLOOKUP(A46,monthly_work_hours!A:A,monthly_work_hours!C:C)</f>
        <v>SL구매팀</v>
      </c>
      <c r="D46" t="str">
        <f>_xlfn.XLOOKUP(A46,monthly_work_hours!A:A,monthly_work_hours!D:D)</f>
        <v>책임</v>
      </c>
      <c r="E46">
        <f>SUMIFS(monthly_work_hours!$K:$K,monthly_work_hours!$A:$A,'FTE 계산'!$A46,monthly_work_hours!$F:$F,'FTE 계산'!E$2)</f>
        <v>425.7</v>
      </c>
      <c r="F46">
        <f>SUMIFS(monthly_work_hours!$K:$K,monthly_work_hours!$A:$A,'FTE 계산'!$A46,monthly_work_hours!$F:$F,'FTE 계산'!F$2)</f>
        <v>197.1</v>
      </c>
      <c r="G46">
        <f>SUMIFS(monthly_work_hours!$K:$K,monthly_work_hours!$A:$A,'FTE 계산'!$A46,monthly_work_hours!$F:$F,'FTE 계산'!G$2)</f>
        <v>242.3</v>
      </c>
      <c r="H46">
        <f>(SUMIFS(monthly_work_hours!$G:$G,monthly_work_hours!$A:$A,'FTE 계산'!$A46,monthly_work_hours!$F:$F,'FTE 계산'!H$2)) - (SUMIFS(monthly_work_hours!$J:$J,monthly_work_hours!$A:$A,'FTE 계산'!$A46,monthly_work_hours!$F:$F,'FTE 계산'!H$2))</f>
        <v>20</v>
      </c>
      <c r="I46">
        <f>(SUMIFS(monthly_work_hours!$G:$G,monthly_work_hours!$A:$A,'FTE 계산'!$A46,monthly_work_hours!$F:$F,'FTE 계산'!I$2)) - (SUMIFS(monthly_work_hours!$J:$J,monthly_work_hours!$A:$A,'FTE 계산'!$A46,monthly_work_hours!$F:$F,'FTE 계산'!I$2))</f>
        <v>16</v>
      </c>
      <c r="J46">
        <f>(SUMIFS(monthly_work_hours!$G:$G,monthly_work_hours!$A:$A,'FTE 계산'!$A46,monthly_work_hours!$F:$F,'FTE 계산'!J$2)) - (SUMIFS(monthly_work_hours!$J:$J,monthly_work_hours!$A:$A,'FTE 계산'!$A46,monthly_work_hours!$F:$F,'FTE 계산'!J$2))</f>
        <v>16</v>
      </c>
      <c r="N46" t="str">
        <v>원가지원팀</v>
      </c>
      <c r="O46">
        <f t="shared" si="13"/>
        <v>630.79999999999995</v>
      </c>
      <c r="P46">
        <f t="shared" si="47"/>
        <v>423.5</v>
      </c>
      <c r="Q46">
        <f t="shared" si="47"/>
        <v>207.3</v>
      </c>
      <c r="R46">
        <f t="shared" si="47"/>
        <v>0</v>
      </c>
      <c r="S46">
        <f t="shared" si="15"/>
        <v>18.333333333333332</v>
      </c>
      <c r="T46">
        <f t="shared" si="16"/>
        <v>18.5</v>
      </c>
      <c r="U46">
        <f t="shared" si="17"/>
        <v>18</v>
      </c>
      <c r="V46" t="e">
        <f t="shared" si="18"/>
        <v>#DIV/0!</v>
      </c>
      <c r="W46">
        <f t="shared" si="19"/>
        <v>4.3009090909090908</v>
      </c>
      <c r="X46">
        <f t="shared" si="20"/>
        <v>2.8614864864864864</v>
      </c>
      <c r="Y46">
        <f t="shared" si="21"/>
        <v>1.4395833333333334</v>
      </c>
      <c r="Z46" t="str">
        <f t="shared" si="22"/>
        <v>-</v>
      </c>
      <c r="AA46">
        <f t="shared" si="23"/>
        <v>646</v>
      </c>
      <c r="AB46">
        <f t="shared" si="24"/>
        <v>435.4</v>
      </c>
      <c r="AC46">
        <f t="shared" si="25"/>
        <v>210.6</v>
      </c>
      <c r="AD46">
        <f t="shared" si="26"/>
        <v>0</v>
      </c>
      <c r="AE46">
        <f t="shared" si="27"/>
        <v>19</v>
      </c>
      <c r="AF46">
        <f t="shared" si="28"/>
        <v>19</v>
      </c>
      <c r="AG46">
        <f t="shared" si="29"/>
        <v>19</v>
      </c>
      <c r="AH46" t="e">
        <f t="shared" si="30"/>
        <v>#DIV/0!</v>
      </c>
      <c r="AI46">
        <f t="shared" si="31"/>
        <v>4.25</v>
      </c>
      <c r="AJ46">
        <f t="shared" si="32"/>
        <v>2.8644736842105263</v>
      </c>
      <c r="AK46">
        <f t="shared" si="33"/>
        <v>1.3855263157894737</v>
      </c>
      <c r="AL46" t="str">
        <f t="shared" si="34"/>
        <v>-</v>
      </c>
      <c r="AM46">
        <f t="shared" si="35"/>
        <v>451.9</v>
      </c>
      <c r="AN46">
        <f t="shared" si="36"/>
        <v>299.5</v>
      </c>
      <c r="AO46">
        <f t="shared" si="37"/>
        <v>152.4</v>
      </c>
      <c r="AP46">
        <f t="shared" si="38"/>
        <v>0</v>
      </c>
      <c r="AQ46">
        <f t="shared" si="39"/>
        <v>16</v>
      </c>
      <c r="AR46">
        <f t="shared" si="40"/>
        <v>16</v>
      </c>
      <c r="AS46">
        <f t="shared" si="41"/>
        <v>16</v>
      </c>
      <c r="AT46" t="e">
        <f t="shared" si="42"/>
        <v>#DIV/0!</v>
      </c>
      <c r="AU46">
        <f t="shared" si="43"/>
        <v>3.5304687499999998</v>
      </c>
      <c r="AV46">
        <f t="shared" si="44"/>
        <v>2.33984375</v>
      </c>
      <c r="AW46">
        <f t="shared" si="45"/>
        <v>1.190625</v>
      </c>
      <c r="AX46" t="str">
        <f t="shared" si="46"/>
        <v>-</v>
      </c>
    </row>
    <row r="47" spans="1:50">
      <c r="A47">
        <v>1211027</v>
      </c>
      <c r="B47" t="str">
        <f>_xlfn.XLOOKUP(A47,monthly_work_hours!A:A,monthly_work_hours!B:B)</f>
        <v>서동귀</v>
      </c>
      <c r="C47" t="str">
        <f>_xlfn.XLOOKUP(A47,monthly_work_hours!A:A,monthly_work_hours!C:C)</f>
        <v>FL개발팀</v>
      </c>
      <c r="D47" t="str">
        <f>_xlfn.XLOOKUP(A47,monthly_work_hours!A:A,monthly_work_hours!D:D)</f>
        <v>책임</v>
      </c>
      <c r="E47">
        <f>SUMIFS(monthly_work_hours!$K:$K,monthly_work_hours!$A:$A,'FTE 계산'!$A47,monthly_work_hours!$F:$F,'FTE 계산'!E$2)</f>
        <v>175.5</v>
      </c>
      <c r="F47">
        <f>SUMIFS(monthly_work_hours!$K:$K,monthly_work_hours!$A:$A,'FTE 계산'!$A47,monthly_work_hours!$F:$F,'FTE 계산'!F$2)</f>
        <v>176</v>
      </c>
      <c r="G47">
        <f>SUMIFS(monthly_work_hours!$K:$K,monthly_work_hours!$A:$A,'FTE 계산'!$A47,monthly_work_hours!$F:$F,'FTE 계산'!G$2)</f>
        <v>149.80000000000001</v>
      </c>
      <c r="H47">
        <f>(SUMIFS(monthly_work_hours!$G:$G,monthly_work_hours!$A:$A,'FTE 계산'!$A47,monthly_work_hours!$F:$F,'FTE 계산'!H$2)) - (SUMIFS(monthly_work_hours!$J:$J,monthly_work_hours!$A:$A,'FTE 계산'!$A47,monthly_work_hours!$F:$F,'FTE 계산'!H$2))</f>
        <v>17</v>
      </c>
      <c r="I47">
        <f>(SUMIFS(monthly_work_hours!$G:$G,monthly_work_hours!$A:$A,'FTE 계산'!$A47,monthly_work_hours!$F:$F,'FTE 계산'!I$2)) - (SUMIFS(monthly_work_hours!$J:$J,monthly_work_hours!$A:$A,'FTE 계산'!$A47,monthly_work_hours!$F:$F,'FTE 계산'!I$2))</f>
        <v>19</v>
      </c>
      <c r="J47">
        <f>(SUMIFS(monthly_work_hours!$G:$G,monthly_work_hours!$A:$A,'FTE 계산'!$A47,monthly_work_hours!$F:$F,'FTE 계산'!J$2)) - (SUMIFS(monthly_work_hours!$J:$J,monthly_work_hours!$A:$A,'FTE 계산'!$A47,monthly_work_hours!$F:$F,'FTE 계산'!J$2))</f>
        <v>16</v>
      </c>
      <c r="N47" t="str">
        <v>IT 1팀</v>
      </c>
      <c r="O47">
        <f t="shared" si="13"/>
        <v>4776.8</v>
      </c>
      <c r="P47">
        <f t="shared" si="47"/>
        <v>1443.2</v>
      </c>
      <c r="Q47">
        <f t="shared" si="47"/>
        <v>2117.1000000000004</v>
      </c>
      <c r="R47">
        <f t="shared" si="47"/>
        <v>1216.5</v>
      </c>
      <c r="S47">
        <f t="shared" si="15"/>
        <v>18.777777777777779</v>
      </c>
      <c r="T47">
        <f t="shared" si="16"/>
        <v>18.5</v>
      </c>
      <c r="U47">
        <f t="shared" si="17"/>
        <v>19</v>
      </c>
      <c r="V47">
        <f t="shared" si="18"/>
        <v>18.714285714285715</v>
      </c>
      <c r="W47">
        <f t="shared" si="19"/>
        <v>31.798224852071005</v>
      </c>
      <c r="X47">
        <f t="shared" si="20"/>
        <v>9.7513513513513512</v>
      </c>
      <c r="Y47">
        <f t="shared" si="21"/>
        <v>13.928289473684213</v>
      </c>
      <c r="Z47">
        <f t="shared" si="22"/>
        <v>8.1254770992366403</v>
      </c>
      <c r="AA47">
        <f t="shared" si="23"/>
        <v>6163.4999999999991</v>
      </c>
      <c r="AB47">
        <f t="shared" si="24"/>
        <v>1449</v>
      </c>
      <c r="AC47">
        <f t="shared" si="25"/>
        <v>2963.5</v>
      </c>
      <c r="AD47">
        <f t="shared" si="26"/>
        <v>1751</v>
      </c>
      <c r="AE47">
        <f t="shared" si="27"/>
        <v>21.277777777777779</v>
      </c>
      <c r="AF47">
        <f t="shared" si="28"/>
        <v>21</v>
      </c>
      <c r="AG47">
        <f t="shared" si="29"/>
        <v>21.857142857142858</v>
      </c>
      <c r="AH47">
        <f t="shared" si="30"/>
        <v>20.857142857142858</v>
      </c>
      <c r="AI47">
        <f t="shared" si="31"/>
        <v>36.20855091383811</v>
      </c>
      <c r="AJ47">
        <f t="shared" si="32"/>
        <v>8.625</v>
      </c>
      <c r="AK47">
        <f t="shared" si="33"/>
        <v>16.948120915032678</v>
      </c>
      <c r="AL47">
        <f t="shared" si="34"/>
        <v>10.494006849315069</v>
      </c>
      <c r="AM47">
        <f t="shared" si="35"/>
        <v>3751.3000000000006</v>
      </c>
      <c r="AN47">
        <f t="shared" si="36"/>
        <v>1029.1000000000001</v>
      </c>
      <c r="AO47">
        <f t="shared" si="37"/>
        <v>1781.3</v>
      </c>
      <c r="AP47">
        <f t="shared" si="38"/>
        <v>940.89999999999986</v>
      </c>
      <c r="AQ47">
        <f t="shared" si="39"/>
        <v>14.555555555555555</v>
      </c>
      <c r="AR47">
        <f t="shared" si="40"/>
        <v>15.75</v>
      </c>
      <c r="AS47">
        <f t="shared" si="41"/>
        <v>14.571428571428571</v>
      </c>
      <c r="AT47">
        <f t="shared" si="42"/>
        <v>13.857142857142858</v>
      </c>
      <c r="AU47">
        <f t="shared" si="43"/>
        <v>32.215362595419855</v>
      </c>
      <c r="AV47">
        <f t="shared" si="44"/>
        <v>8.1674603174603178</v>
      </c>
      <c r="AW47">
        <f t="shared" si="45"/>
        <v>15.280759803921569</v>
      </c>
      <c r="AX47">
        <f t="shared" si="46"/>
        <v>8.4874999999999989</v>
      </c>
    </row>
    <row r="48" spans="1:50">
      <c r="A48">
        <v>1211030</v>
      </c>
      <c r="B48" t="str">
        <f>_xlfn.XLOOKUP(A48,monthly_work_hours!A:A,monthly_work_hours!B:B)</f>
        <v>정철우</v>
      </c>
      <c r="C48" t="str">
        <f>_xlfn.XLOOKUP(A48,monthly_work_hours!A:A,monthly_work_hours!C:C)</f>
        <v>SL구매팀</v>
      </c>
      <c r="D48" t="str">
        <f>_xlfn.XLOOKUP(A48,monthly_work_hours!A:A,monthly_work_hours!D:D)</f>
        <v>책임</v>
      </c>
      <c r="E48">
        <f>SUMIFS(monthly_work_hours!$K:$K,monthly_work_hours!$A:$A,'FTE 계산'!$A48,monthly_work_hours!$F:$F,'FTE 계산'!E$2)</f>
        <v>163.1</v>
      </c>
      <c r="F48">
        <f>SUMIFS(monthly_work_hours!$K:$K,monthly_work_hours!$A:$A,'FTE 계산'!$A48,monthly_work_hours!$F:$F,'FTE 계산'!F$2)</f>
        <v>182.7</v>
      </c>
      <c r="G48">
        <f>SUMIFS(monthly_work_hours!$K:$K,monthly_work_hours!$A:$A,'FTE 계산'!$A48,monthly_work_hours!$F:$F,'FTE 계산'!G$2)</f>
        <v>121.9</v>
      </c>
      <c r="H48">
        <f>(SUMIFS(monthly_work_hours!$G:$G,monthly_work_hours!$A:$A,'FTE 계산'!$A48,monthly_work_hours!$F:$F,'FTE 계산'!H$2)) - (SUMIFS(monthly_work_hours!$J:$J,monthly_work_hours!$A:$A,'FTE 계산'!$A48,monthly_work_hours!$F:$F,'FTE 계산'!H$2))</f>
        <v>16</v>
      </c>
      <c r="I48">
        <f>(SUMIFS(monthly_work_hours!$G:$G,monthly_work_hours!$A:$A,'FTE 계산'!$A48,monthly_work_hours!$F:$F,'FTE 계산'!I$2)) - (SUMIFS(monthly_work_hours!$J:$J,monthly_work_hours!$A:$A,'FTE 계산'!$A48,monthly_work_hours!$F:$F,'FTE 계산'!I$2))</f>
        <v>18</v>
      </c>
      <c r="J48">
        <f>(SUMIFS(monthly_work_hours!$G:$G,monthly_work_hours!$A:$A,'FTE 계산'!$A48,monthly_work_hours!$F:$F,'FTE 계산'!J$2)) - (SUMIFS(monthly_work_hours!$J:$J,monthly_work_hours!$A:$A,'FTE 계산'!$A48,monthly_work_hours!$F:$F,'FTE 계산'!J$2))</f>
        <v>13</v>
      </c>
      <c r="N48" t="str">
        <v>PI팀</v>
      </c>
      <c r="O48">
        <f t="shared" si="13"/>
        <v>1499.1</v>
      </c>
      <c r="P48">
        <f t="shared" si="47"/>
        <v>744.3</v>
      </c>
      <c r="Q48">
        <f t="shared" si="47"/>
        <v>472.8</v>
      </c>
      <c r="R48">
        <f t="shared" si="47"/>
        <v>282</v>
      </c>
      <c r="S48">
        <f t="shared" si="15"/>
        <v>18.166666666666668</v>
      </c>
      <c r="T48">
        <f t="shared" si="16"/>
        <v>18</v>
      </c>
      <c r="U48">
        <f t="shared" si="17"/>
        <v>17</v>
      </c>
      <c r="V48">
        <f t="shared" si="18"/>
        <v>20</v>
      </c>
      <c r="W48">
        <f t="shared" si="19"/>
        <v>10.314908256880733</v>
      </c>
      <c r="X48">
        <f t="shared" si="20"/>
        <v>5.1687499999999993</v>
      </c>
      <c r="Y48">
        <f t="shared" si="21"/>
        <v>3.4764705882352942</v>
      </c>
      <c r="Z48">
        <f t="shared" si="22"/>
        <v>1.7625</v>
      </c>
      <c r="AA48">
        <f t="shared" si="23"/>
        <v>1789.3</v>
      </c>
      <c r="AB48">
        <f t="shared" si="24"/>
        <v>967.1</v>
      </c>
      <c r="AC48">
        <f t="shared" si="25"/>
        <v>484.2</v>
      </c>
      <c r="AD48">
        <f t="shared" si="26"/>
        <v>338</v>
      </c>
      <c r="AE48">
        <f t="shared" si="27"/>
        <v>23</v>
      </c>
      <c r="AF48">
        <f t="shared" si="28"/>
        <v>23</v>
      </c>
      <c r="AG48">
        <f t="shared" si="29"/>
        <v>23</v>
      </c>
      <c r="AH48">
        <f t="shared" si="30"/>
        <v>23</v>
      </c>
      <c r="AI48">
        <f t="shared" si="31"/>
        <v>9.7244565217391301</v>
      </c>
      <c r="AJ48">
        <f t="shared" si="32"/>
        <v>5.2559782608695658</v>
      </c>
      <c r="AK48">
        <f t="shared" si="33"/>
        <v>2.6315217391304349</v>
      </c>
      <c r="AL48">
        <f t="shared" si="34"/>
        <v>1.8369565217391304</v>
      </c>
      <c r="AM48">
        <f t="shared" si="35"/>
        <v>923.40000000000009</v>
      </c>
      <c r="AN48">
        <f t="shared" si="36"/>
        <v>516.5</v>
      </c>
      <c r="AO48">
        <f t="shared" si="37"/>
        <v>272.7</v>
      </c>
      <c r="AP48">
        <f t="shared" si="38"/>
        <v>134.19999999999999</v>
      </c>
      <c r="AQ48">
        <f t="shared" si="39"/>
        <v>13.166666666666666</v>
      </c>
      <c r="AR48">
        <f t="shared" si="40"/>
        <v>12.75</v>
      </c>
      <c r="AS48">
        <f t="shared" si="41"/>
        <v>14</v>
      </c>
      <c r="AT48">
        <f t="shared" si="42"/>
        <v>14</v>
      </c>
      <c r="AU48">
        <f t="shared" si="43"/>
        <v>8.7664556962025326</v>
      </c>
      <c r="AV48">
        <f t="shared" si="44"/>
        <v>5.0637254901960782</v>
      </c>
      <c r="AW48">
        <f t="shared" si="45"/>
        <v>2.4348214285714285</v>
      </c>
      <c r="AX48">
        <f t="shared" si="46"/>
        <v>1.1982142857142857</v>
      </c>
    </row>
    <row r="49" spans="1:50">
      <c r="A49">
        <v>1211031</v>
      </c>
      <c r="B49" t="str">
        <f>_xlfn.XLOOKUP(A49,monthly_work_hours!A:A,monthly_work_hours!B:B)</f>
        <v>김진석</v>
      </c>
      <c r="C49" t="str">
        <f>_xlfn.XLOOKUP(A49,monthly_work_hours!A:A,monthly_work_hours!C:C)</f>
        <v>SL품질보증팀</v>
      </c>
      <c r="D49" t="str">
        <f>_xlfn.XLOOKUP(A49,monthly_work_hours!A:A,monthly_work_hours!D:D)</f>
        <v>선임</v>
      </c>
      <c r="E49">
        <f>SUMIFS(monthly_work_hours!$K:$K,monthly_work_hours!$A:$A,'FTE 계산'!$A49,monthly_work_hours!$F:$F,'FTE 계산'!E$2)</f>
        <v>86.7</v>
      </c>
      <c r="F49">
        <f>SUMIFS(monthly_work_hours!$K:$K,monthly_work_hours!$A:$A,'FTE 계산'!$A49,monthly_work_hours!$F:$F,'FTE 계산'!F$2)</f>
        <v>145.6</v>
      </c>
      <c r="G49">
        <f>SUMIFS(monthly_work_hours!$K:$K,monthly_work_hours!$A:$A,'FTE 계산'!$A49,monthly_work_hours!$F:$F,'FTE 계산'!G$2)</f>
        <v>122.5</v>
      </c>
      <c r="H49">
        <f>(SUMIFS(monthly_work_hours!$G:$G,monthly_work_hours!$A:$A,'FTE 계산'!$A49,monthly_work_hours!$F:$F,'FTE 계산'!H$2)) - (SUMIFS(monthly_work_hours!$J:$J,monthly_work_hours!$A:$A,'FTE 계산'!$A49,monthly_work_hours!$F:$F,'FTE 계산'!H$2))</f>
        <v>10</v>
      </c>
      <c r="I49">
        <f>(SUMIFS(monthly_work_hours!$G:$G,monthly_work_hours!$A:$A,'FTE 계산'!$A49,monthly_work_hours!$F:$F,'FTE 계산'!I$2)) - (SUMIFS(monthly_work_hours!$J:$J,monthly_work_hours!$A:$A,'FTE 계산'!$A49,monthly_work_hours!$F:$F,'FTE 계산'!I$2))</f>
        <v>17</v>
      </c>
      <c r="J49">
        <f>(SUMIFS(monthly_work_hours!$G:$G,monthly_work_hours!$A:$A,'FTE 계산'!$A49,monthly_work_hours!$F:$F,'FTE 계산'!J$2)) - (SUMIFS(monthly_work_hours!$J:$J,monthly_work_hours!$A:$A,'FTE 계산'!$A49,monthly_work_hours!$F:$F,'FTE 계산'!J$2))</f>
        <v>14</v>
      </c>
      <c r="N49" t="str">
        <v>ME사업팀</v>
      </c>
      <c r="O49">
        <f t="shared" si="13"/>
        <v>1409.7</v>
      </c>
      <c r="P49">
        <f t="shared" si="47"/>
        <v>356.2</v>
      </c>
      <c r="Q49">
        <f t="shared" si="47"/>
        <v>676.59999999999991</v>
      </c>
      <c r="R49">
        <f t="shared" si="47"/>
        <v>376.9</v>
      </c>
      <c r="S49">
        <f t="shared" si="15"/>
        <v>17.875</v>
      </c>
      <c r="T49">
        <f t="shared" si="16"/>
        <v>18.5</v>
      </c>
      <c r="U49">
        <f t="shared" si="17"/>
        <v>17.5</v>
      </c>
      <c r="V49">
        <f t="shared" si="18"/>
        <v>18</v>
      </c>
      <c r="W49">
        <f t="shared" si="19"/>
        <v>9.8580419580419587</v>
      </c>
      <c r="X49">
        <f t="shared" si="20"/>
        <v>2.4067567567567565</v>
      </c>
      <c r="Y49">
        <f t="shared" si="21"/>
        <v>4.8328571428571419</v>
      </c>
      <c r="Z49">
        <f t="shared" si="22"/>
        <v>2.6173611111111108</v>
      </c>
      <c r="AA49">
        <f t="shared" si="23"/>
        <v>1423.6</v>
      </c>
      <c r="AB49">
        <f t="shared" si="24"/>
        <v>363.29999999999995</v>
      </c>
      <c r="AC49">
        <f t="shared" si="25"/>
        <v>684.8</v>
      </c>
      <c r="AD49">
        <f t="shared" si="26"/>
        <v>375.5</v>
      </c>
      <c r="AE49">
        <f t="shared" si="27"/>
        <v>18.375</v>
      </c>
      <c r="AF49">
        <f t="shared" si="28"/>
        <v>17.5</v>
      </c>
      <c r="AG49">
        <f t="shared" si="29"/>
        <v>18.75</v>
      </c>
      <c r="AH49">
        <f t="shared" si="30"/>
        <v>18.5</v>
      </c>
      <c r="AI49">
        <f t="shared" si="31"/>
        <v>9.6843537414965972</v>
      </c>
      <c r="AJ49">
        <f t="shared" si="32"/>
        <v>2.5949999999999998</v>
      </c>
      <c r="AK49">
        <f t="shared" si="33"/>
        <v>4.5653333333333332</v>
      </c>
      <c r="AL49">
        <f t="shared" si="34"/>
        <v>2.5371621621621623</v>
      </c>
      <c r="AM49">
        <f t="shared" si="35"/>
        <v>1134.0999999999999</v>
      </c>
      <c r="AN49">
        <f t="shared" si="36"/>
        <v>325.10000000000002</v>
      </c>
      <c r="AO49">
        <f t="shared" si="37"/>
        <v>526.29999999999995</v>
      </c>
      <c r="AP49">
        <f t="shared" si="38"/>
        <v>282.70000000000005</v>
      </c>
      <c r="AQ49">
        <f t="shared" si="39"/>
        <v>15.375</v>
      </c>
      <c r="AR49">
        <f t="shared" si="40"/>
        <v>16.5</v>
      </c>
      <c r="AS49">
        <f t="shared" si="41"/>
        <v>14.75</v>
      </c>
      <c r="AT49">
        <f t="shared" si="42"/>
        <v>15.5</v>
      </c>
      <c r="AU49">
        <f t="shared" si="43"/>
        <v>9.2203252032520311</v>
      </c>
      <c r="AV49">
        <f t="shared" si="44"/>
        <v>2.4628787878787879</v>
      </c>
      <c r="AW49">
        <f t="shared" si="45"/>
        <v>4.4601694915254235</v>
      </c>
      <c r="AX49">
        <f t="shared" si="46"/>
        <v>2.2798387096774198</v>
      </c>
    </row>
    <row r="50" spans="1:50">
      <c r="A50">
        <v>1211032</v>
      </c>
      <c r="B50" t="str">
        <f>_xlfn.XLOOKUP(A50,monthly_work_hours!A:A,monthly_work_hours!B:B)</f>
        <v>박민규</v>
      </c>
      <c r="C50" t="str">
        <f>_xlfn.XLOOKUP(A50,monthly_work_hours!A:A,monthly_work_hours!C:C)</f>
        <v>FL품질보증팀</v>
      </c>
      <c r="D50" t="str">
        <f>_xlfn.XLOOKUP(A50,monthly_work_hours!A:A,monthly_work_hours!D:D)</f>
        <v>책임</v>
      </c>
      <c r="E50">
        <f>SUMIFS(monthly_work_hours!$K:$K,monthly_work_hours!$A:$A,'FTE 계산'!$A50,monthly_work_hours!$F:$F,'FTE 계산'!E$2)</f>
        <v>178.4</v>
      </c>
      <c r="F50">
        <f>SUMIFS(monthly_work_hours!$K:$K,monthly_work_hours!$A:$A,'FTE 계산'!$A50,monthly_work_hours!$F:$F,'FTE 계산'!F$2)</f>
        <v>22.6</v>
      </c>
      <c r="G50">
        <f>SUMIFS(monthly_work_hours!$K:$K,monthly_work_hours!$A:$A,'FTE 계산'!$A50,monthly_work_hours!$F:$F,'FTE 계산'!G$2)</f>
        <v>0</v>
      </c>
      <c r="H50">
        <f>(SUMIFS(monthly_work_hours!$G:$G,monthly_work_hours!$A:$A,'FTE 계산'!$A50,monthly_work_hours!$F:$F,'FTE 계산'!H$2)) - (SUMIFS(monthly_work_hours!$J:$J,monthly_work_hours!$A:$A,'FTE 계산'!$A50,monthly_work_hours!$F:$F,'FTE 계산'!H$2))</f>
        <v>18</v>
      </c>
      <c r="I50">
        <f>(SUMIFS(monthly_work_hours!$G:$G,monthly_work_hours!$A:$A,'FTE 계산'!$A50,monthly_work_hours!$F:$F,'FTE 계산'!I$2)) - (SUMIFS(monthly_work_hours!$J:$J,monthly_work_hours!$A:$A,'FTE 계산'!$A50,monthly_work_hours!$F:$F,'FTE 계산'!I$2))</f>
        <v>3</v>
      </c>
      <c r="J50">
        <f>(SUMIFS(monthly_work_hours!$G:$G,monthly_work_hours!$A:$A,'FTE 계산'!$A50,monthly_work_hours!$F:$F,'FTE 계산'!J$2)) - (SUMIFS(monthly_work_hours!$J:$J,monthly_work_hours!$A:$A,'FTE 계산'!$A50,monthly_work_hours!$F:$F,'FTE 계산'!J$2))</f>
        <v>0</v>
      </c>
      <c r="N50" t="str">
        <v>Trans사업팀</v>
      </c>
      <c r="O50">
        <f t="shared" si="13"/>
        <v>962.6</v>
      </c>
      <c r="P50">
        <f t="shared" si="47"/>
        <v>313.89999999999998</v>
      </c>
      <c r="Q50">
        <f t="shared" si="47"/>
        <v>297.5</v>
      </c>
      <c r="R50">
        <f t="shared" si="47"/>
        <v>351.2</v>
      </c>
      <c r="S50">
        <f t="shared" si="15"/>
        <v>17</v>
      </c>
      <c r="T50">
        <f t="shared" si="16"/>
        <v>16</v>
      </c>
      <c r="U50">
        <f t="shared" si="17"/>
        <v>16.5</v>
      </c>
      <c r="V50">
        <f t="shared" si="18"/>
        <v>18.5</v>
      </c>
      <c r="W50">
        <f t="shared" si="19"/>
        <v>7.0779411764705884</v>
      </c>
      <c r="X50">
        <f t="shared" si="20"/>
        <v>2.4523437499999998</v>
      </c>
      <c r="Y50">
        <f t="shared" si="21"/>
        <v>2.2537878787878789</v>
      </c>
      <c r="Z50">
        <f t="shared" si="22"/>
        <v>2.3729729729729727</v>
      </c>
      <c r="AA50">
        <f t="shared" si="23"/>
        <v>1148.0999999999999</v>
      </c>
      <c r="AB50">
        <f t="shared" si="24"/>
        <v>396.79999999999995</v>
      </c>
      <c r="AC50">
        <f t="shared" si="25"/>
        <v>336.1</v>
      </c>
      <c r="AD50">
        <f t="shared" si="26"/>
        <v>415.2</v>
      </c>
      <c r="AE50">
        <f t="shared" si="27"/>
        <v>20.5</v>
      </c>
      <c r="AF50">
        <f t="shared" si="28"/>
        <v>21</v>
      </c>
      <c r="AG50">
        <f t="shared" si="29"/>
        <v>18.5</v>
      </c>
      <c r="AH50">
        <f t="shared" si="30"/>
        <v>22</v>
      </c>
      <c r="AI50">
        <f t="shared" si="31"/>
        <v>7.0006097560975604</v>
      </c>
      <c r="AJ50">
        <f t="shared" si="32"/>
        <v>2.3619047619047615</v>
      </c>
      <c r="AK50">
        <f t="shared" si="33"/>
        <v>2.2709459459459462</v>
      </c>
      <c r="AL50">
        <f t="shared" si="34"/>
        <v>2.3590909090909089</v>
      </c>
      <c r="AM50">
        <f t="shared" si="35"/>
        <v>682.5</v>
      </c>
      <c r="AN50">
        <f t="shared" si="36"/>
        <v>262.39999999999998</v>
      </c>
      <c r="AO50">
        <f t="shared" si="37"/>
        <v>222.1</v>
      </c>
      <c r="AP50">
        <f t="shared" si="38"/>
        <v>198</v>
      </c>
      <c r="AQ50">
        <f t="shared" si="39"/>
        <v>13.666666666666666</v>
      </c>
      <c r="AR50">
        <f t="shared" si="40"/>
        <v>14</v>
      </c>
      <c r="AS50">
        <f t="shared" si="41"/>
        <v>13.5</v>
      </c>
      <c r="AT50">
        <f t="shared" si="42"/>
        <v>13.5</v>
      </c>
      <c r="AU50">
        <f t="shared" si="43"/>
        <v>6.2423780487804876</v>
      </c>
      <c r="AV50">
        <f t="shared" si="44"/>
        <v>2.3428571428571425</v>
      </c>
      <c r="AW50">
        <f t="shared" si="45"/>
        <v>2.0564814814814816</v>
      </c>
      <c r="AX50">
        <f t="shared" si="46"/>
        <v>1.8333333333333333</v>
      </c>
    </row>
    <row r="51" spans="1:50">
      <c r="A51">
        <v>1211076</v>
      </c>
      <c r="B51" t="str">
        <f>_xlfn.XLOOKUP(A51,monthly_work_hours!A:A,monthly_work_hours!B:B)</f>
        <v>김지훈</v>
      </c>
      <c r="C51" t="str">
        <f>_xlfn.XLOOKUP(A51,monthly_work_hours!A:A,monthly_work_hours!C:C)</f>
        <v>열관리사업팀</v>
      </c>
      <c r="D51" t="str">
        <f>_xlfn.XLOOKUP(A51,monthly_work_hours!A:A,monthly_work_hours!D:D)</f>
        <v>책임</v>
      </c>
      <c r="E51">
        <f>SUMIFS(monthly_work_hours!$K:$K,monthly_work_hours!$A:$A,'FTE 계산'!$A51,monthly_work_hours!$F:$F,'FTE 계산'!E$2)</f>
        <v>189</v>
      </c>
      <c r="F51">
        <f>SUMIFS(monthly_work_hours!$K:$K,monthly_work_hours!$A:$A,'FTE 계산'!$A51,monthly_work_hours!$F:$F,'FTE 계산'!F$2)</f>
        <v>164.2</v>
      </c>
      <c r="G51">
        <f>SUMIFS(monthly_work_hours!$K:$K,monthly_work_hours!$A:$A,'FTE 계산'!$A51,monthly_work_hours!$F:$F,'FTE 계산'!G$2)</f>
        <v>150.30000000000001</v>
      </c>
      <c r="H51">
        <f>(SUMIFS(monthly_work_hours!$G:$G,monthly_work_hours!$A:$A,'FTE 계산'!$A51,monthly_work_hours!$F:$F,'FTE 계산'!H$2)) - (SUMIFS(monthly_work_hours!$J:$J,monthly_work_hours!$A:$A,'FTE 계산'!$A51,monthly_work_hours!$F:$F,'FTE 계산'!H$2))</f>
        <v>17</v>
      </c>
      <c r="I51">
        <f>(SUMIFS(monthly_work_hours!$G:$G,monthly_work_hours!$A:$A,'FTE 계산'!$A51,monthly_work_hours!$F:$F,'FTE 계산'!I$2)) - (SUMIFS(monthly_work_hours!$J:$J,monthly_work_hours!$A:$A,'FTE 계산'!$A51,monthly_work_hours!$F:$F,'FTE 계산'!I$2))</f>
        <v>20</v>
      </c>
      <c r="J51">
        <f>(SUMIFS(monthly_work_hours!$G:$G,monthly_work_hours!$A:$A,'FTE 계산'!$A51,monthly_work_hours!$F:$F,'FTE 계산'!J$2)) - (SUMIFS(monthly_work_hours!$J:$J,monthly_work_hours!$A:$A,'FTE 계산'!$A51,monthly_work_hours!$F:$F,'FTE 계산'!J$2))</f>
        <v>16</v>
      </c>
      <c r="N51" t="str">
        <v>IFS사업팀</v>
      </c>
      <c r="O51">
        <f t="shared" si="13"/>
        <v>1247.9000000000001</v>
      </c>
      <c r="P51">
        <f t="shared" si="47"/>
        <v>299.2</v>
      </c>
      <c r="Q51">
        <f t="shared" si="47"/>
        <v>317.79999999999995</v>
      </c>
      <c r="R51">
        <f t="shared" si="47"/>
        <v>630.9</v>
      </c>
      <c r="S51">
        <f t="shared" si="15"/>
        <v>16.625</v>
      </c>
      <c r="T51">
        <f t="shared" si="16"/>
        <v>15.5</v>
      </c>
      <c r="U51">
        <f t="shared" si="17"/>
        <v>17.5</v>
      </c>
      <c r="V51">
        <f t="shared" si="18"/>
        <v>16.75</v>
      </c>
      <c r="W51">
        <f t="shared" si="19"/>
        <v>9.3827067669172948</v>
      </c>
      <c r="X51">
        <f t="shared" si="20"/>
        <v>2.4129032258064513</v>
      </c>
      <c r="Y51">
        <f t="shared" si="21"/>
        <v>2.2699999999999996</v>
      </c>
      <c r="Z51">
        <f t="shared" si="22"/>
        <v>4.7082089552238804</v>
      </c>
      <c r="AA51">
        <f t="shared" si="23"/>
        <v>1509.4</v>
      </c>
      <c r="AB51">
        <f t="shared" si="24"/>
        <v>351.3</v>
      </c>
      <c r="AC51">
        <f t="shared" si="25"/>
        <v>410.6</v>
      </c>
      <c r="AD51">
        <f t="shared" si="26"/>
        <v>747.5</v>
      </c>
      <c r="AE51">
        <f t="shared" si="27"/>
        <v>20.875</v>
      </c>
      <c r="AF51">
        <f t="shared" si="28"/>
        <v>19.5</v>
      </c>
      <c r="AG51">
        <f t="shared" si="29"/>
        <v>22</v>
      </c>
      <c r="AH51">
        <f t="shared" si="30"/>
        <v>21</v>
      </c>
      <c r="AI51">
        <f t="shared" si="31"/>
        <v>9.0383233532934142</v>
      </c>
      <c r="AJ51">
        <f t="shared" si="32"/>
        <v>2.2519230769230769</v>
      </c>
      <c r="AK51">
        <f t="shared" si="33"/>
        <v>2.3329545454545455</v>
      </c>
      <c r="AL51">
        <f t="shared" si="34"/>
        <v>4.4494047619047619</v>
      </c>
      <c r="AM51">
        <f t="shared" si="35"/>
        <v>1126.4000000000001</v>
      </c>
      <c r="AN51">
        <f t="shared" si="36"/>
        <v>294.8</v>
      </c>
      <c r="AO51">
        <f t="shared" si="37"/>
        <v>265.7</v>
      </c>
      <c r="AP51">
        <f t="shared" si="38"/>
        <v>565.9</v>
      </c>
      <c r="AQ51">
        <f t="shared" si="39"/>
        <v>16.375</v>
      </c>
      <c r="AR51">
        <f t="shared" si="40"/>
        <v>16.5</v>
      </c>
      <c r="AS51">
        <f t="shared" si="41"/>
        <v>16</v>
      </c>
      <c r="AT51">
        <f t="shared" si="42"/>
        <v>16.5</v>
      </c>
      <c r="AU51">
        <f t="shared" si="43"/>
        <v>8.5984732824427486</v>
      </c>
      <c r="AV51">
        <f t="shared" si="44"/>
        <v>2.2333333333333334</v>
      </c>
      <c r="AW51">
        <f t="shared" si="45"/>
        <v>2.0757812499999999</v>
      </c>
      <c r="AX51">
        <f t="shared" si="46"/>
        <v>4.2871212121212121</v>
      </c>
    </row>
    <row r="52" spans="1:50">
      <c r="A52">
        <v>1211110</v>
      </c>
      <c r="B52" t="str">
        <f>_xlfn.XLOOKUP(A52,monthly_work_hours!A:A,monthly_work_hours!B:B)</f>
        <v>이종원</v>
      </c>
      <c r="C52" t="str">
        <f>_xlfn.XLOOKUP(A52,monthly_work_hours!A:A,monthly_work_hours!C:C)</f>
        <v>SCM팀</v>
      </c>
      <c r="D52" t="str">
        <f>_xlfn.XLOOKUP(A52,monthly_work_hours!A:A,monthly_work_hours!D:D)</f>
        <v>선임</v>
      </c>
      <c r="E52">
        <f>SUMIFS(monthly_work_hours!$K:$K,monthly_work_hours!$A:$A,'FTE 계산'!$A52,monthly_work_hours!$F:$F,'FTE 계산'!E$2)</f>
        <v>121.8</v>
      </c>
      <c r="F52">
        <f>SUMIFS(monthly_work_hours!$K:$K,monthly_work_hours!$A:$A,'FTE 계산'!$A52,monthly_work_hours!$F:$F,'FTE 계산'!F$2)</f>
        <v>16.100000000000001</v>
      </c>
      <c r="G52">
        <f>SUMIFS(monthly_work_hours!$K:$K,monthly_work_hours!$A:$A,'FTE 계산'!$A52,monthly_work_hours!$F:$F,'FTE 계산'!G$2)</f>
        <v>0</v>
      </c>
      <c r="H52">
        <f>(SUMIFS(monthly_work_hours!$G:$G,monthly_work_hours!$A:$A,'FTE 계산'!$A52,monthly_work_hours!$F:$F,'FTE 계산'!H$2)) - (SUMIFS(monthly_work_hours!$J:$J,monthly_work_hours!$A:$A,'FTE 계산'!$A52,monthly_work_hours!$F:$F,'FTE 계산'!H$2))</f>
        <v>11</v>
      </c>
      <c r="I52">
        <f>(SUMIFS(monthly_work_hours!$G:$G,monthly_work_hours!$A:$A,'FTE 계산'!$A52,monthly_work_hours!$F:$F,'FTE 계산'!I$2)) - (SUMIFS(monthly_work_hours!$J:$J,monthly_work_hours!$A:$A,'FTE 계산'!$A52,monthly_work_hours!$F:$F,'FTE 계산'!I$2))</f>
        <v>3</v>
      </c>
      <c r="J52">
        <f>(SUMIFS(monthly_work_hours!$G:$G,monthly_work_hours!$A:$A,'FTE 계산'!$A52,monthly_work_hours!$F:$F,'FTE 계산'!J$2)) - (SUMIFS(monthly_work_hours!$J:$J,monthly_work_hours!$A:$A,'FTE 계산'!$A52,monthly_work_hours!$F:$F,'FTE 계산'!J$2))</f>
        <v>0</v>
      </c>
      <c r="N52" t="str">
        <v>GS팀</v>
      </c>
      <c r="O52">
        <f t="shared" si="13"/>
        <v>1030.5</v>
      </c>
      <c r="P52">
        <f t="shared" si="47"/>
        <v>156.1</v>
      </c>
      <c r="Q52">
        <f t="shared" si="47"/>
        <v>340.1</v>
      </c>
      <c r="R52">
        <f t="shared" si="47"/>
        <v>534.29999999999995</v>
      </c>
      <c r="S52">
        <f t="shared" si="15"/>
        <v>12.75</v>
      </c>
      <c r="T52">
        <f t="shared" si="16"/>
        <v>8</v>
      </c>
      <c r="U52">
        <f t="shared" si="17"/>
        <v>16</v>
      </c>
      <c r="V52">
        <f t="shared" si="18"/>
        <v>13.5</v>
      </c>
      <c r="W52">
        <f t="shared" si="19"/>
        <v>10.102941176470589</v>
      </c>
      <c r="X52">
        <f t="shared" si="20"/>
        <v>2.4390624999999999</v>
      </c>
      <c r="Y52">
        <f t="shared" si="21"/>
        <v>2.6570312500000002</v>
      </c>
      <c r="Z52">
        <f t="shared" si="22"/>
        <v>4.947222222222222</v>
      </c>
      <c r="AA52">
        <f t="shared" si="23"/>
        <v>1252.7</v>
      </c>
      <c r="AB52">
        <f t="shared" si="24"/>
        <v>206.60000000000002</v>
      </c>
      <c r="AC52">
        <f t="shared" si="25"/>
        <v>422.6</v>
      </c>
      <c r="AD52">
        <f t="shared" si="26"/>
        <v>623.5</v>
      </c>
      <c r="AE52">
        <f t="shared" si="27"/>
        <v>15.75</v>
      </c>
      <c r="AF52">
        <f t="shared" si="28"/>
        <v>12</v>
      </c>
      <c r="AG52">
        <f t="shared" si="29"/>
        <v>21.5</v>
      </c>
      <c r="AH52">
        <f t="shared" si="30"/>
        <v>14.75</v>
      </c>
      <c r="AI52">
        <f t="shared" si="31"/>
        <v>9.9420634920634932</v>
      </c>
      <c r="AJ52">
        <f t="shared" si="32"/>
        <v>2.1520833333333336</v>
      </c>
      <c r="AK52">
        <f t="shared" si="33"/>
        <v>2.4569767441860466</v>
      </c>
      <c r="AL52">
        <f t="shared" si="34"/>
        <v>5.2838983050847457</v>
      </c>
      <c r="AM52">
        <f t="shared" si="35"/>
        <v>870.49999999999989</v>
      </c>
      <c r="AN52">
        <f t="shared" si="36"/>
        <v>138.19999999999999</v>
      </c>
      <c r="AO52">
        <f t="shared" si="37"/>
        <v>216.8</v>
      </c>
      <c r="AP52">
        <f t="shared" si="38"/>
        <v>515.5</v>
      </c>
      <c r="AQ52">
        <f t="shared" si="39"/>
        <v>12.125</v>
      </c>
      <c r="AR52">
        <f t="shared" si="40"/>
        <v>8</v>
      </c>
      <c r="AS52">
        <f t="shared" si="41"/>
        <v>12.5</v>
      </c>
      <c r="AT52">
        <f t="shared" si="42"/>
        <v>14</v>
      </c>
      <c r="AU52">
        <f t="shared" si="43"/>
        <v>8.9742268041237097</v>
      </c>
      <c r="AV52">
        <f t="shared" si="44"/>
        <v>2.1593749999999998</v>
      </c>
      <c r="AW52">
        <f t="shared" si="45"/>
        <v>2.1680000000000001</v>
      </c>
      <c r="AX52">
        <f t="shared" si="46"/>
        <v>4.6026785714285712</v>
      </c>
    </row>
    <row r="53" spans="1:50">
      <c r="A53">
        <v>1211111</v>
      </c>
      <c r="B53" t="str">
        <f>_xlfn.XLOOKUP(A53,monthly_work_hours!A:A,monthly_work_hours!B:B)</f>
        <v>이주용</v>
      </c>
      <c r="C53" t="str">
        <f>_xlfn.XLOOKUP(A53,monthly_work_hours!A:A,monthly_work_hours!C:C)</f>
        <v>품질경영팀</v>
      </c>
      <c r="D53" t="str">
        <f>_xlfn.XLOOKUP(A53,monthly_work_hours!A:A,monthly_work_hours!D:D)</f>
        <v>책임</v>
      </c>
      <c r="E53">
        <f>SUMIFS(monthly_work_hours!$K:$K,monthly_work_hours!$A:$A,'FTE 계산'!$A53,monthly_work_hours!$F:$F,'FTE 계산'!E$2)</f>
        <v>160.9</v>
      </c>
      <c r="F53">
        <f>SUMIFS(monthly_work_hours!$K:$K,monthly_work_hours!$A:$A,'FTE 계산'!$A53,monthly_work_hours!$F:$F,'FTE 계산'!F$2)</f>
        <v>164.6</v>
      </c>
      <c r="G53">
        <f>SUMIFS(monthly_work_hours!$K:$K,monthly_work_hours!$A:$A,'FTE 계산'!$A53,monthly_work_hours!$F:$F,'FTE 계산'!G$2)</f>
        <v>150.9</v>
      </c>
      <c r="H53">
        <f>(SUMIFS(monthly_work_hours!$G:$G,monthly_work_hours!$A:$A,'FTE 계산'!$A53,monthly_work_hours!$F:$F,'FTE 계산'!H$2)) - (SUMIFS(monthly_work_hours!$J:$J,monthly_work_hours!$A:$A,'FTE 계산'!$A53,monthly_work_hours!$F:$F,'FTE 계산'!H$2))</f>
        <v>17</v>
      </c>
      <c r="I53">
        <f>(SUMIFS(monthly_work_hours!$G:$G,monthly_work_hours!$A:$A,'FTE 계산'!$A53,monthly_work_hours!$F:$F,'FTE 계산'!I$2)) - (SUMIFS(monthly_work_hours!$J:$J,monthly_work_hours!$A:$A,'FTE 계산'!$A53,monthly_work_hours!$F:$F,'FTE 계산'!I$2))</f>
        <v>17</v>
      </c>
      <c r="J53">
        <f>(SUMIFS(monthly_work_hours!$G:$G,monthly_work_hours!$A:$A,'FTE 계산'!$A53,monthly_work_hours!$F:$F,'FTE 계산'!J$2)) - (SUMIFS(monthly_work_hours!$J:$J,monthly_work_hours!$A:$A,'FTE 계산'!$A53,monthly_work_hours!$F:$F,'FTE 계산'!J$2))</f>
        <v>16</v>
      </c>
      <c r="N53" t="str">
        <v>품질관리팀</v>
      </c>
      <c r="O53">
        <f t="shared" si="13"/>
        <v>919.8</v>
      </c>
      <c r="P53">
        <f t="shared" si="47"/>
        <v>198.3</v>
      </c>
      <c r="Q53">
        <f t="shared" si="47"/>
        <v>491.2</v>
      </c>
      <c r="R53">
        <f t="shared" si="47"/>
        <v>230.3</v>
      </c>
      <c r="S53">
        <f t="shared" si="15"/>
        <v>17.600000000000001</v>
      </c>
      <c r="T53">
        <f t="shared" si="16"/>
        <v>19</v>
      </c>
      <c r="U53">
        <f t="shared" si="17"/>
        <v>16.666666666666668</v>
      </c>
      <c r="V53">
        <f t="shared" si="18"/>
        <v>19</v>
      </c>
      <c r="W53">
        <f t="shared" si="19"/>
        <v>6.5326704545454533</v>
      </c>
      <c r="X53">
        <f t="shared" si="20"/>
        <v>1.3046052631578948</v>
      </c>
      <c r="Y53">
        <f t="shared" si="21"/>
        <v>3.6839999999999997</v>
      </c>
      <c r="Z53">
        <f t="shared" si="22"/>
        <v>1.5151315789473685</v>
      </c>
      <c r="AA53">
        <f t="shared" si="23"/>
        <v>978.50000000000011</v>
      </c>
      <c r="AB53">
        <f t="shared" si="24"/>
        <v>184</v>
      </c>
      <c r="AC53">
        <f t="shared" si="25"/>
        <v>574.70000000000005</v>
      </c>
      <c r="AD53">
        <f t="shared" si="26"/>
        <v>219.8</v>
      </c>
      <c r="AE53">
        <f t="shared" si="27"/>
        <v>18.8</v>
      </c>
      <c r="AF53">
        <f t="shared" si="28"/>
        <v>18</v>
      </c>
      <c r="AG53">
        <f t="shared" si="29"/>
        <v>19</v>
      </c>
      <c r="AH53">
        <f t="shared" si="30"/>
        <v>19</v>
      </c>
      <c r="AI53">
        <f t="shared" si="31"/>
        <v>6.5059840425531918</v>
      </c>
      <c r="AJ53">
        <f t="shared" si="32"/>
        <v>1.2777777777777777</v>
      </c>
      <c r="AK53">
        <f t="shared" si="33"/>
        <v>3.7809210526315793</v>
      </c>
      <c r="AL53">
        <f t="shared" si="34"/>
        <v>1.4460526315789475</v>
      </c>
      <c r="AM53">
        <f t="shared" si="35"/>
        <v>756</v>
      </c>
      <c r="AN53">
        <f t="shared" si="36"/>
        <v>159.5</v>
      </c>
      <c r="AO53">
        <f t="shared" si="37"/>
        <v>414.5</v>
      </c>
      <c r="AP53">
        <f t="shared" si="38"/>
        <v>182</v>
      </c>
      <c r="AQ53">
        <f t="shared" si="39"/>
        <v>16</v>
      </c>
      <c r="AR53">
        <f t="shared" si="40"/>
        <v>16</v>
      </c>
      <c r="AS53">
        <f t="shared" si="41"/>
        <v>15.666666666666666</v>
      </c>
      <c r="AT53">
        <f t="shared" si="42"/>
        <v>17</v>
      </c>
      <c r="AU53">
        <f t="shared" si="43"/>
        <v>5.90625</v>
      </c>
      <c r="AV53">
        <f t="shared" si="44"/>
        <v>1.24609375</v>
      </c>
      <c r="AW53">
        <f t="shared" si="45"/>
        <v>3.3071808510638299</v>
      </c>
      <c r="AX53">
        <f t="shared" si="46"/>
        <v>1.338235294117647</v>
      </c>
    </row>
    <row r="54" spans="1:50">
      <c r="A54">
        <v>1211134</v>
      </c>
      <c r="B54" t="str">
        <f>_xlfn.XLOOKUP(A54,monthly_work_hours!A:A,monthly_work_hours!B:B)</f>
        <v>공태욱</v>
      </c>
      <c r="C54" t="str">
        <f>_xlfn.XLOOKUP(A54,monthly_work_hours!A:A,monthly_work_hours!C:C)</f>
        <v>SCM팀</v>
      </c>
      <c r="D54" t="str">
        <f>_xlfn.XLOOKUP(A54,monthly_work_hours!A:A,monthly_work_hours!D:D)</f>
        <v>기능6급</v>
      </c>
      <c r="E54">
        <f>SUMIFS(monthly_work_hours!$K:$K,monthly_work_hours!$A:$A,'FTE 계산'!$A54,monthly_work_hours!$F:$F,'FTE 계산'!E$2)</f>
        <v>137.5</v>
      </c>
      <c r="F54">
        <f>SUMIFS(monthly_work_hours!$K:$K,monthly_work_hours!$A:$A,'FTE 계산'!$A54,monthly_work_hours!$F:$F,'FTE 계산'!F$2)</f>
        <v>133.69999999999999</v>
      </c>
      <c r="G54">
        <f>SUMIFS(monthly_work_hours!$K:$K,monthly_work_hours!$A:$A,'FTE 계산'!$A54,monthly_work_hours!$F:$F,'FTE 계산'!G$2)</f>
        <v>103.4</v>
      </c>
      <c r="H54">
        <f>(SUMIFS(monthly_work_hours!$G:$G,monthly_work_hours!$A:$A,'FTE 계산'!$A54,monthly_work_hours!$F:$F,'FTE 계산'!H$2)) - (SUMIFS(monthly_work_hours!$J:$J,monthly_work_hours!$A:$A,'FTE 계산'!$A54,monthly_work_hours!$F:$F,'FTE 계산'!H$2))</f>
        <v>21</v>
      </c>
      <c r="I54">
        <f>(SUMIFS(monthly_work_hours!$G:$G,monthly_work_hours!$A:$A,'FTE 계산'!$A54,monthly_work_hours!$F:$F,'FTE 계산'!I$2)) - (SUMIFS(monthly_work_hours!$J:$J,monthly_work_hours!$A:$A,'FTE 계산'!$A54,monthly_work_hours!$F:$F,'FTE 계산'!I$2))</f>
        <v>18</v>
      </c>
      <c r="J54">
        <f>(SUMIFS(monthly_work_hours!$G:$G,monthly_work_hours!$A:$A,'FTE 계산'!$A54,monthly_work_hours!$F:$F,'FTE 계산'!J$2)) - (SUMIFS(monthly_work_hours!$J:$J,monthly_work_hours!$A:$A,'FTE 계산'!$A54,monthly_work_hours!$F:$F,'FTE 계산'!J$2))</f>
        <v>18</v>
      </c>
      <c r="N54" t="str">
        <v>FL기술지원팀</v>
      </c>
      <c r="O54">
        <f t="shared" si="13"/>
        <v>1031.4000000000001</v>
      </c>
      <c r="P54">
        <f t="shared" si="47"/>
        <v>337.5</v>
      </c>
      <c r="Q54">
        <f t="shared" si="47"/>
        <v>0</v>
      </c>
      <c r="R54">
        <f t="shared" si="47"/>
        <v>693.9</v>
      </c>
      <c r="S54">
        <f t="shared" si="15"/>
        <v>17.833333333333332</v>
      </c>
      <c r="T54">
        <f t="shared" si="16"/>
        <v>17</v>
      </c>
      <c r="U54" t="e">
        <f t="shared" si="17"/>
        <v>#DIV/0!</v>
      </c>
      <c r="V54">
        <f t="shared" si="18"/>
        <v>18.25</v>
      </c>
      <c r="W54">
        <f t="shared" si="19"/>
        <v>7.2294392523364497</v>
      </c>
      <c r="X54">
        <f t="shared" si="20"/>
        <v>2.4816176470588234</v>
      </c>
      <c r="Y54" t="str">
        <f t="shared" si="21"/>
        <v>-</v>
      </c>
      <c r="Z54">
        <f t="shared" si="22"/>
        <v>4.7527397260273974</v>
      </c>
      <c r="AA54">
        <f t="shared" si="23"/>
        <v>944.8</v>
      </c>
      <c r="AB54">
        <f t="shared" si="24"/>
        <v>349.4</v>
      </c>
      <c r="AC54">
        <f t="shared" si="25"/>
        <v>0</v>
      </c>
      <c r="AD54">
        <f t="shared" si="26"/>
        <v>595.4</v>
      </c>
      <c r="AE54">
        <f t="shared" si="27"/>
        <v>16.833333333333332</v>
      </c>
      <c r="AF54">
        <f t="shared" si="28"/>
        <v>19</v>
      </c>
      <c r="AG54" t="e">
        <f t="shared" si="29"/>
        <v>#DIV/0!</v>
      </c>
      <c r="AH54">
        <f t="shared" si="30"/>
        <v>15.75</v>
      </c>
      <c r="AI54">
        <f t="shared" si="31"/>
        <v>7.0158415841584159</v>
      </c>
      <c r="AJ54">
        <f t="shared" si="32"/>
        <v>2.2986842105263157</v>
      </c>
      <c r="AK54" t="str">
        <f t="shared" si="33"/>
        <v>-</v>
      </c>
      <c r="AL54">
        <f t="shared" si="34"/>
        <v>4.7253968253968255</v>
      </c>
      <c r="AM54">
        <f t="shared" si="35"/>
        <v>771.7</v>
      </c>
      <c r="AN54">
        <f t="shared" si="36"/>
        <v>271.8</v>
      </c>
      <c r="AO54">
        <f t="shared" si="37"/>
        <v>0</v>
      </c>
      <c r="AP54">
        <f t="shared" si="38"/>
        <v>499.90000000000009</v>
      </c>
      <c r="AQ54">
        <f t="shared" si="39"/>
        <v>14.833333333333334</v>
      </c>
      <c r="AR54">
        <f t="shared" si="40"/>
        <v>15</v>
      </c>
      <c r="AS54" t="e">
        <f t="shared" si="41"/>
        <v>#DIV/0!</v>
      </c>
      <c r="AT54">
        <f t="shared" si="42"/>
        <v>14.75</v>
      </c>
      <c r="AU54">
        <f t="shared" si="43"/>
        <v>6.5030898876404493</v>
      </c>
      <c r="AV54">
        <f t="shared" si="44"/>
        <v>2.2650000000000001</v>
      </c>
      <c r="AW54" t="str">
        <f t="shared" si="45"/>
        <v>-</v>
      </c>
      <c r="AX54">
        <f t="shared" si="46"/>
        <v>4.2364406779661028</v>
      </c>
    </row>
    <row r="55" spans="1:50">
      <c r="A55">
        <v>1211151</v>
      </c>
      <c r="B55" t="str">
        <f>_xlfn.XLOOKUP(A55,monthly_work_hours!A:A,monthly_work_hours!B:B)</f>
        <v>손용현</v>
      </c>
      <c r="C55" t="str">
        <f>_xlfn.XLOOKUP(A55,monthly_work_hours!A:A,monthly_work_hours!C:C)</f>
        <v>FL품질보증팀</v>
      </c>
      <c r="D55" t="str">
        <f>_xlfn.XLOOKUP(A55,monthly_work_hours!A:A,monthly_work_hours!D:D)</f>
        <v>선임</v>
      </c>
      <c r="E55">
        <f>SUMIFS(monthly_work_hours!$K:$K,monthly_work_hours!$A:$A,'FTE 계산'!$A55,monthly_work_hours!$F:$F,'FTE 계산'!E$2)</f>
        <v>172.6</v>
      </c>
      <c r="F55">
        <f>SUMIFS(monthly_work_hours!$K:$K,monthly_work_hours!$A:$A,'FTE 계산'!$A55,monthly_work_hours!$F:$F,'FTE 계산'!F$2)</f>
        <v>170.2</v>
      </c>
      <c r="G55">
        <f>SUMIFS(monthly_work_hours!$K:$K,monthly_work_hours!$A:$A,'FTE 계산'!$A55,monthly_work_hours!$F:$F,'FTE 계산'!G$2)</f>
        <v>122.1</v>
      </c>
      <c r="H55">
        <f>(SUMIFS(monthly_work_hours!$G:$G,monthly_work_hours!$A:$A,'FTE 계산'!$A55,monthly_work_hours!$F:$F,'FTE 계산'!H$2)) - (SUMIFS(monthly_work_hours!$J:$J,monthly_work_hours!$A:$A,'FTE 계산'!$A55,monthly_work_hours!$F:$F,'FTE 계산'!H$2))</f>
        <v>19</v>
      </c>
      <c r="I55">
        <f>(SUMIFS(monthly_work_hours!$G:$G,monthly_work_hours!$A:$A,'FTE 계산'!$A55,monthly_work_hours!$F:$F,'FTE 계산'!I$2)) - (SUMIFS(monthly_work_hours!$J:$J,monthly_work_hours!$A:$A,'FTE 계산'!$A55,monthly_work_hours!$F:$F,'FTE 계산'!I$2))</f>
        <v>18</v>
      </c>
      <c r="J55">
        <f>(SUMIFS(monthly_work_hours!$G:$G,monthly_work_hours!$A:$A,'FTE 계산'!$A55,monthly_work_hours!$F:$F,'FTE 계산'!J$2)) - (SUMIFS(monthly_work_hours!$J:$J,monthly_work_hours!$A:$A,'FTE 계산'!$A55,monthly_work_hours!$F:$F,'FTE 계산'!J$2))</f>
        <v>14</v>
      </c>
      <c r="N55" t="str">
        <v>BI지원팀</v>
      </c>
      <c r="O55">
        <f t="shared" si="13"/>
        <v>346.9</v>
      </c>
      <c r="P55">
        <f t="shared" si="47"/>
        <v>0</v>
      </c>
      <c r="Q55">
        <f t="shared" si="47"/>
        <v>176.6</v>
      </c>
      <c r="R55">
        <f t="shared" si="47"/>
        <v>170.3</v>
      </c>
      <c r="S55">
        <f t="shared" si="15"/>
        <v>17.5</v>
      </c>
      <c r="T55" t="e">
        <f t="shared" si="16"/>
        <v>#DIV/0!</v>
      </c>
      <c r="U55">
        <f t="shared" si="17"/>
        <v>17</v>
      </c>
      <c r="V55">
        <f t="shared" si="18"/>
        <v>18</v>
      </c>
      <c r="W55">
        <f t="shared" si="19"/>
        <v>2.4778571428571428</v>
      </c>
      <c r="X55" t="str">
        <f t="shared" si="20"/>
        <v>-</v>
      </c>
      <c r="Y55">
        <f t="shared" si="21"/>
        <v>1.2985294117647059</v>
      </c>
      <c r="Z55">
        <f t="shared" si="22"/>
        <v>1.182638888888889</v>
      </c>
      <c r="AA55">
        <f t="shared" si="23"/>
        <v>357</v>
      </c>
      <c r="AB55">
        <f t="shared" si="24"/>
        <v>0</v>
      </c>
      <c r="AC55">
        <f t="shared" si="25"/>
        <v>190.2</v>
      </c>
      <c r="AD55">
        <f t="shared" si="26"/>
        <v>166.8</v>
      </c>
      <c r="AE55">
        <f t="shared" si="27"/>
        <v>18.5</v>
      </c>
      <c r="AF55" t="e">
        <f t="shared" si="28"/>
        <v>#DIV/0!</v>
      </c>
      <c r="AG55">
        <f t="shared" si="29"/>
        <v>19</v>
      </c>
      <c r="AH55">
        <f t="shared" si="30"/>
        <v>18</v>
      </c>
      <c r="AI55">
        <f t="shared" si="31"/>
        <v>2.4121621621621623</v>
      </c>
      <c r="AJ55" t="str">
        <f t="shared" si="32"/>
        <v>-</v>
      </c>
      <c r="AK55">
        <f t="shared" si="33"/>
        <v>1.2513157894736842</v>
      </c>
      <c r="AL55">
        <f t="shared" si="34"/>
        <v>1.1583333333333334</v>
      </c>
      <c r="AM55">
        <f t="shared" si="35"/>
        <v>311.3</v>
      </c>
      <c r="AN55">
        <f t="shared" si="36"/>
        <v>0</v>
      </c>
      <c r="AO55">
        <f t="shared" si="37"/>
        <v>167.9</v>
      </c>
      <c r="AP55">
        <f t="shared" si="38"/>
        <v>143.4</v>
      </c>
      <c r="AQ55">
        <f t="shared" si="39"/>
        <v>16</v>
      </c>
      <c r="AR55" t="e">
        <f t="shared" si="40"/>
        <v>#DIV/0!</v>
      </c>
      <c r="AS55">
        <f t="shared" si="41"/>
        <v>16</v>
      </c>
      <c r="AT55">
        <f t="shared" si="42"/>
        <v>16</v>
      </c>
      <c r="AU55">
        <f t="shared" si="43"/>
        <v>2.4320312500000001</v>
      </c>
      <c r="AV55" t="str">
        <f t="shared" si="44"/>
        <v>-</v>
      </c>
      <c r="AW55">
        <f t="shared" si="45"/>
        <v>1.31171875</v>
      </c>
      <c r="AX55">
        <f t="shared" si="46"/>
        <v>1.1203125</v>
      </c>
    </row>
    <row r="56" spans="1:50">
      <c r="A56">
        <v>1211208</v>
      </c>
      <c r="B56" t="str">
        <f>_xlfn.XLOOKUP(A56,monthly_work_hours!A:A,monthly_work_hours!B:B)</f>
        <v>김윤규</v>
      </c>
      <c r="C56" t="str">
        <f>_xlfn.XLOOKUP(A56,monthly_work_hours!A:A,monthly_work_hours!C:C)</f>
        <v>열관리설계팀</v>
      </c>
      <c r="D56" t="str">
        <f>_xlfn.XLOOKUP(A56,monthly_work_hours!A:A,monthly_work_hours!D:D)</f>
        <v>책임</v>
      </c>
      <c r="E56">
        <f>SUMIFS(monthly_work_hours!$K:$K,monthly_work_hours!$A:$A,'FTE 계산'!$A56,monthly_work_hours!$F:$F,'FTE 계산'!E$2)</f>
        <v>657.6</v>
      </c>
      <c r="F56">
        <f>SUMIFS(monthly_work_hours!$K:$K,monthly_work_hours!$A:$A,'FTE 계산'!$A56,monthly_work_hours!$F:$F,'FTE 계산'!F$2)</f>
        <v>707.4</v>
      </c>
      <c r="G56">
        <f>SUMIFS(monthly_work_hours!$K:$K,monthly_work_hours!$A:$A,'FTE 계산'!$A56,monthly_work_hours!$F:$F,'FTE 계산'!G$2)</f>
        <v>341.6</v>
      </c>
      <c r="H56">
        <f>(SUMIFS(monthly_work_hours!$G:$G,monthly_work_hours!$A:$A,'FTE 계산'!$A56,monthly_work_hours!$F:$F,'FTE 계산'!H$2)) - (SUMIFS(monthly_work_hours!$J:$J,monthly_work_hours!$A:$A,'FTE 계산'!$A56,monthly_work_hours!$F:$F,'FTE 계산'!H$2))</f>
        <v>21</v>
      </c>
      <c r="I56">
        <f>(SUMIFS(monthly_work_hours!$G:$G,monthly_work_hours!$A:$A,'FTE 계산'!$A56,monthly_work_hours!$F:$F,'FTE 계산'!I$2)) - (SUMIFS(monthly_work_hours!$J:$J,monthly_work_hours!$A:$A,'FTE 계산'!$A56,monthly_work_hours!$F:$F,'FTE 계산'!I$2))</f>
        <v>22</v>
      </c>
      <c r="J56">
        <f>(SUMIFS(monthly_work_hours!$G:$G,monthly_work_hours!$A:$A,'FTE 계산'!$A56,monthly_work_hours!$F:$F,'FTE 계산'!J$2)) - (SUMIFS(monthly_work_hours!$J:$J,monthly_work_hours!$A:$A,'FTE 계산'!$A56,monthly_work_hours!$F:$F,'FTE 계산'!J$2))</f>
        <v>15</v>
      </c>
      <c r="N56" t="str">
        <v>정보상황실</v>
      </c>
      <c r="O56">
        <f t="shared" si="13"/>
        <v>878.5</v>
      </c>
      <c r="P56">
        <f t="shared" si="47"/>
        <v>544.20000000000005</v>
      </c>
      <c r="Q56">
        <f t="shared" si="47"/>
        <v>172.3</v>
      </c>
      <c r="R56">
        <f t="shared" si="47"/>
        <v>162</v>
      </c>
      <c r="S56">
        <f t="shared" si="15"/>
        <v>17.399999999999999</v>
      </c>
      <c r="T56">
        <f t="shared" si="16"/>
        <v>16.666666666666668</v>
      </c>
      <c r="U56">
        <f t="shared" si="17"/>
        <v>18</v>
      </c>
      <c r="V56">
        <f t="shared" si="18"/>
        <v>19</v>
      </c>
      <c r="W56">
        <f t="shared" si="19"/>
        <v>6.3110632183908049</v>
      </c>
      <c r="X56">
        <f t="shared" si="20"/>
        <v>4.0815000000000001</v>
      </c>
      <c r="Y56">
        <f t="shared" si="21"/>
        <v>1.1965277777777779</v>
      </c>
      <c r="Z56">
        <f t="shared" si="22"/>
        <v>1.0657894736842106</v>
      </c>
      <c r="AA56">
        <f t="shared" si="23"/>
        <v>912.30000000000007</v>
      </c>
      <c r="AB56">
        <f t="shared" si="24"/>
        <v>582.70000000000005</v>
      </c>
      <c r="AC56">
        <f t="shared" si="25"/>
        <v>175.5</v>
      </c>
      <c r="AD56">
        <f t="shared" si="26"/>
        <v>154.1</v>
      </c>
      <c r="AE56">
        <f t="shared" si="27"/>
        <v>18.2</v>
      </c>
      <c r="AF56">
        <f t="shared" si="28"/>
        <v>18.666666666666668</v>
      </c>
      <c r="AG56">
        <f t="shared" si="29"/>
        <v>18</v>
      </c>
      <c r="AH56">
        <f t="shared" si="30"/>
        <v>17</v>
      </c>
      <c r="AI56">
        <f t="shared" si="31"/>
        <v>6.2657967032967044</v>
      </c>
      <c r="AJ56">
        <f t="shared" si="32"/>
        <v>3.9020089285714286</v>
      </c>
      <c r="AK56">
        <f t="shared" si="33"/>
        <v>1.21875</v>
      </c>
      <c r="AL56">
        <f t="shared" si="34"/>
        <v>1.1330882352941176</v>
      </c>
      <c r="AM56">
        <f t="shared" si="35"/>
        <v>777.9</v>
      </c>
      <c r="AN56">
        <f t="shared" si="36"/>
        <v>486</v>
      </c>
      <c r="AO56">
        <f t="shared" si="37"/>
        <v>135.9</v>
      </c>
      <c r="AP56">
        <f t="shared" si="38"/>
        <v>156</v>
      </c>
      <c r="AQ56">
        <f t="shared" si="39"/>
        <v>15.2</v>
      </c>
      <c r="AR56">
        <f t="shared" si="40"/>
        <v>15</v>
      </c>
      <c r="AS56">
        <f t="shared" si="41"/>
        <v>15</v>
      </c>
      <c r="AT56">
        <f t="shared" si="42"/>
        <v>16</v>
      </c>
      <c r="AU56">
        <f t="shared" si="43"/>
        <v>6.3972039473684212</v>
      </c>
      <c r="AV56">
        <f t="shared" si="44"/>
        <v>4.05</v>
      </c>
      <c r="AW56">
        <f t="shared" si="45"/>
        <v>1.1325000000000001</v>
      </c>
      <c r="AX56">
        <f t="shared" si="46"/>
        <v>1.21875</v>
      </c>
    </row>
    <row r="57" spans="1:50">
      <c r="A57">
        <v>1211209</v>
      </c>
      <c r="B57" t="str">
        <f>_xlfn.XLOOKUP(A57,monthly_work_hours!A:A,monthly_work_hours!B:B)</f>
        <v>정혜원</v>
      </c>
      <c r="C57" t="str">
        <f>_xlfn.XLOOKUP(A57,monthly_work_hours!A:A,monthly_work_hours!C:C)</f>
        <v>SL생산팀</v>
      </c>
      <c r="D57" t="str">
        <f>_xlfn.XLOOKUP(A57,monthly_work_hours!A:A,monthly_work_hours!D:D)</f>
        <v>책임</v>
      </c>
      <c r="E57">
        <f>SUMIFS(monthly_work_hours!$K:$K,monthly_work_hours!$A:$A,'FTE 계산'!$A57,monthly_work_hours!$F:$F,'FTE 계산'!E$2)</f>
        <v>9.3000000000000007</v>
      </c>
      <c r="F57">
        <f>SUMIFS(monthly_work_hours!$K:$K,monthly_work_hours!$A:$A,'FTE 계산'!$A57,monthly_work_hours!$F:$F,'FTE 계산'!F$2)</f>
        <v>50.6</v>
      </c>
      <c r="G57">
        <f>SUMIFS(monthly_work_hours!$K:$K,monthly_work_hours!$A:$A,'FTE 계산'!$A57,monthly_work_hours!$F:$F,'FTE 계산'!G$2)</f>
        <v>89.2</v>
      </c>
      <c r="H57">
        <f>(SUMIFS(monthly_work_hours!$G:$G,monthly_work_hours!$A:$A,'FTE 계산'!$A57,monthly_work_hours!$F:$F,'FTE 계산'!H$2)) - (SUMIFS(monthly_work_hours!$J:$J,monthly_work_hours!$A:$A,'FTE 계산'!$A57,monthly_work_hours!$F:$F,'FTE 계산'!H$2))</f>
        <v>3</v>
      </c>
      <c r="I57">
        <f>(SUMIFS(monthly_work_hours!$G:$G,monthly_work_hours!$A:$A,'FTE 계산'!$A57,monthly_work_hours!$F:$F,'FTE 계산'!I$2)) - (SUMIFS(monthly_work_hours!$J:$J,monthly_work_hours!$A:$A,'FTE 계산'!$A57,monthly_work_hours!$F:$F,'FTE 계산'!I$2))</f>
        <v>8</v>
      </c>
      <c r="J57">
        <f>(SUMIFS(monthly_work_hours!$G:$G,monthly_work_hours!$A:$A,'FTE 계산'!$A57,monthly_work_hours!$F:$F,'FTE 계산'!J$2)) - (SUMIFS(monthly_work_hours!$J:$J,monthly_work_hours!$A:$A,'FTE 계산'!$A57,monthly_work_hours!$F:$F,'FTE 계산'!J$2))</f>
        <v>11</v>
      </c>
      <c r="N57" t="str">
        <v>지속가능경영2팀</v>
      </c>
      <c r="O57">
        <f t="shared" si="13"/>
        <v>167</v>
      </c>
      <c r="P57">
        <f t="shared" si="47"/>
        <v>10.6</v>
      </c>
      <c r="Q57">
        <f t="shared" si="47"/>
        <v>156.4</v>
      </c>
      <c r="R57">
        <f t="shared" si="47"/>
        <v>0</v>
      </c>
      <c r="S57">
        <f t="shared" si="15"/>
        <v>9</v>
      </c>
      <c r="T57">
        <f t="shared" si="16"/>
        <v>3</v>
      </c>
      <c r="U57">
        <f t="shared" si="17"/>
        <v>15</v>
      </c>
      <c r="V57" t="e">
        <f t="shared" si="18"/>
        <v>#DIV/0!</v>
      </c>
      <c r="W57">
        <f t="shared" si="19"/>
        <v>2.3194444444444446</v>
      </c>
      <c r="X57">
        <f t="shared" si="20"/>
        <v>0.44166666666666665</v>
      </c>
      <c r="Y57">
        <f t="shared" si="21"/>
        <v>1.3033333333333335</v>
      </c>
      <c r="Z57" t="str">
        <f t="shared" si="22"/>
        <v>-</v>
      </c>
      <c r="AA57">
        <f t="shared" si="23"/>
        <v>228.29999999999998</v>
      </c>
      <c r="AB57">
        <f t="shared" si="24"/>
        <v>19.7</v>
      </c>
      <c r="AC57">
        <f t="shared" si="25"/>
        <v>208.6</v>
      </c>
      <c r="AD57">
        <f t="shared" si="26"/>
        <v>0</v>
      </c>
      <c r="AE57">
        <f t="shared" si="27"/>
        <v>11</v>
      </c>
      <c r="AF57">
        <f t="shared" si="28"/>
        <v>3</v>
      </c>
      <c r="AG57">
        <f t="shared" si="29"/>
        <v>19</v>
      </c>
      <c r="AH57" t="e">
        <f t="shared" si="30"/>
        <v>#DIV/0!</v>
      </c>
      <c r="AI57">
        <f t="shared" si="31"/>
        <v>2.5943181818181817</v>
      </c>
      <c r="AJ57">
        <f t="shared" si="32"/>
        <v>0.8208333333333333</v>
      </c>
      <c r="AK57">
        <f t="shared" si="33"/>
        <v>1.3723684210526315</v>
      </c>
      <c r="AL57" t="str">
        <f t="shared" si="34"/>
        <v>-</v>
      </c>
      <c r="AM57">
        <f t="shared" si="35"/>
        <v>312</v>
      </c>
      <c r="AN57">
        <f t="shared" si="36"/>
        <v>195.7</v>
      </c>
      <c r="AO57">
        <f t="shared" si="37"/>
        <v>116.3</v>
      </c>
      <c r="AP57">
        <f t="shared" si="38"/>
        <v>0</v>
      </c>
      <c r="AQ57">
        <f t="shared" si="39"/>
        <v>12</v>
      </c>
      <c r="AR57">
        <f t="shared" si="40"/>
        <v>10</v>
      </c>
      <c r="AS57">
        <f t="shared" si="41"/>
        <v>14</v>
      </c>
      <c r="AT57" t="e">
        <f t="shared" si="42"/>
        <v>#DIV/0!</v>
      </c>
      <c r="AU57">
        <f t="shared" si="43"/>
        <v>3.25</v>
      </c>
      <c r="AV57">
        <f t="shared" si="44"/>
        <v>2.44625</v>
      </c>
      <c r="AW57">
        <f t="shared" si="45"/>
        <v>1.0383928571428571</v>
      </c>
      <c r="AX57" t="str">
        <f t="shared" si="46"/>
        <v>-</v>
      </c>
    </row>
    <row r="58" spans="1:50">
      <c r="A58">
        <v>1212004</v>
      </c>
      <c r="B58" t="str">
        <f>_xlfn.XLOOKUP(A58,monthly_work_hours!A:A,monthly_work_hours!B:B)</f>
        <v>김주원</v>
      </c>
      <c r="C58" t="str">
        <f>_xlfn.XLOOKUP(A58,monthly_work_hours!A:A,monthly_work_hours!C:C)</f>
        <v>FL영업팀</v>
      </c>
      <c r="D58" t="str">
        <f>_xlfn.XLOOKUP(A58,monthly_work_hours!A:A,monthly_work_hours!D:D)</f>
        <v>선임</v>
      </c>
      <c r="E58">
        <f>SUMIFS(monthly_work_hours!$K:$K,monthly_work_hours!$A:$A,'FTE 계산'!$A58,monthly_work_hours!$F:$F,'FTE 계산'!E$2)</f>
        <v>167.8</v>
      </c>
      <c r="F58">
        <f>SUMIFS(monthly_work_hours!$K:$K,monthly_work_hours!$A:$A,'FTE 계산'!$A58,monthly_work_hours!$F:$F,'FTE 계산'!F$2)</f>
        <v>168.5</v>
      </c>
      <c r="G58">
        <f>SUMIFS(monthly_work_hours!$K:$K,monthly_work_hours!$A:$A,'FTE 계산'!$A58,monthly_work_hours!$F:$F,'FTE 계산'!G$2)</f>
        <v>138.19999999999999</v>
      </c>
      <c r="H58">
        <f>(SUMIFS(monthly_work_hours!$G:$G,monthly_work_hours!$A:$A,'FTE 계산'!$A58,monthly_work_hours!$F:$F,'FTE 계산'!H$2)) - (SUMIFS(monthly_work_hours!$J:$J,monthly_work_hours!$A:$A,'FTE 계산'!$A58,monthly_work_hours!$F:$F,'FTE 계산'!H$2))</f>
        <v>18</v>
      </c>
      <c r="I58">
        <f>(SUMIFS(monthly_work_hours!$G:$G,monthly_work_hours!$A:$A,'FTE 계산'!$A58,monthly_work_hours!$F:$F,'FTE 계산'!I$2)) - (SUMIFS(monthly_work_hours!$J:$J,monthly_work_hours!$A:$A,'FTE 계산'!$A58,monthly_work_hours!$F:$F,'FTE 계산'!I$2))</f>
        <v>18</v>
      </c>
      <c r="J58">
        <f>(SUMIFS(monthly_work_hours!$G:$G,monthly_work_hours!$A:$A,'FTE 계산'!$A58,monthly_work_hours!$F:$F,'FTE 계산'!J$2)) - (SUMIFS(monthly_work_hours!$J:$J,monthly_work_hours!$A:$A,'FTE 계산'!$A58,monthly_work_hours!$F:$F,'FTE 계산'!J$2))</f>
        <v>15</v>
      </c>
      <c r="N58" t="str">
        <v>인더스트리얼재료팀</v>
      </c>
      <c r="O58">
        <f t="shared" si="13"/>
        <v>806.40000000000009</v>
      </c>
      <c r="P58">
        <f t="shared" si="47"/>
        <v>174.4</v>
      </c>
      <c r="Q58">
        <f t="shared" si="47"/>
        <v>314.3</v>
      </c>
      <c r="R58">
        <f t="shared" si="47"/>
        <v>317.70000000000005</v>
      </c>
      <c r="S58">
        <f t="shared" si="15"/>
        <v>12.571428571428571</v>
      </c>
      <c r="T58">
        <f t="shared" si="16"/>
        <v>19</v>
      </c>
      <c r="U58">
        <f t="shared" si="17"/>
        <v>17.5</v>
      </c>
      <c r="V58">
        <f t="shared" si="18"/>
        <v>8.5</v>
      </c>
      <c r="W58">
        <f t="shared" si="19"/>
        <v>8.0181818181818194</v>
      </c>
      <c r="X58">
        <f t="shared" si="20"/>
        <v>1.1473684210526316</v>
      </c>
      <c r="Y58">
        <f t="shared" si="21"/>
        <v>2.2450000000000001</v>
      </c>
      <c r="Z58">
        <f t="shared" si="22"/>
        <v>4.6720588235294125</v>
      </c>
      <c r="AA58">
        <f t="shared" si="23"/>
        <v>810.6</v>
      </c>
      <c r="AB58">
        <f t="shared" si="24"/>
        <v>169.1</v>
      </c>
      <c r="AC58">
        <f t="shared" si="25"/>
        <v>314.89999999999998</v>
      </c>
      <c r="AD58">
        <f t="shared" si="26"/>
        <v>326.60000000000002</v>
      </c>
      <c r="AE58">
        <f t="shared" si="27"/>
        <v>12.285714285714286</v>
      </c>
      <c r="AF58">
        <f t="shared" si="28"/>
        <v>18</v>
      </c>
      <c r="AG58">
        <f t="shared" si="29"/>
        <v>16</v>
      </c>
      <c r="AH58">
        <f t="shared" si="30"/>
        <v>9</v>
      </c>
      <c r="AI58">
        <f t="shared" si="31"/>
        <v>8.2473837209302321</v>
      </c>
      <c r="AJ58">
        <f t="shared" si="32"/>
        <v>1.1743055555555555</v>
      </c>
      <c r="AK58">
        <f t="shared" si="33"/>
        <v>2.4601562499999998</v>
      </c>
      <c r="AL58">
        <f t="shared" si="34"/>
        <v>4.5361111111111114</v>
      </c>
      <c r="AM58">
        <f t="shared" si="35"/>
        <v>795.80000000000018</v>
      </c>
      <c r="AN58">
        <f t="shared" si="36"/>
        <v>141.9</v>
      </c>
      <c r="AO58">
        <f t="shared" si="37"/>
        <v>255.9</v>
      </c>
      <c r="AP58">
        <f t="shared" si="38"/>
        <v>398</v>
      </c>
      <c r="AQ58">
        <f t="shared" si="39"/>
        <v>12.714285714285714</v>
      </c>
      <c r="AR58">
        <f t="shared" si="40"/>
        <v>16</v>
      </c>
      <c r="AS58">
        <f t="shared" si="41"/>
        <v>15</v>
      </c>
      <c r="AT58">
        <f t="shared" si="42"/>
        <v>10.75</v>
      </c>
      <c r="AU58">
        <f t="shared" si="43"/>
        <v>7.823876404494384</v>
      </c>
      <c r="AV58">
        <f t="shared" si="44"/>
        <v>1.10859375</v>
      </c>
      <c r="AW58">
        <f t="shared" si="45"/>
        <v>2.1324999999999998</v>
      </c>
      <c r="AX58">
        <f t="shared" si="46"/>
        <v>4.6279069767441863</v>
      </c>
    </row>
    <row r="59" spans="1:50">
      <c r="A59">
        <v>1212013</v>
      </c>
      <c r="B59" t="str">
        <f>_xlfn.XLOOKUP(A59,monthly_work_hours!A:A,monthly_work_hours!B:B)</f>
        <v>김선미</v>
      </c>
      <c r="C59" t="str">
        <f>_xlfn.XLOOKUP(A59,monthly_work_hours!A:A,monthly_work_hours!C:C)</f>
        <v>기획팀</v>
      </c>
      <c r="D59" t="str">
        <f>_xlfn.XLOOKUP(A59,monthly_work_hours!A:A,monthly_work_hours!D:D)</f>
        <v>책임</v>
      </c>
      <c r="E59">
        <f>SUMIFS(monthly_work_hours!$K:$K,monthly_work_hours!$A:$A,'FTE 계산'!$A59,monthly_work_hours!$F:$F,'FTE 계산'!E$2)</f>
        <v>183.8</v>
      </c>
      <c r="F59">
        <f>SUMIFS(monthly_work_hours!$K:$K,monthly_work_hours!$A:$A,'FTE 계산'!$A59,monthly_work_hours!$F:$F,'FTE 계산'!F$2)</f>
        <v>143.80000000000001</v>
      </c>
      <c r="G59">
        <f>SUMIFS(monthly_work_hours!$K:$K,monthly_work_hours!$A:$A,'FTE 계산'!$A59,monthly_work_hours!$F:$F,'FTE 계산'!G$2)</f>
        <v>156.30000000000001</v>
      </c>
      <c r="H59">
        <f>(SUMIFS(monthly_work_hours!$G:$G,monthly_work_hours!$A:$A,'FTE 계산'!$A59,monthly_work_hours!$F:$F,'FTE 계산'!H$2)) - (SUMIFS(monthly_work_hours!$J:$J,monthly_work_hours!$A:$A,'FTE 계산'!$A59,monthly_work_hours!$F:$F,'FTE 계산'!H$2))</f>
        <v>19</v>
      </c>
      <c r="I59">
        <f>(SUMIFS(monthly_work_hours!$G:$G,monthly_work_hours!$A:$A,'FTE 계산'!$A59,monthly_work_hours!$F:$F,'FTE 계산'!I$2)) - (SUMIFS(monthly_work_hours!$J:$J,monthly_work_hours!$A:$A,'FTE 계산'!$A59,monthly_work_hours!$F:$F,'FTE 계산'!I$2))</f>
        <v>14</v>
      </c>
      <c r="J59">
        <f>(SUMIFS(monthly_work_hours!$G:$G,monthly_work_hours!$A:$A,'FTE 계산'!$A59,monthly_work_hours!$F:$F,'FTE 계산'!J$2)) - (SUMIFS(monthly_work_hours!$J:$J,monthly_work_hours!$A:$A,'FTE 계산'!$A59,monthly_work_hours!$F:$F,'FTE 계산'!J$2))</f>
        <v>16</v>
      </c>
      <c r="N59" t="str">
        <v>기술지원팀</v>
      </c>
      <c r="O59">
        <f t="shared" si="13"/>
        <v>994.8</v>
      </c>
      <c r="P59">
        <f t="shared" si="47"/>
        <v>312.10000000000002</v>
      </c>
      <c r="Q59">
        <f t="shared" si="47"/>
        <v>682.7</v>
      </c>
      <c r="R59">
        <f t="shared" si="47"/>
        <v>0</v>
      </c>
      <c r="S59">
        <f t="shared" si="15"/>
        <v>18.166666666666668</v>
      </c>
      <c r="T59">
        <f t="shared" si="16"/>
        <v>18</v>
      </c>
      <c r="U59">
        <f t="shared" si="17"/>
        <v>18.25</v>
      </c>
      <c r="V59" t="e">
        <f t="shared" si="18"/>
        <v>#DIV/0!</v>
      </c>
      <c r="W59">
        <f t="shared" si="19"/>
        <v>6.8449541284403663</v>
      </c>
      <c r="X59">
        <f t="shared" si="20"/>
        <v>2.1673611111111111</v>
      </c>
      <c r="Y59">
        <f t="shared" si="21"/>
        <v>4.6760273972602739</v>
      </c>
      <c r="Z59" t="str">
        <f t="shared" si="22"/>
        <v>-</v>
      </c>
      <c r="AA59">
        <f t="shared" si="23"/>
        <v>926.1</v>
      </c>
      <c r="AB59">
        <f t="shared" si="24"/>
        <v>330.6</v>
      </c>
      <c r="AC59">
        <f t="shared" si="25"/>
        <v>595.5</v>
      </c>
      <c r="AD59">
        <f t="shared" si="26"/>
        <v>0</v>
      </c>
      <c r="AE59">
        <f t="shared" si="27"/>
        <v>17.333333333333332</v>
      </c>
      <c r="AF59">
        <f t="shared" si="28"/>
        <v>19</v>
      </c>
      <c r="AG59">
        <f t="shared" si="29"/>
        <v>16.5</v>
      </c>
      <c r="AH59" t="e">
        <f t="shared" si="30"/>
        <v>#DIV/0!</v>
      </c>
      <c r="AI59">
        <f t="shared" si="31"/>
        <v>6.6786057692307699</v>
      </c>
      <c r="AJ59">
        <f t="shared" si="32"/>
        <v>2.1750000000000003</v>
      </c>
      <c r="AK59">
        <f t="shared" si="33"/>
        <v>4.5113636363636367</v>
      </c>
      <c r="AL59" t="str">
        <f t="shared" si="34"/>
        <v>-</v>
      </c>
      <c r="AM59">
        <f t="shared" si="35"/>
        <v>815.2</v>
      </c>
      <c r="AN59">
        <f t="shared" si="36"/>
        <v>282.39999999999998</v>
      </c>
      <c r="AO59">
        <f t="shared" si="37"/>
        <v>532.79999999999995</v>
      </c>
      <c r="AP59">
        <f t="shared" si="38"/>
        <v>0</v>
      </c>
      <c r="AQ59">
        <f t="shared" si="39"/>
        <v>15.5</v>
      </c>
      <c r="AR59">
        <f t="shared" si="40"/>
        <v>16</v>
      </c>
      <c r="AS59">
        <f t="shared" si="41"/>
        <v>15.25</v>
      </c>
      <c r="AT59" t="e">
        <f t="shared" si="42"/>
        <v>#DIV/0!</v>
      </c>
      <c r="AU59">
        <f t="shared" si="43"/>
        <v>6.5741935483870968</v>
      </c>
      <c r="AV59">
        <f t="shared" si="44"/>
        <v>2.2062499999999998</v>
      </c>
      <c r="AW59">
        <f t="shared" si="45"/>
        <v>4.3672131147540982</v>
      </c>
      <c r="AX59" t="str">
        <f t="shared" si="46"/>
        <v>-</v>
      </c>
    </row>
    <row r="60" spans="1:50">
      <c r="A60">
        <v>1212023</v>
      </c>
      <c r="B60" t="str">
        <f>_xlfn.XLOOKUP(A60,monthly_work_hours!A:A,monthly_work_hours!B:B)</f>
        <v>송현석</v>
      </c>
      <c r="C60" t="str">
        <f>_xlfn.XLOOKUP(A60,monthly_work_hours!A:A,monthly_work_hours!C:C)</f>
        <v>SL품질보증팀</v>
      </c>
      <c r="D60" t="str">
        <f>_xlfn.XLOOKUP(A60,monthly_work_hours!A:A,monthly_work_hours!D:D)</f>
        <v>책임</v>
      </c>
      <c r="E60">
        <f>SUMIFS(monthly_work_hours!$K:$K,monthly_work_hours!$A:$A,'FTE 계산'!$A60,monthly_work_hours!$F:$F,'FTE 계산'!E$2)</f>
        <v>155.80000000000001</v>
      </c>
      <c r="F60">
        <f>SUMIFS(monthly_work_hours!$K:$K,monthly_work_hours!$A:$A,'FTE 계산'!$A60,monthly_work_hours!$F:$F,'FTE 계산'!F$2)</f>
        <v>146</v>
      </c>
      <c r="G60">
        <f>SUMIFS(monthly_work_hours!$K:$K,monthly_work_hours!$A:$A,'FTE 계산'!$A60,monthly_work_hours!$F:$F,'FTE 계산'!G$2)</f>
        <v>129.5</v>
      </c>
      <c r="H60">
        <f>(SUMIFS(monthly_work_hours!$G:$G,monthly_work_hours!$A:$A,'FTE 계산'!$A60,monthly_work_hours!$F:$F,'FTE 계산'!H$2)) - (SUMIFS(monthly_work_hours!$J:$J,monthly_work_hours!$A:$A,'FTE 계산'!$A60,monthly_work_hours!$F:$F,'FTE 계산'!H$2))</f>
        <v>16</v>
      </c>
      <c r="I60">
        <f>(SUMIFS(monthly_work_hours!$G:$G,monthly_work_hours!$A:$A,'FTE 계산'!$A60,monthly_work_hours!$F:$F,'FTE 계산'!I$2)) - (SUMIFS(monthly_work_hours!$J:$J,monthly_work_hours!$A:$A,'FTE 계산'!$A60,monthly_work_hours!$F:$F,'FTE 계산'!I$2))</f>
        <v>15</v>
      </c>
      <c r="J60">
        <f>(SUMIFS(monthly_work_hours!$G:$G,monthly_work_hours!$A:$A,'FTE 계산'!$A60,monthly_work_hours!$F:$F,'FTE 계산'!J$2)) - (SUMIFS(monthly_work_hours!$J:$J,monthly_work_hours!$A:$A,'FTE 계산'!$A60,monthly_work_hours!$F:$F,'FTE 계산'!J$2))</f>
        <v>14</v>
      </c>
      <c r="N60" t="str">
        <v>신재료연구팀</v>
      </c>
      <c r="O60">
        <f t="shared" si="13"/>
        <v>869.19999999999993</v>
      </c>
      <c r="P60">
        <f t="shared" si="47"/>
        <v>335.1</v>
      </c>
      <c r="Q60">
        <f t="shared" si="47"/>
        <v>363.1</v>
      </c>
      <c r="R60">
        <f t="shared" si="47"/>
        <v>171</v>
      </c>
      <c r="S60">
        <f t="shared" si="15"/>
        <v>15</v>
      </c>
      <c r="T60">
        <f t="shared" si="16"/>
        <v>17.5</v>
      </c>
      <c r="U60">
        <f t="shared" si="17"/>
        <v>18.5</v>
      </c>
      <c r="V60">
        <f t="shared" si="18"/>
        <v>9</v>
      </c>
      <c r="W60">
        <f t="shared" si="19"/>
        <v>7.2433333333333332</v>
      </c>
      <c r="X60">
        <f t="shared" si="20"/>
        <v>2.3935714285714287</v>
      </c>
      <c r="Y60">
        <f t="shared" si="21"/>
        <v>2.4533783783783787</v>
      </c>
      <c r="Z60">
        <f t="shared" si="22"/>
        <v>2.375</v>
      </c>
      <c r="AA60">
        <f t="shared" si="23"/>
        <v>795.8</v>
      </c>
      <c r="AB60">
        <f t="shared" si="24"/>
        <v>317.10000000000002</v>
      </c>
      <c r="AC60">
        <f t="shared" si="25"/>
        <v>320.60000000000002</v>
      </c>
      <c r="AD60">
        <f t="shared" si="26"/>
        <v>158.1</v>
      </c>
      <c r="AE60">
        <f t="shared" si="27"/>
        <v>14.666666666666666</v>
      </c>
      <c r="AF60">
        <f t="shared" si="28"/>
        <v>17</v>
      </c>
      <c r="AG60">
        <f t="shared" si="29"/>
        <v>17.5</v>
      </c>
      <c r="AH60">
        <f t="shared" si="30"/>
        <v>9.5</v>
      </c>
      <c r="AI60">
        <f t="shared" si="31"/>
        <v>6.7823863636363635</v>
      </c>
      <c r="AJ60">
        <f t="shared" si="32"/>
        <v>2.3316176470588239</v>
      </c>
      <c r="AK60">
        <f t="shared" si="33"/>
        <v>2.29</v>
      </c>
      <c r="AL60">
        <f t="shared" si="34"/>
        <v>2.0802631578947368</v>
      </c>
      <c r="AM60">
        <f t="shared" si="35"/>
        <v>696.4</v>
      </c>
      <c r="AN60">
        <f t="shared" si="36"/>
        <v>256</v>
      </c>
      <c r="AO60">
        <f t="shared" si="37"/>
        <v>267.79999999999995</v>
      </c>
      <c r="AP60">
        <f t="shared" si="38"/>
        <v>172.6</v>
      </c>
      <c r="AQ60">
        <f t="shared" si="39"/>
        <v>12.833333333333334</v>
      </c>
      <c r="AR60">
        <f t="shared" si="40"/>
        <v>14</v>
      </c>
      <c r="AS60">
        <f t="shared" si="41"/>
        <v>15</v>
      </c>
      <c r="AT60">
        <f t="shared" si="42"/>
        <v>9.5</v>
      </c>
      <c r="AU60">
        <f t="shared" si="43"/>
        <v>6.7831168831168824</v>
      </c>
      <c r="AV60">
        <f t="shared" si="44"/>
        <v>2.2857142857142856</v>
      </c>
      <c r="AW60">
        <f t="shared" si="45"/>
        <v>2.2316666666666665</v>
      </c>
      <c r="AX60">
        <f t="shared" si="46"/>
        <v>2.2710526315789474</v>
      </c>
    </row>
    <row r="61" spans="1:50">
      <c r="A61">
        <v>1212055</v>
      </c>
      <c r="B61" t="str">
        <f>_xlfn.XLOOKUP(A61,monthly_work_hours!A:A,monthly_work_hours!B:B)</f>
        <v>양정환</v>
      </c>
      <c r="C61" t="str">
        <f>_xlfn.XLOOKUP(A61,monthly_work_hours!A:A,monthly_work_hours!C:C)</f>
        <v>관체사업팀</v>
      </c>
      <c r="D61" t="str">
        <f>_xlfn.XLOOKUP(A61,monthly_work_hours!A:A,monthly_work_hours!D:D)</f>
        <v>선임</v>
      </c>
      <c r="E61">
        <f>SUMIFS(monthly_work_hours!$K:$K,monthly_work_hours!$A:$A,'FTE 계산'!$A61,monthly_work_hours!$F:$F,'FTE 계산'!E$2)</f>
        <v>192.9</v>
      </c>
      <c r="F61">
        <f>SUMIFS(monthly_work_hours!$K:$K,monthly_work_hours!$A:$A,'FTE 계산'!$A61,monthly_work_hours!$F:$F,'FTE 계산'!F$2)</f>
        <v>175.8</v>
      </c>
      <c r="G61">
        <f>SUMIFS(monthly_work_hours!$K:$K,monthly_work_hours!$A:$A,'FTE 계산'!$A61,monthly_work_hours!$F:$F,'FTE 계산'!G$2)</f>
        <v>151.80000000000001</v>
      </c>
      <c r="H61">
        <f>(SUMIFS(monthly_work_hours!$G:$G,monthly_work_hours!$A:$A,'FTE 계산'!$A61,monthly_work_hours!$F:$F,'FTE 계산'!H$2)) - (SUMIFS(monthly_work_hours!$J:$J,monthly_work_hours!$A:$A,'FTE 계산'!$A61,monthly_work_hours!$F:$F,'FTE 계산'!H$2))</f>
        <v>19</v>
      </c>
      <c r="I61">
        <f>(SUMIFS(monthly_work_hours!$G:$G,monthly_work_hours!$A:$A,'FTE 계산'!$A61,monthly_work_hours!$F:$F,'FTE 계산'!I$2)) - (SUMIFS(monthly_work_hours!$J:$J,monthly_work_hours!$A:$A,'FTE 계산'!$A61,monthly_work_hours!$F:$F,'FTE 계산'!I$2))</f>
        <v>18</v>
      </c>
      <c r="J61">
        <f>(SUMIFS(monthly_work_hours!$G:$G,monthly_work_hours!$A:$A,'FTE 계산'!$A61,monthly_work_hours!$F:$F,'FTE 계산'!J$2)) - (SUMIFS(monthly_work_hours!$J:$J,monthly_work_hours!$A:$A,'FTE 계산'!$A61,monthly_work_hours!$F:$F,'FTE 계산'!J$2))</f>
        <v>15</v>
      </c>
      <c r="N61" t="str">
        <v>생산1팀</v>
      </c>
      <c r="O61">
        <f t="shared" si="13"/>
        <v>929.2</v>
      </c>
      <c r="P61">
        <f t="shared" si="47"/>
        <v>171</v>
      </c>
      <c r="Q61">
        <f t="shared" si="47"/>
        <v>433.1</v>
      </c>
      <c r="R61">
        <f t="shared" si="47"/>
        <v>325.10000000000002</v>
      </c>
      <c r="S61">
        <f t="shared" si="15"/>
        <v>18.8</v>
      </c>
      <c r="T61">
        <f t="shared" si="16"/>
        <v>18</v>
      </c>
      <c r="U61">
        <f t="shared" si="17"/>
        <v>19.5</v>
      </c>
      <c r="V61">
        <f t="shared" si="18"/>
        <v>18.5</v>
      </c>
      <c r="W61">
        <f t="shared" si="19"/>
        <v>6.1781914893617023</v>
      </c>
      <c r="X61">
        <f t="shared" si="20"/>
        <v>1.1875</v>
      </c>
      <c r="Y61">
        <f t="shared" si="21"/>
        <v>2.7762820512820516</v>
      </c>
      <c r="Z61">
        <f t="shared" si="22"/>
        <v>2.1966216216216217</v>
      </c>
      <c r="AA61">
        <f t="shared" si="23"/>
        <v>899.40000000000009</v>
      </c>
      <c r="AB61">
        <f t="shared" si="24"/>
        <v>147.6</v>
      </c>
      <c r="AC61">
        <f t="shared" si="25"/>
        <v>410.1</v>
      </c>
      <c r="AD61">
        <f t="shared" si="26"/>
        <v>341.7</v>
      </c>
      <c r="AE61">
        <f t="shared" si="27"/>
        <v>17.600000000000001</v>
      </c>
      <c r="AF61">
        <f t="shared" si="28"/>
        <v>15</v>
      </c>
      <c r="AG61">
        <f t="shared" si="29"/>
        <v>18</v>
      </c>
      <c r="AH61">
        <f t="shared" si="30"/>
        <v>18.5</v>
      </c>
      <c r="AI61">
        <f t="shared" si="31"/>
        <v>6.3877840909090908</v>
      </c>
      <c r="AJ61">
        <f t="shared" si="32"/>
        <v>1.23</v>
      </c>
      <c r="AK61">
        <f t="shared" si="33"/>
        <v>2.8479166666666669</v>
      </c>
      <c r="AL61">
        <f t="shared" si="34"/>
        <v>2.3087837837837837</v>
      </c>
      <c r="AM61">
        <f t="shared" si="35"/>
        <v>781.5</v>
      </c>
      <c r="AN61">
        <f t="shared" si="36"/>
        <v>153.1</v>
      </c>
      <c r="AO61">
        <f t="shared" si="37"/>
        <v>363.5</v>
      </c>
      <c r="AP61">
        <f t="shared" si="38"/>
        <v>264.89999999999998</v>
      </c>
      <c r="AQ61">
        <f t="shared" si="39"/>
        <v>15.6</v>
      </c>
      <c r="AR61">
        <f t="shared" si="40"/>
        <v>15</v>
      </c>
      <c r="AS61">
        <f t="shared" si="41"/>
        <v>16</v>
      </c>
      <c r="AT61">
        <f t="shared" si="42"/>
        <v>15.5</v>
      </c>
      <c r="AU61">
        <f t="shared" si="43"/>
        <v>6.2620192307692308</v>
      </c>
      <c r="AV61">
        <f t="shared" si="44"/>
        <v>1.2758333333333334</v>
      </c>
      <c r="AW61">
        <f t="shared" si="45"/>
        <v>2.83984375</v>
      </c>
      <c r="AX61">
        <f t="shared" si="46"/>
        <v>2.1362903225806451</v>
      </c>
    </row>
    <row r="62" spans="1:50">
      <c r="A62">
        <v>1212081</v>
      </c>
      <c r="B62" t="str">
        <f>_xlfn.XLOOKUP(A62,monthly_work_hours!A:A,monthly_work_hours!B:B)</f>
        <v>한대웅</v>
      </c>
      <c r="C62" t="str">
        <f>_xlfn.XLOOKUP(A62,monthly_work_hours!A:A,monthly_work_hours!C:C)</f>
        <v>FL개발팀</v>
      </c>
      <c r="D62" t="str">
        <f>_xlfn.XLOOKUP(A62,monthly_work_hours!A:A,monthly_work_hours!D:D)</f>
        <v>선임</v>
      </c>
      <c r="E62">
        <f>SUMIFS(monthly_work_hours!$K:$K,monthly_work_hours!$A:$A,'FTE 계산'!$A62,monthly_work_hours!$F:$F,'FTE 계산'!E$2)</f>
        <v>116</v>
      </c>
      <c r="F62">
        <f>SUMIFS(monthly_work_hours!$K:$K,monthly_work_hours!$A:$A,'FTE 계산'!$A62,monthly_work_hours!$F:$F,'FTE 계산'!F$2)</f>
        <v>139.5</v>
      </c>
      <c r="G62">
        <f>SUMIFS(monthly_work_hours!$K:$K,monthly_work_hours!$A:$A,'FTE 계산'!$A62,monthly_work_hours!$F:$F,'FTE 계산'!G$2)</f>
        <v>111.8</v>
      </c>
      <c r="H62">
        <f>(SUMIFS(monthly_work_hours!$G:$G,monthly_work_hours!$A:$A,'FTE 계산'!$A62,monthly_work_hours!$F:$F,'FTE 계산'!H$2)) - (SUMIFS(monthly_work_hours!$J:$J,monthly_work_hours!$A:$A,'FTE 계산'!$A62,monthly_work_hours!$F:$F,'FTE 계산'!H$2))</f>
        <v>13</v>
      </c>
      <c r="I62">
        <f>(SUMIFS(monthly_work_hours!$G:$G,monthly_work_hours!$A:$A,'FTE 계산'!$A62,monthly_work_hours!$F:$F,'FTE 계산'!I$2)) - (SUMIFS(monthly_work_hours!$J:$J,monthly_work_hours!$A:$A,'FTE 계산'!$A62,monthly_work_hours!$F:$F,'FTE 계산'!I$2))</f>
        <v>16</v>
      </c>
      <c r="J62">
        <f>(SUMIFS(monthly_work_hours!$G:$G,monthly_work_hours!$A:$A,'FTE 계산'!$A62,monthly_work_hours!$F:$F,'FTE 계산'!J$2)) - (SUMIFS(monthly_work_hours!$J:$J,monthly_work_hours!$A:$A,'FTE 계산'!$A62,monthly_work_hours!$F:$F,'FTE 계산'!J$2))</f>
        <v>14</v>
      </c>
      <c r="N62" t="str">
        <v>Defense사업팀</v>
      </c>
      <c r="O62">
        <f t="shared" si="13"/>
        <v>1642.3999999999999</v>
      </c>
      <c r="P62">
        <f t="shared" si="47"/>
        <v>680.3</v>
      </c>
      <c r="Q62">
        <f t="shared" si="47"/>
        <v>637</v>
      </c>
      <c r="R62">
        <f t="shared" si="47"/>
        <v>325.10000000000002</v>
      </c>
      <c r="S62">
        <f t="shared" si="15"/>
        <v>15.181818181818182</v>
      </c>
      <c r="T62">
        <f t="shared" si="16"/>
        <v>16.5</v>
      </c>
      <c r="U62">
        <f t="shared" si="17"/>
        <v>16.5</v>
      </c>
      <c r="V62">
        <f t="shared" si="18"/>
        <v>11.666666666666666</v>
      </c>
      <c r="W62">
        <f t="shared" si="19"/>
        <v>13.522754491017963</v>
      </c>
      <c r="X62">
        <f t="shared" si="20"/>
        <v>5.1537878787878784</v>
      </c>
      <c r="Y62">
        <f t="shared" si="21"/>
        <v>4.8257575757575761</v>
      </c>
      <c r="Z62">
        <f t="shared" si="22"/>
        <v>3.4832142857142863</v>
      </c>
      <c r="AA62">
        <f t="shared" si="23"/>
        <v>1849.6999999999998</v>
      </c>
      <c r="AB62">
        <f t="shared" si="24"/>
        <v>959.8</v>
      </c>
      <c r="AC62">
        <f t="shared" si="25"/>
        <v>565.5</v>
      </c>
      <c r="AD62">
        <f t="shared" si="26"/>
        <v>324.39999999999998</v>
      </c>
      <c r="AE62">
        <f t="shared" si="27"/>
        <v>15.454545454545455</v>
      </c>
      <c r="AF62">
        <f t="shared" si="28"/>
        <v>18.75</v>
      </c>
      <c r="AG62">
        <f t="shared" si="29"/>
        <v>15</v>
      </c>
      <c r="AH62">
        <f t="shared" si="30"/>
        <v>11.666666666666666</v>
      </c>
      <c r="AI62">
        <f t="shared" si="31"/>
        <v>14.96080882352941</v>
      </c>
      <c r="AJ62">
        <f t="shared" si="32"/>
        <v>6.3986666666666663</v>
      </c>
      <c r="AK62">
        <f t="shared" si="33"/>
        <v>4.7125000000000004</v>
      </c>
      <c r="AL62">
        <f t="shared" si="34"/>
        <v>3.4757142857142855</v>
      </c>
      <c r="AM62">
        <f t="shared" si="35"/>
        <v>1438.3000000000004</v>
      </c>
      <c r="AN62">
        <f t="shared" si="36"/>
        <v>631.6</v>
      </c>
      <c r="AO62">
        <f t="shared" si="37"/>
        <v>516.1</v>
      </c>
      <c r="AP62">
        <f t="shared" si="38"/>
        <v>290.59999999999997</v>
      </c>
      <c r="AQ62">
        <f t="shared" si="39"/>
        <v>13.454545454545455</v>
      </c>
      <c r="AR62">
        <f t="shared" si="40"/>
        <v>14.5</v>
      </c>
      <c r="AS62">
        <f t="shared" si="41"/>
        <v>14</v>
      </c>
      <c r="AT62">
        <f t="shared" si="42"/>
        <v>11.333333333333334</v>
      </c>
      <c r="AU62">
        <f t="shared" si="43"/>
        <v>13.362584459459462</v>
      </c>
      <c r="AV62">
        <f t="shared" si="44"/>
        <v>5.4448275862068964</v>
      </c>
      <c r="AW62">
        <f t="shared" si="45"/>
        <v>4.6080357142857142</v>
      </c>
      <c r="AX62">
        <f t="shared" si="46"/>
        <v>3.2051470588235289</v>
      </c>
    </row>
    <row r="63" spans="1:50">
      <c r="A63">
        <v>1212180</v>
      </c>
      <c r="B63" t="str">
        <f>_xlfn.XLOOKUP(A63,monthly_work_hours!A:A,monthly_work_hours!B:B)</f>
        <v>조승현</v>
      </c>
      <c r="C63" t="str">
        <f>_xlfn.XLOOKUP(A63,monthly_work_hours!A:A,monthly_work_hours!C:C)</f>
        <v>HR팀</v>
      </c>
      <c r="D63" t="str">
        <f>_xlfn.XLOOKUP(A63,monthly_work_hours!A:A,monthly_work_hours!D:D)</f>
        <v>책임</v>
      </c>
      <c r="E63">
        <f>SUMIFS(monthly_work_hours!$K:$K,monthly_work_hours!$A:$A,'FTE 계산'!$A63,monthly_work_hours!$F:$F,'FTE 계산'!E$2)</f>
        <v>189.1</v>
      </c>
      <c r="F63">
        <f>SUMIFS(monthly_work_hours!$K:$K,monthly_work_hours!$A:$A,'FTE 계산'!$A63,monthly_work_hours!$F:$F,'FTE 계산'!F$2)</f>
        <v>177</v>
      </c>
      <c r="G63">
        <f>SUMIFS(monthly_work_hours!$K:$K,monthly_work_hours!$A:$A,'FTE 계산'!$A63,monthly_work_hours!$F:$F,'FTE 계산'!G$2)</f>
        <v>145.19999999999999</v>
      </c>
      <c r="H63">
        <f>(SUMIFS(monthly_work_hours!$G:$G,monthly_work_hours!$A:$A,'FTE 계산'!$A63,monthly_work_hours!$F:$F,'FTE 계산'!H$2)) - (SUMIFS(monthly_work_hours!$J:$J,monthly_work_hours!$A:$A,'FTE 계산'!$A63,monthly_work_hours!$F:$F,'FTE 계산'!H$2))</f>
        <v>18</v>
      </c>
      <c r="I63">
        <f>(SUMIFS(monthly_work_hours!$G:$G,monthly_work_hours!$A:$A,'FTE 계산'!$A63,monthly_work_hours!$F:$F,'FTE 계산'!I$2)) - (SUMIFS(monthly_work_hours!$J:$J,monthly_work_hours!$A:$A,'FTE 계산'!$A63,monthly_work_hours!$F:$F,'FTE 계산'!I$2))</f>
        <v>18</v>
      </c>
      <c r="J63">
        <f>(SUMIFS(monthly_work_hours!$G:$G,monthly_work_hours!$A:$A,'FTE 계산'!$A63,monthly_work_hours!$F:$F,'FTE 계산'!J$2)) - (SUMIFS(monthly_work_hours!$J:$J,monthly_work_hours!$A:$A,'FTE 계산'!$A63,monthly_work_hours!$F:$F,'FTE 계산'!J$2))</f>
        <v>16</v>
      </c>
      <c r="N63" t="str">
        <v>TPE개발팀</v>
      </c>
      <c r="O63">
        <f t="shared" si="13"/>
        <v>1174.5</v>
      </c>
      <c r="P63">
        <f t="shared" si="47"/>
        <v>0</v>
      </c>
      <c r="Q63">
        <f t="shared" si="47"/>
        <v>739.8</v>
      </c>
      <c r="R63">
        <f t="shared" si="47"/>
        <v>434.7</v>
      </c>
      <c r="S63">
        <f t="shared" si="15"/>
        <v>16.428571428571427</v>
      </c>
      <c r="T63" t="e">
        <f t="shared" si="16"/>
        <v>#DIV/0!</v>
      </c>
      <c r="U63">
        <f t="shared" si="17"/>
        <v>16.5</v>
      </c>
      <c r="V63">
        <f t="shared" si="18"/>
        <v>16.333333333333332</v>
      </c>
      <c r="W63">
        <f t="shared" si="19"/>
        <v>8.9364130434782609</v>
      </c>
      <c r="X63" t="str">
        <f t="shared" si="20"/>
        <v>-</v>
      </c>
      <c r="Y63">
        <f t="shared" si="21"/>
        <v>5.6045454545454545</v>
      </c>
      <c r="Z63">
        <f t="shared" si="22"/>
        <v>3.3267857142857142</v>
      </c>
      <c r="AA63">
        <f t="shared" si="23"/>
        <v>1236.0000000000002</v>
      </c>
      <c r="AB63">
        <f t="shared" si="24"/>
        <v>0</v>
      </c>
      <c r="AC63">
        <f t="shared" si="25"/>
        <v>713.6</v>
      </c>
      <c r="AD63">
        <f t="shared" si="26"/>
        <v>522.4</v>
      </c>
      <c r="AE63">
        <f t="shared" si="27"/>
        <v>16.857142857142858</v>
      </c>
      <c r="AF63" t="e">
        <f t="shared" si="28"/>
        <v>#DIV/0!</v>
      </c>
      <c r="AG63">
        <f t="shared" si="29"/>
        <v>16.25</v>
      </c>
      <c r="AH63">
        <f t="shared" si="30"/>
        <v>17.666666666666668</v>
      </c>
      <c r="AI63">
        <f t="shared" si="31"/>
        <v>9.1652542372881367</v>
      </c>
      <c r="AJ63" t="str">
        <f t="shared" si="32"/>
        <v>-</v>
      </c>
      <c r="AK63">
        <f t="shared" si="33"/>
        <v>5.4892307692307698</v>
      </c>
      <c r="AL63">
        <f t="shared" si="34"/>
        <v>3.6962264150943391</v>
      </c>
      <c r="AM63">
        <f t="shared" si="35"/>
        <v>939.69999999999993</v>
      </c>
      <c r="AN63">
        <f t="shared" si="36"/>
        <v>0</v>
      </c>
      <c r="AO63">
        <f t="shared" si="37"/>
        <v>563.79999999999995</v>
      </c>
      <c r="AP63">
        <f t="shared" si="38"/>
        <v>375.9</v>
      </c>
      <c r="AQ63">
        <f t="shared" si="39"/>
        <v>15</v>
      </c>
      <c r="AR63" t="e">
        <f t="shared" si="40"/>
        <v>#DIV/0!</v>
      </c>
      <c r="AS63">
        <f t="shared" si="41"/>
        <v>15.5</v>
      </c>
      <c r="AT63">
        <f t="shared" si="42"/>
        <v>14.333333333333334</v>
      </c>
      <c r="AU63">
        <f t="shared" si="43"/>
        <v>7.8308333333333326</v>
      </c>
      <c r="AV63" t="str">
        <f t="shared" si="44"/>
        <v>-</v>
      </c>
      <c r="AW63">
        <f t="shared" si="45"/>
        <v>4.5467741935483863</v>
      </c>
      <c r="AX63">
        <f t="shared" si="46"/>
        <v>3.2781976744186041</v>
      </c>
    </row>
    <row r="64" spans="1:50">
      <c r="A64">
        <v>1213008</v>
      </c>
      <c r="B64" t="str">
        <f>_xlfn.XLOOKUP(A64,monthly_work_hours!A:A,monthly_work_hours!B:B)</f>
        <v>이예리</v>
      </c>
      <c r="C64" t="str">
        <f>_xlfn.XLOOKUP(A64,monthly_work_hours!A:A,monthly_work_hours!C:C)</f>
        <v>SCM팀</v>
      </c>
      <c r="D64" t="str">
        <f>_xlfn.XLOOKUP(A64,monthly_work_hours!A:A,monthly_work_hours!D:D)</f>
        <v>사원</v>
      </c>
      <c r="E64">
        <f>SUMIFS(monthly_work_hours!$K:$K,monthly_work_hours!$A:$A,'FTE 계산'!$A64,monthly_work_hours!$F:$F,'FTE 계산'!E$2)</f>
        <v>150.4</v>
      </c>
      <c r="F64">
        <f>SUMIFS(monthly_work_hours!$K:$K,monthly_work_hours!$A:$A,'FTE 계산'!$A64,monthly_work_hours!$F:$F,'FTE 계산'!F$2)</f>
        <v>168.9</v>
      </c>
      <c r="G64">
        <f>SUMIFS(monthly_work_hours!$K:$K,monthly_work_hours!$A:$A,'FTE 계산'!$A64,monthly_work_hours!$F:$F,'FTE 계산'!G$2)</f>
        <v>133.69999999999999</v>
      </c>
      <c r="H64">
        <f>(SUMIFS(monthly_work_hours!$G:$G,monthly_work_hours!$A:$A,'FTE 계산'!$A64,monthly_work_hours!$F:$F,'FTE 계산'!H$2)) - (SUMIFS(monthly_work_hours!$J:$J,monthly_work_hours!$A:$A,'FTE 계산'!$A64,monthly_work_hours!$F:$F,'FTE 계산'!H$2))</f>
        <v>17</v>
      </c>
      <c r="I64">
        <f>(SUMIFS(monthly_work_hours!$G:$G,monthly_work_hours!$A:$A,'FTE 계산'!$A64,monthly_work_hours!$F:$F,'FTE 계산'!I$2)) - (SUMIFS(monthly_work_hours!$J:$J,monthly_work_hours!$A:$A,'FTE 계산'!$A64,monthly_work_hours!$F:$F,'FTE 계산'!I$2))</f>
        <v>19</v>
      </c>
      <c r="J64">
        <f>(SUMIFS(monthly_work_hours!$G:$G,monthly_work_hours!$A:$A,'FTE 계산'!$A64,monthly_work_hours!$F:$F,'FTE 계산'!J$2)) - (SUMIFS(monthly_work_hours!$J:$J,monthly_work_hours!$A:$A,'FTE 계산'!$A64,monthly_work_hours!$F:$F,'FTE 계산'!J$2))</f>
        <v>16</v>
      </c>
      <c r="N64" t="str">
        <v>DI팀</v>
      </c>
      <c r="O64">
        <f t="shared" si="13"/>
        <v>640.59999999999991</v>
      </c>
      <c r="P64">
        <f t="shared" si="47"/>
        <v>325.79999999999995</v>
      </c>
      <c r="Q64">
        <f t="shared" si="47"/>
        <v>153.6</v>
      </c>
      <c r="R64">
        <f t="shared" si="47"/>
        <v>161.19999999999999</v>
      </c>
      <c r="S64">
        <f t="shared" si="15"/>
        <v>17</v>
      </c>
      <c r="T64">
        <f t="shared" si="16"/>
        <v>16.5</v>
      </c>
      <c r="U64">
        <f t="shared" si="17"/>
        <v>18</v>
      </c>
      <c r="V64">
        <f t="shared" si="18"/>
        <v>17</v>
      </c>
      <c r="W64">
        <f t="shared" si="19"/>
        <v>4.7102941176470585</v>
      </c>
      <c r="X64">
        <f t="shared" si="20"/>
        <v>2.4681818181818178</v>
      </c>
      <c r="Y64">
        <f t="shared" si="21"/>
        <v>1.0666666666666667</v>
      </c>
      <c r="Z64">
        <f t="shared" si="22"/>
        <v>1.1852941176470588</v>
      </c>
      <c r="AA64">
        <f t="shared" si="23"/>
        <v>614.20000000000005</v>
      </c>
      <c r="AB64">
        <f t="shared" si="24"/>
        <v>312</v>
      </c>
      <c r="AC64">
        <f t="shared" si="25"/>
        <v>154.19999999999999</v>
      </c>
      <c r="AD64">
        <f t="shared" si="26"/>
        <v>148</v>
      </c>
      <c r="AE64">
        <f t="shared" si="27"/>
        <v>17</v>
      </c>
      <c r="AF64">
        <f t="shared" si="28"/>
        <v>16.5</v>
      </c>
      <c r="AG64">
        <f t="shared" si="29"/>
        <v>19</v>
      </c>
      <c r="AH64">
        <f t="shared" si="30"/>
        <v>16</v>
      </c>
      <c r="AI64">
        <f t="shared" si="31"/>
        <v>4.5161764705882357</v>
      </c>
      <c r="AJ64">
        <f t="shared" si="32"/>
        <v>2.3636363636363638</v>
      </c>
      <c r="AK64">
        <f t="shared" si="33"/>
        <v>1.0144736842105262</v>
      </c>
      <c r="AL64">
        <f t="shared" si="34"/>
        <v>1.15625</v>
      </c>
      <c r="AM64">
        <f t="shared" si="35"/>
        <v>513.30000000000007</v>
      </c>
      <c r="AN64">
        <f t="shared" si="36"/>
        <v>269.70000000000005</v>
      </c>
      <c r="AO64">
        <f t="shared" si="37"/>
        <v>124.1</v>
      </c>
      <c r="AP64">
        <f t="shared" si="38"/>
        <v>119.5</v>
      </c>
      <c r="AQ64">
        <f t="shared" si="39"/>
        <v>14.5</v>
      </c>
      <c r="AR64">
        <f t="shared" si="40"/>
        <v>14.5</v>
      </c>
      <c r="AS64">
        <f t="shared" si="41"/>
        <v>15</v>
      </c>
      <c r="AT64">
        <f t="shared" si="42"/>
        <v>14</v>
      </c>
      <c r="AU64">
        <f t="shared" si="43"/>
        <v>4.4250000000000007</v>
      </c>
      <c r="AV64">
        <f t="shared" si="44"/>
        <v>2.3250000000000002</v>
      </c>
      <c r="AW64">
        <f t="shared" si="45"/>
        <v>1.0341666666666667</v>
      </c>
      <c r="AX64">
        <f t="shared" si="46"/>
        <v>1.0669642857142858</v>
      </c>
    </row>
    <row r="65" spans="1:50">
      <c r="A65">
        <v>1213015</v>
      </c>
      <c r="B65" t="str">
        <f>_xlfn.XLOOKUP(A65,monthly_work_hours!A:A,monthly_work_hours!B:B)</f>
        <v>조영준</v>
      </c>
      <c r="C65" t="str">
        <f>_xlfn.XLOOKUP(A65,monthly_work_hours!A:A,monthly_work_hours!C:C)</f>
        <v>FL영업팀</v>
      </c>
      <c r="D65" t="str">
        <f>_xlfn.XLOOKUP(A65,monthly_work_hours!A:A,monthly_work_hours!D:D)</f>
        <v>선임</v>
      </c>
      <c r="E65">
        <f>SUMIFS(monthly_work_hours!$K:$K,monthly_work_hours!$A:$A,'FTE 계산'!$A65,monthly_work_hours!$F:$F,'FTE 계산'!E$2)</f>
        <v>148.19999999999999</v>
      </c>
      <c r="F65">
        <f>SUMIFS(monthly_work_hours!$K:$K,monthly_work_hours!$A:$A,'FTE 계산'!$A65,monthly_work_hours!$F:$F,'FTE 계산'!F$2)</f>
        <v>163.6</v>
      </c>
      <c r="G65">
        <f>SUMIFS(monthly_work_hours!$K:$K,monthly_work_hours!$A:$A,'FTE 계산'!$A65,monthly_work_hours!$F:$F,'FTE 계산'!G$2)</f>
        <v>209.3</v>
      </c>
      <c r="H65">
        <f>(SUMIFS(monthly_work_hours!$G:$G,monthly_work_hours!$A:$A,'FTE 계산'!$A65,monthly_work_hours!$F:$F,'FTE 계산'!H$2)) - (SUMIFS(monthly_work_hours!$J:$J,monthly_work_hours!$A:$A,'FTE 계산'!$A65,monthly_work_hours!$F:$F,'FTE 계산'!H$2))</f>
        <v>14</v>
      </c>
      <c r="I65">
        <f>(SUMIFS(monthly_work_hours!$G:$G,monthly_work_hours!$A:$A,'FTE 계산'!$A65,monthly_work_hours!$F:$F,'FTE 계산'!I$2)) - (SUMIFS(monthly_work_hours!$J:$J,monthly_work_hours!$A:$A,'FTE 계산'!$A65,monthly_work_hours!$F:$F,'FTE 계산'!I$2))</f>
        <v>14</v>
      </c>
      <c r="J65">
        <f>(SUMIFS(monthly_work_hours!$G:$G,monthly_work_hours!$A:$A,'FTE 계산'!$A65,monthly_work_hours!$F:$F,'FTE 계산'!J$2)) - (SUMIFS(monthly_work_hours!$J:$J,monthly_work_hours!$A:$A,'FTE 계산'!$A65,monthly_work_hours!$F:$F,'FTE 계산'!J$2))</f>
        <v>16</v>
      </c>
      <c r="N65" t="str">
        <v>재료개발실</v>
      </c>
      <c r="O65">
        <f t="shared" si="13"/>
        <v>151.4</v>
      </c>
      <c r="P65">
        <f t="shared" si="47"/>
        <v>151.4</v>
      </c>
      <c r="Q65">
        <f t="shared" si="47"/>
        <v>0</v>
      </c>
      <c r="R65">
        <f t="shared" si="47"/>
        <v>0</v>
      </c>
      <c r="S65">
        <f t="shared" si="15"/>
        <v>17</v>
      </c>
      <c r="T65">
        <f t="shared" si="16"/>
        <v>17</v>
      </c>
      <c r="U65" t="e">
        <f t="shared" si="17"/>
        <v>#DIV/0!</v>
      </c>
      <c r="V65" t="e">
        <f t="shared" si="18"/>
        <v>#DIV/0!</v>
      </c>
      <c r="W65">
        <f t="shared" si="19"/>
        <v>1.1132352941176471</v>
      </c>
      <c r="X65">
        <f t="shared" si="20"/>
        <v>1.1132352941176471</v>
      </c>
      <c r="Y65" t="str">
        <f t="shared" si="21"/>
        <v>-</v>
      </c>
      <c r="Z65" t="str">
        <f t="shared" si="22"/>
        <v>-</v>
      </c>
      <c r="AA65">
        <f t="shared" si="23"/>
        <v>158.4</v>
      </c>
      <c r="AB65">
        <f t="shared" si="24"/>
        <v>158.4</v>
      </c>
      <c r="AC65">
        <f t="shared" si="25"/>
        <v>0</v>
      </c>
      <c r="AD65">
        <f t="shared" si="26"/>
        <v>0</v>
      </c>
      <c r="AE65">
        <f t="shared" si="27"/>
        <v>17</v>
      </c>
      <c r="AF65">
        <f t="shared" si="28"/>
        <v>17</v>
      </c>
      <c r="AG65" t="e">
        <f t="shared" si="29"/>
        <v>#DIV/0!</v>
      </c>
      <c r="AH65" t="e">
        <f t="shared" si="30"/>
        <v>#DIV/0!</v>
      </c>
      <c r="AI65">
        <f t="shared" si="31"/>
        <v>1.1647058823529413</v>
      </c>
      <c r="AJ65">
        <f t="shared" si="32"/>
        <v>1.1647058823529413</v>
      </c>
      <c r="AK65" t="str">
        <f t="shared" si="33"/>
        <v>-</v>
      </c>
      <c r="AL65" t="str">
        <f t="shared" si="34"/>
        <v>-</v>
      </c>
      <c r="AM65">
        <f t="shared" si="35"/>
        <v>129.6</v>
      </c>
      <c r="AN65">
        <f t="shared" si="36"/>
        <v>129.6</v>
      </c>
      <c r="AO65">
        <f t="shared" si="37"/>
        <v>0</v>
      </c>
      <c r="AP65">
        <f t="shared" si="38"/>
        <v>0</v>
      </c>
      <c r="AQ65">
        <f t="shared" si="39"/>
        <v>14</v>
      </c>
      <c r="AR65">
        <f t="shared" si="40"/>
        <v>14</v>
      </c>
      <c r="AS65" t="e">
        <f t="shared" si="41"/>
        <v>#DIV/0!</v>
      </c>
      <c r="AT65" t="e">
        <f t="shared" si="42"/>
        <v>#DIV/0!</v>
      </c>
      <c r="AU65">
        <f t="shared" si="43"/>
        <v>1.157142857142857</v>
      </c>
      <c r="AV65">
        <f t="shared" si="44"/>
        <v>1.157142857142857</v>
      </c>
      <c r="AW65" t="str">
        <f t="shared" si="45"/>
        <v>-</v>
      </c>
      <c r="AX65" t="str">
        <f t="shared" si="46"/>
        <v>-</v>
      </c>
    </row>
    <row r="66" spans="1:50">
      <c r="A66">
        <v>1213016</v>
      </c>
      <c r="B66" t="str">
        <f>_xlfn.XLOOKUP(A66,monthly_work_hours!A:A,monthly_work_hours!B:B)</f>
        <v>최지훈</v>
      </c>
      <c r="C66" t="str">
        <f>_xlfn.XLOOKUP(A66,monthly_work_hours!A:A,monthly_work_hours!C:C)</f>
        <v>관체사업팀</v>
      </c>
      <c r="D66" t="str">
        <f>_xlfn.XLOOKUP(A66,monthly_work_hours!A:A,monthly_work_hours!D:D)</f>
        <v>선임</v>
      </c>
      <c r="E66">
        <f>SUMIFS(monthly_work_hours!$K:$K,monthly_work_hours!$A:$A,'FTE 계산'!$A66,monthly_work_hours!$F:$F,'FTE 계산'!E$2)</f>
        <v>166.1</v>
      </c>
      <c r="F66">
        <f>SUMIFS(monthly_work_hours!$K:$K,monthly_work_hours!$A:$A,'FTE 계산'!$A66,monthly_work_hours!$F:$F,'FTE 계산'!F$2)</f>
        <v>174.9</v>
      </c>
      <c r="G66">
        <f>SUMIFS(monthly_work_hours!$K:$K,monthly_work_hours!$A:$A,'FTE 계산'!$A66,monthly_work_hours!$F:$F,'FTE 계산'!G$2)</f>
        <v>142.4</v>
      </c>
      <c r="H66">
        <f>(SUMIFS(monthly_work_hours!$G:$G,monthly_work_hours!$A:$A,'FTE 계산'!$A66,monthly_work_hours!$F:$F,'FTE 계산'!H$2)) - (SUMIFS(monthly_work_hours!$J:$J,monthly_work_hours!$A:$A,'FTE 계산'!$A66,monthly_work_hours!$F:$F,'FTE 계산'!H$2))</f>
        <v>18</v>
      </c>
      <c r="I66">
        <f>(SUMIFS(monthly_work_hours!$G:$G,monthly_work_hours!$A:$A,'FTE 계산'!$A66,monthly_work_hours!$F:$F,'FTE 계산'!I$2)) - (SUMIFS(monthly_work_hours!$J:$J,monthly_work_hours!$A:$A,'FTE 계산'!$A66,monthly_work_hours!$F:$F,'FTE 계산'!I$2))</f>
        <v>17</v>
      </c>
      <c r="J66">
        <f>(SUMIFS(monthly_work_hours!$G:$G,monthly_work_hours!$A:$A,'FTE 계산'!$A66,monthly_work_hours!$F:$F,'FTE 계산'!J$2)) - (SUMIFS(monthly_work_hours!$J:$J,monthly_work_hours!$A:$A,'FTE 계산'!$A66,monthly_work_hours!$F:$F,'FTE 계산'!J$2))</f>
        <v>16</v>
      </c>
      <c r="N66" t="str">
        <v>FL재료팀</v>
      </c>
      <c r="O66">
        <f t="shared" si="13"/>
        <v>443.5</v>
      </c>
      <c r="P66">
        <f t="shared" si="47"/>
        <v>139.6</v>
      </c>
      <c r="Q66">
        <f t="shared" si="47"/>
        <v>150.80000000000001</v>
      </c>
      <c r="R66">
        <f t="shared" si="47"/>
        <v>153.1</v>
      </c>
      <c r="S66">
        <f t="shared" si="15"/>
        <v>10.199999999999999</v>
      </c>
      <c r="T66">
        <f t="shared" si="16"/>
        <v>16</v>
      </c>
      <c r="U66">
        <f t="shared" si="17"/>
        <v>18</v>
      </c>
      <c r="V66">
        <f t="shared" si="18"/>
        <v>5.666666666666667</v>
      </c>
      <c r="W66">
        <f t="shared" si="19"/>
        <v>5.4350490196078436</v>
      </c>
      <c r="X66">
        <f t="shared" si="20"/>
        <v>1.090625</v>
      </c>
      <c r="Y66">
        <f t="shared" si="21"/>
        <v>1.0472222222222223</v>
      </c>
      <c r="Z66">
        <f t="shared" si="22"/>
        <v>3.3772058823529409</v>
      </c>
      <c r="AA66">
        <f t="shared" si="23"/>
        <v>442.7</v>
      </c>
      <c r="AB66">
        <f t="shared" si="24"/>
        <v>74.2</v>
      </c>
      <c r="AC66">
        <f t="shared" si="25"/>
        <v>166.2</v>
      </c>
      <c r="AD66">
        <f t="shared" si="26"/>
        <v>202.3</v>
      </c>
      <c r="AE66">
        <f t="shared" si="27"/>
        <v>9</v>
      </c>
      <c r="AF66">
        <f t="shared" si="28"/>
        <v>8</v>
      </c>
      <c r="AG66">
        <f t="shared" si="29"/>
        <v>18</v>
      </c>
      <c r="AH66">
        <f t="shared" si="30"/>
        <v>6.333333333333333</v>
      </c>
      <c r="AI66">
        <f t="shared" si="31"/>
        <v>6.1486111111111112</v>
      </c>
      <c r="AJ66">
        <f t="shared" si="32"/>
        <v>1.159375</v>
      </c>
      <c r="AK66">
        <f t="shared" si="33"/>
        <v>1.1541666666666666</v>
      </c>
      <c r="AL66">
        <f t="shared" si="34"/>
        <v>3.9927631578947373</v>
      </c>
      <c r="AM66">
        <f t="shared" si="35"/>
        <v>366.4</v>
      </c>
      <c r="AN66">
        <f t="shared" si="36"/>
        <v>0</v>
      </c>
      <c r="AO66">
        <f t="shared" si="37"/>
        <v>137.5</v>
      </c>
      <c r="AP66">
        <f t="shared" si="38"/>
        <v>228.9</v>
      </c>
      <c r="AQ66">
        <f t="shared" si="39"/>
        <v>8.6</v>
      </c>
      <c r="AR66">
        <f t="shared" si="40"/>
        <v>0</v>
      </c>
      <c r="AS66">
        <f t="shared" si="41"/>
        <v>16</v>
      </c>
      <c r="AT66">
        <f t="shared" si="42"/>
        <v>9</v>
      </c>
      <c r="AU66">
        <f t="shared" si="43"/>
        <v>5.3255813953488369</v>
      </c>
      <c r="AV66" t="str">
        <f t="shared" si="44"/>
        <v>-</v>
      </c>
      <c r="AW66">
        <f t="shared" si="45"/>
        <v>1.07421875</v>
      </c>
      <c r="AX66">
        <f t="shared" si="46"/>
        <v>3.1791666666666667</v>
      </c>
    </row>
    <row r="67" spans="1:50">
      <c r="A67">
        <v>1213019</v>
      </c>
      <c r="B67" t="str">
        <f>_xlfn.XLOOKUP(A67,monthly_work_hours!A:A,monthly_work_hours!B:B)</f>
        <v>박종욱</v>
      </c>
      <c r="C67" t="str">
        <f>_xlfn.XLOOKUP(A67,monthly_work_hours!A:A,monthly_work_hours!C:C)</f>
        <v>FL품질보증팀</v>
      </c>
      <c r="D67" t="str">
        <f>_xlfn.XLOOKUP(A67,monthly_work_hours!A:A,monthly_work_hours!D:D)</f>
        <v>선임</v>
      </c>
      <c r="E67">
        <f>SUMIFS(monthly_work_hours!$K:$K,monthly_work_hours!$A:$A,'FTE 계산'!$A67,monthly_work_hours!$F:$F,'FTE 계산'!E$2)</f>
        <v>201.9</v>
      </c>
      <c r="F67">
        <f>SUMIFS(monthly_work_hours!$K:$K,monthly_work_hours!$A:$A,'FTE 계산'!$A67,monthly_work_hours!$F:$F,'FTE 계산'!F$2)</f>
        <v>159.1</v>
      </c>
      <c r="G67">
        <f>SUMIFS(monthly_work_hours!$K:$K,monthly_work_hours!$A:$A,'FTE 계산'!$A67,monthly_work_hours!$F:$F,'FTE 계산'!G$2)</f>
        <v>135.30000000000001</v>
      </c>
      <c r="H67">
        <f>(SUMIFS(monthly_work_hours!$G:$G,monthly_work_hours!$A:$A,'FTE 계산'!$A67,monthly_work_hours!$F:$F,'FTE 계산'!H$2)) - (SUMIFS(monthly_work_hours!$J:$J,monthly_work_hours!$A:$A,'FTE 계산'!$A67,monthly_work_hours!$F:$F,'FTE 계산'!H$2))</f>
        <v>19</v>
      </c>
      <c r="I67">
        <f>(SUMIFS(monthly_work_hours!$G:$G,monthly_work_hours!$A:$A,'FTE 계산'!$A67,monthly_work_hours!$F:$F,'FTE 계산'!I$2)) - (SUMIFS(monthly_work_hours!$J:$J,monthly_work_hours!$A:$A,'FTE 계산'!$A67,monthly_work_hours!$F:$F,'FTE 계산'!I$2))</f>
        <v>17</v>
      </c>
      <c r="J67">
        <f>(SUMIFS(monthly_work_hours!$G:$G,monthly_work_hours!$A:$A,'FTE 계산'!$A67,monthly_work_hours!$F:$F,'FTE 계산'!J$2)) - (SUMIFS(monthly_work_hours!$J:$J,monthly_work_hours!$A:$A,'FTE 계산'!$A67,monthly_work_hours!$F:$F,'FTE 계산'!J$2))</f>
        <v>15</v>
      </c>
      <c r="N67" t="str">
        <v>SL재료팀</v>
      </c>
      <c r="O67">
        <f t="shared" si="13"/>
        <v>477.29999999999995</v>
      </c>
      <c r="P67">
        <f t="shared" si="47"/>
        <v>0</v>
      </c>
      <c r="Q67">
        <f t="shared" si="47"/>
        <v>303.29999999999995</v>
      </c>
      <c r="R67">
        <f t="shared" si="47"/>
        <v>174</v>
      </c>
      <c r="S67">
        <f t="shared" si="15"/>
        <v>10.199999999999999</v>
      </c>
      <c r="T67" t="e">
        <f t="shared" si="16"/>
        <v>#DIV/0!</v>
      </c>
      <c r="U67">
        <f t="shared" si="17"/>
        <v>16</v>
      </c>
      <c r="V67">
        <f t="shared" si="18"/>
        <v>6.333333333333333</v>
      </c>
      <c r="W67">
        <f t="shared" si="19"/>
        <v>5.8492647058823524</v>
      </c>
      <c r="X67" t="str">
        <f t="shared" si="20"/>
        <v>-</v>
      </c>
      <c r="Y67">
        <f t="shared" si="21"/>
        <v>2.3695312499999996</v>
      </c>
      <c r="Z67">
        <f t="shared" si="22"/>
        <v>3.4342105263157898</v>
      </c>
      <c r="AA67">
        <f t="shared" si="23"/>
        <v>539.9</v>
      </c>
      <c r="AB67">
        <f t="shared" si="24"/>
        <v>0</v>
      </c>
      <c r="AC67">
        <f t="shared" si="25"/>
        <v>372.9</v>
      </c>
      <c r="AD67">
        <f t="shared" si="26"/>
        <v>167</v>
      </c>
      <c r="AE67">
        <f t="shared" si="27"/>
        <v>11</v>
      </c>
      <c r="AF67" t="e">
        <f t="shared" si="28"/>
        <v>#DIV/0!</v>
      </c>
      <c r="AG67">
        <f t="shared" si="29"/>
        <v>18.5</v>
      </c>
      <c r="AH67">
        <f t="shared" si="30"/>
        <v>6</v>
      </c>
      <c r="AI67">
        <f t="shared" si="31"/>
        <v>6.1352272727272723</v>
      </c>
      <c r="AJ67" t="str">
        <f t="shared" si="32"/>
        <v>-</v>
      </c>
      <c r="AK67">
        <f t="shared" si="33"/>
        <v>2.5195945945945946</v>
      </c>
      <c r="AL67">
        <f t="shared" si="34"/>
        <v>3.4791666666666665</v>
      </c>
      <c r="AM67">
        <f t="shared" si="35"/>
        <v>503.5</v>
      </c>
      <c r="AN67">
        <f t="shared" si="36"/>
        <v>0</v>
      </c>
      <c r="AO67">
        <f t="shared" si="37"/>
        <v>278</v>
      </c>
      <c r="AP67">
        <f t="shared" si="38"/>
        <v>225.5</v>
      </c>
      <c r="AQ67">
        <f t="shared" si="39"/>
        <v>11.6</v>
      </c>
      <c r="AR67" t="e">
        <f t="shared" si="40"/>
        <v>#DIV/0!</v>
      </c>
      <c r="AS67">
        <f t="shared" si="41"/>
        <v>15.5</v>
      </c>
      <c r="AT67">
        <f t="shared" si="42"/>
        <v>9</v>
      </c>
      <c r="AU67">
        <f t="shared" si="43"/>
        <v>5.4256465517241379</v>
      </c>
      <c r="AV67" t="str">
        <f t="shared" si="44"/>
        <v>-</v>
      </c>
      <c r="AW67">
        <f t="shared" si="45"/>
        <v>2.2419354838709675</v>
      </c>
      <c r="AX67">
        <f t="shared" si="46"/>
        <v>3.1319444444444446</v>
      </c>
    </row>
    <row r="68" spans="1:50">
      <c r="A68">
        <v>1213028</v>
      </c>
      <c r="B68" t="str">
        <f>_xlfn.XLOOKUP(A68,monthly_work_hours!A:A,monthly_work_hours!B:B)</f>
        <v>차지윤</v>
      </c>
      <c r="C68" t="str">
        <f>_xlfn.XLOOKUP(A68,monthly_work_hours!A:A,monthly_work_hours!C:C)</f>
        <v>SL설계팀</v>
      </c>
      <c r="D68" t="str">
        <f>_xlfn.XLOOKUP(A68,monthly_work_hours!A:A,monthly_work_hours!D:D)</f>
        <v>선임</v>
      </c>
      <c r="E68">
        <f>SUMIFS(monthly_work_hours!$K:$K,monthly_work_hours!$A:$A,'FTE 계산'!$A68,monthly_work_hours!$F:$F,'FTE 계산'!E$2)</f>
        <v>517.29999999999995</v>
      </c>
      <c r="F68">
        <f>SUMIFS(monthly_work_hours!$K:$K,monthly_work_hours!$A:$A,'FTE 계산'!$A68,monthly_work_hours!$F:$F,'FTE 계산'!F$2)</f>
        <v>29</v>
      </c>
      <c r="G68">
        <f>SUMIFS(monthly_work_hours!$K:$K,monthly_work_hours!$A:$A,'FTE 계산'!$A68,monthly_work_hours!$F:$F,'FTE 계산'!G$2)</f>
        <v>0</v>
      </c>
      <c r="H68">
        <f>(SUMIFS(monthly_work_hours!$G:$G,monthly_work_hours!$A:$A,'FTE 계산'!$A68,monthly_work_hours!$F:$F,'FTE 계산'!H$2)) - (SUMIFS(monthly_work_hours!$J:$J,monthly_work_hours!$A:$A,'FTE 계산'!$A68,monthly_work_hours!$F:$F,'FTE 계산'!H$2))</f>
        <v>18</v>
      </c>
      <c r="I68">
        <f>(SUMIFS(monthly_work_hours!$G:$G,monthly_work_hours!$A:$A,'FTE 계산'!$A68,monthly_work_hours!$F:$F,'FTE 계산'!I$2)) - (SUMIFS(monthly_work_hours!$J:$J,monthly_work_hours!$A:$A,'FTE 계산'!$A68,monthly_work_hours!$F:$F,'FTE 계산'!I$2))</f>
        <v>2</v>
      </c>
      <c r="J68">
        <f>(SUMIFS(monthly_work_hours!$G:$G,monthly_work_hours!$A:$A,'FTE 계산'!$A68,monthly_work_hours!$F:$F,'FTE 계산'!J$2)) - (SUMIFS(monthly_work_hours!$J:$J,monthly_work_hours!$A:$A,'FTE 계산'!$A68,monthly_work_hours!$F:$F,'FTE 계산'!J$2))</f>
        <v>0</v>
      </c>
      <c r="N68" t="str">
        <v>환경안전팀</v>
      </c>
      <c r="O68">
        <f t="shared" ref="O68:O77" si="48">SUMIFS($E$3:$E$503,$C$3:$C$503,$N68)</f>
        <v>769.7</v>
      </c>
      <c r="P68">
        <f t="shared" si="47"/>
        <v>190.3</v>
      </c>
      <c r="Q68">
        <f t="shared" si="47"/>
        <v>579.40000000000009</v>
      </c>
      <c r="R68">
        <f t="shared" si="47"/>
        <v>0</v>
      </c>
      <c r="S68">
        <f t="shared" ref="S68:S77" si="49">AVERAGEIFS($H$3:$H$503,$C$3:$C$503,$N68)</f>
        <v>15.2</v>
      </c>
      <c r="T68">
        <f t="shared" ref="T68:T77" si="50">AVERAGEIFS($H$3:$H$503,$C$3:$C$503,$N68,$D$3:$D$503,P$2)</f>
        <v>19</v>
      </c>
      <c r="U68">
        <f t="shared" ref="U68:U77" si="51">AVERAGEIFS($H$3:$H$503,$C$3:$C$503,$N68,$D$3:$D$503,Q$2)</f>
        <v>14.25</v>
      </c>
      <c r="V68" t="e">
        <f t="shared" ref="V68:V77" si="52">AVERAGEIFS($H$3:$H$503,$C$3:$C$503,$N68,$D$3:$D$503,R$2)</f>
        <v>#DIV/0!</v>
      </c>
      <c r="W68">
        <f t="shared" ref="W68:W77" si="53">IFERROR(O68/(S68*$L$2),"-")</f>
        <v>6.3297697368421062</v>
      </c>
      <c r="X68">
        <f t="shared" ref="X68:X77" si="54">IFERROR(P68/(T68*$L$2),"-")</f>
        <v>1.2519736842105265</v>
      </c>
      <c r="Y68">
        <f t="shared" ref="Y68:Y77" si="55">IFERROR(Q68/(U68*$L$2),"-")</f>
        <v>5.0824561403508781</v>
      </c>
      <c r="Z68" t="str">
        <f t="shared" ref="Z68:Z77" si="56">IFERROR(R68/(V68*$L$2),"-")</f>
        <v>-</v>
      </c>
      <c r="AA68">
        <f t="shared" ref="AA68:AA77" si="57">SUMIFS($F$3:$F$503,$C$3:$C$503,$N68)</f>
        <v>937.09999999999991</v>
      </c>
      <c r="AB68">
        <f t="shared" ref="AB68:AB77" si="58">SUMIFS($F$3:$F$503,$C$3:$C$503,$N68,$D$3:$D$503,P$2)</f>
        <v>195.2</v>
      </c>
      <c r="AC68">
        <f t="shared" ref="AC68:AC77" si="59">SUMIFS($F$3:$F$503,$C$3:$C$503,$N68,$D$3:$D$503,Q$2)</f>
        <v>741.90000000000009</v>
      </c>
      <c r="AD68">
        <f t="shared" ref="AD68:AD77" si="60">SUMIFS($F$3:$F$503,$C$3:$C$503,$N68,$D$3:$D$503,R$2)</f>
        <v>0</v>
      </c>
      <c r="AE68">
        <f t="shared" ref="AE68:AE77" si="61">AVERAGEIFS($I$3:$I$503,$C$3:$C$503,$N68)</f>
        <v>16.8</v>
      </c>
      <c r="AF68">
        <f t="shared" ref="AF68:AF77" si="62">AVERAGEIFS($I$3:$I$503,$C$3:$C$503,$N68,$D$3:$D$503,P$2)</f>
        <v>19</v>
      </c>
      <c r="AG68">
        <f t="shared" ref="AG68:AG77" si="63">AVERAGEIFS($I$3:$I$503,$C$3:$C$503,$N68,$D$3:$D$503,Q$2)</f>
        <v>16.25</v>
      </c>
      <c r="AH68" t="e">
        <f t="shared" ref="AH68:AH77" si="64">AVERAGEIFS($I$3:$I$503,$C$3:$C$503,$N68,$D$3:$D$503,R$2)</f>
        <v>#DIV/0!</v>
      </c>
      <c r="AI68">
        <f t="shared" ref="AI68:AI77" si="65">IFERROR(AA68/(AE68*$L$2),"-")</f>
        <v>6.9724702380952372</v>
      </c>
      <c r="AJ68">
        <f t="shared" ref="AJ68:AJ77" si="66">IFERROR(AB68/(AF68*$L$2),"-")</f>
        <v>1.2842105263157895</v>
      </c>
      <c r="AK68">
        <f t="shared" ref="AK68:AK77" si="67">IFERROR(AC68/(AG68*$L$2),"-")</f>
        <v>5.7069230769230774</v>
      </c>
      <c r="AL68" t="str">
        <f t="shared" ref="AL68:AL77" si="68">IFERROR(AD68/(AH68*$L$2),"-")</f>
        <v>-</v>
      </c>
      <c r="AM68">
        <f t="shared" ref="AM68:AM77" si="69">SUMIFS($G$3:$G$503,$C$3:$C$503,$N68)</f>
        <v>649.5</v>
      </c>
      <c r="AN68">
        <f t="shared" ref="AN68:AN77" si="70">SUMIFS($G$3:$G$503,$C$3:$C$503,$N68,$D$3:$D$503,P$2)</f>
        <v>157.6</v>
      </c>
      <c r="AO68">
        <f t="shared" ref="AO68:AO77" si="71">SUMIFS($G$3:$G$503,$C$3:$C$503,$N68,$D$3:$D$503,Q$2)</f>
        <v>491.9</v>
      </c>
      <c r="AP68">
        <f t="shared" ref="AP68:AP77" si="72">SUMIFS($G$3:$G$503,$C$3:$C$503,$N68,$D$3:$D$503,R$2)</f>
        <v>0</v>
      </c>
      <c r="AQ68">
        <f t="shared" ref="AQ68:AQ77" si="73">AVERAGEIFS($J$3:$J$503,$C$3:$C$503,$N68)</f>
        <v>12.2</v>
      </c>
      <c r="AR68">
        <f t="shared" ref="AR68:AR77" si="74">AVERAGEIFS($J$3:$J$503,$C$3:$C$503,$N68,$D$3:$D$503,P$2)</f>
        <v>16</v>
      </c>
      <c r="AS68">
        <f t="shared" ref="AS68:AS77" si="75">AVERAGEIFS($J$3:$J$503,$C$3:$C$503,$N68,$D$3:$D$503,Q$2)</f>
        <v>11.25</v>
      </c>
      <c r="AT68" t="e">
        <f t="shared" ref="AT68:AT77" si="76">AVERAGEIFS($J$3:$J$503,$C$3:$C$503,$N68,$D$3:$D$503,R$2)</f>
        <v>#DIV/0!</v>
      </c>
      <c r="AU68">
        <f t="shared" ref="AU68:AU77" si="77">IFERROR(AM68/(AQ68*$L$2),"-")</f>
        <v>6.6547131147540988</v>
      </c>
      <c r="AV68">
        <f t="shared" ref="AV68:AV77" si="78">IFERROR(AN68/(AR68*$L$2),"-")</f>
        <v>1.23125</v>
      </c>
      <c r="AW68">
        <f t="shared" ref="AW68:AW77" si="79">IFERROR(AO68/(AS68*$L$2),"-")</f>
        <v>5.4655555555555555</v>
      </c>
      <c r="AX68" t="str">
        <f t="shared" ref="AX68:AX77" si="80">IFERROR(AP68/(AT68*$L$2),"-")</f>
        <v>-</v>
      </c>
    </row>
    <row r="69" spans="1:50">
      <c r="A69">
        <v>1213066</v>
      </c>
      <c r="B69" t="str">
        <f>_xlfn.XLOOKUP(A69,monthly_work_hours!A:A,monthly_work_hours!B:B)</f>
        <v>서수현</v>
      </c>
      <c r="C69" t="str">
        <f>_xlfn.XLOOKUP(A69,monthly_work_hours!A:A,monthly_work_hours!C:C)</f>
        <v>재무팀</v>
      </c>
      <c r="D69" t="str">
        <f>_xlfn.XLOOKUP(A69,monthly_work_hours!A:A,monthly_work_hours!D:D)</f>
        <v>책임</v>
      </c>
      <c r="E69">
        <f>SUMIFS(monthly_work_hours!$K:$K,monthly_work_hours!$A:$A,'FTE 계산'!$A69,monthly_work_hours!$F:$F,'FTE 계산'!E$2)</f>
        <v>191.9</v>
      </c>
      <c r="F69">
        <f>SUMIFS(monthly_work_hours!$K:$K,monthly_work_hours!$A:$A,'FTE 계산'!$A69,monthly_work_hours!$F:$F,'FTE 계산'!F$2)</f>
        <v>220.7</v>
      </c>
      <c r="G69">
        <f>SUMIFS(monthly_work_hours!$K:$K,monthly_work_hours!$A:$A,'FTE 계산'!$A69,monthly_work_hours!$F:$F,'FTE 계산'!G$2)</f>
        <v>156.69999999999999</v>
      </c>
      <c r="H69">
        <f>(SUMIFS(monthly_work_hours!$G:$G,monthly_work_hours!$A:$A,'FTE 계산'!$A69,monthly_work_hours!$F:$F,'FTE 계산'!H$2)) - (SUMIFS(monthly_work_hours!$J:$J,monthly_work_hours!$A:$A,'FTE 계산'!$A69,monthly_work_hours!$F:$F,'FTE 계산'!H$2))</f>
        <v>19</v>
      </c>
      <c r="I69">
        <f>(SUMIFS(monthly_work_hours!$G:$G,monthly_work_hours!$A:$A,'FTE 계산'!$A69,monthly_work_hours!$F:$F,'FTE 계산'!I$2)) - (SUMIFS(monthly_work_hours!$J:$J,monthly_work_hours!$A:$A,'FTE 계산'!$A69,monthly_work_hours!$F:$F,'FTE 계산'!I$2))</f>
        <v>23</v>
      </c>
      <c r="J69">
        <f>(SUMIFS(monthly_work_hours!$G:$G,monthly_work_hours!$A:$A,'FTE 계산'!$A69,monthly_work_hours!$F:$F,'FTE 계산'!J$2)) - (SUMIFS(monthly_work_hours!$J:$J,monthly_work_hours!$A:$A,'FTE 계산'!$A69,monthly_work_hours!$F:$F,'FTE 계산'!J$2))</f>
        <v>17</v>
      </c>
      <c r="N69" t="str">
        <v>ER팀</v>
      </c>
      <c r="O69">
        <f t="shared" si="48"/>
        <v>515</v>
      </c>
      <c r="P69">
        <f t="shared" si="47"/>
        <v>0</v>
      </c>
      <c r="Q69">
        <f t="shared" si="47"/>
        <v>344</v>
      </c>
      <c r="R69">
        <f t="shared" si="47"/>
        <v>171</v>
      </c>
      <c r="S69">
        <f t="shared" si="49"/>
        <v>18.333333333333332</v>
      </c>
      <c r="T69" t="e">
        <f t="shared" si="50"/>
        <v>#DIV/0!</v>
      </c>
      <c r="U69">
        <f t="shared" si="51"/>
        <v>18</v>
      </c>
      <c r="V69">
        <f t="shared" si="52"/>
        <v>19</v>
      </c>
      <c r="W69">
        <f t="shared" si="53"/>
        <v>3.5113636363636367</v>
      </c>
      <c r="X69" t="str">
        <f t="shared" si="54"/>
        <v>-</v>
      </c>
      <c r="Y69">
        <f t="shared" si="55"/>
        <v>2.3888888888888888</v>
      </c>
      <c r="Z69">
        <f t="shared" si="56"/>
        <v>1.125</v>
      </c>
      <c r="AA69">
        <f t="shared" si="57"/>
        <v>552.4</v>
      </c>
      <c r="AB69">
        <f t="shared" si="58"/>
        <v>0</v>
      </c>
      <c r="AC69">
        <f t="shared" si="59"/>
        <v>390.3</v>
      </c>
      <c r="AD69">
        <f t="shared" si="60"/>
        <v>162.1</v>
      </c>
      <c r="AE69">
        <f t="shared" si="61"/>
        <v>17.666666666666668</v>
      </c>
      <c r="AF69" t="e">
        <f t="shared" si="62"/>
        <v>#DIV/0!</v>
      </c>
      <c r="AG69">
        <f t="shared" si="63"/>
        <v>17.5</v>
      </c>
      <c r="AH69">
        <f t="shared" si="64"/>
        <v>18</v>
      </c>
      <c r="AI69">
        <f t="shared" si="65"/>
        <v>3.9084905660377354</v>
      </c>
      <c r="AJ69" t="str">
        <f t="shared" si="66"/>
        <v>-</v>
      </c>
      <c r="AK69">
        <f t="shared" si="67"/>
        <v>2.7878571428571428</v>
      </c>
      <c r="AL69">
        <f t="shared" si="68"/>
        <v>1.1256944444444443</v>
      </c>
      <c r="AM69">
        <f t="shared" si="69"/>
        <v>455</v>
      </c>
      <c r="AN69">
        <f t="shared" si="70"/>
        <v>0</v>
      </c>
      <c r="AO69">
        <f t="shared" si="71"/>
        <v>319.10000000000002</v>
      </c>
      <c r="AP69">
        <f t="shared" si="72"/>
        <v>135.9</v>
      </c>
      <c r="AQ69">
        <f t="shared" si="73"/>
        <v>15</v>
      </c>
      <c r="AR69" t="e">
        <f t="shared" si="74"/>
        <v>#DIV/0!</v>
      </c>
      <c r="AS69">
        <f t="shared" si="75"/>
        <v>15</v>
      </c>
      <c r="AT69">
        <f t="shared" si="76"/>
        <v>15</v>
      </c>
      <c r="AU69">
        <f t="shared" si="77"/>
        <v>3.7916666666666665</v>
      </c>
      <c r="AV69" t="str">
        <f t="shared" si="78"/>
        <v>-</v>
      </c>
      <c r="AW69">
        <f t="shared" si="79"/>
        <v>2.6591666666666667</v>
      </c>
      <c r="AX69">
        <f t="shared" si="80"/>
        <v>1.1325000000000001</v>
      </c>
    </row>
    <row r="70" spans="1:50">
      <c r="A70">
        <v>1213083</v>
      </c>
      <c r="B70" t="str">
        <f>_xlfn.XLOOKUP(A70,monthly_work_hours!A:A,monthly_work_hours!B:B)</f>
        <v>박상훈</v>
      </c>
      <c r="C70" t="str">
        <f>_xlfn.XLOOKUP(A70,monthly_work_hours!A:A,monthly_work_hours!C:C)</f>
        <v>경영지원팀</v>
      </c>
      <c r="D70" t="str">
        <f>_xlfn.XLOOKUP(A70,monthly_work_hours!A:A,monthly_work_hours!D:D)</f>
        <v>책임</v>
      </c>
      <c r="E70">
        <f>SUMIFS(monthly_work_hours!$K:$K,monthly_work_hours!$A:$A,'FTE 계산'!$A70,monthly_work_hours!$F:$F,'FTE 계산'!E$2)</f>
        <v>182.7</v>
      </c>
      <c r="F70">
        <f>SUMIFS(monthly_work_hours!$K:$K,monthly_work_hours!$A:$A,'FTE 계산'!$A70,monthly_work_hours!$F:$F,'FTE 계산'!F$2)</f>
        <v>178.8</v>
      </c>
      <c r="G70">
        <f>SUMIFS(monthly_work_hours!$K:$K,monthly_work_hours!$A:$A,'FTE 계산'!$A70,monthly_work_hours!$F:$F,'FTE 계산'!G$2)</f>
        <v>156</v>
      </c>
      <c r="H70">
        <f>(SUMIFS(monthly_work_hours!$G:$G,monthly_work_hours!$A:$A,'FTE 계산'!$A70,monthly_work_hours!$F:$F,'FTE 계산'!H$2)) - (SUMIFS(monthly_work_hours!$J:$J,monthly_work_hours!$A:$A,'FTE 계산'!$A70,monthly_work_hours!$F:$F,'FTE 계산'!H$2))</f>
        <v>19</v>
      </c>
      <c r="I70">
        <f>(SUMIFS(monthly_work_hours!$G:$G,monthly_work_hours!$A:$A,'FTE 계산'!$A70,monthly_work_hours!$F:$F,'FTE 계산'!I$2)) - (SUMIFS(monthly_work_hours!$J:$J,monthly_work_hours!$A:$A,'FTE 계산'!$A70,monthly_work_hours!$F:$F,'FTE 계산'!I$2))</f>
        <v>18</v>
      </c>
      <c r="J70">
        <f>(SUMIFS(monthly_work_hours!$G:$G,monthly_work_hours!$A:$A,'FTE 계산'!$A70,monthly_work_hours!$F:$F,'FTE 계산'!J$2)) - (SUMIFS(monthly_work_hours!$J:$J,monthly_work_hours!$A:$A,'FTE 계산'!$A70,monthly_work_hours!$F:$F,'FTE 계산'!J$2))</f>
        <v>17</v>
      </c>
      <c r="N70" t="str">
        <v>Defense생산팀</v>
      </c>
      <c r="O70">
        <f t="shared" si="48"/>
        <v>419.2</v>
      </c>
      <c r="P70">
        <f t="shared" si="47"/>
        <v>110</v>
      </c>
      <c r="Q70">
        <f t="shared" si="47"/>
        <v>307</v>
      </c>
      <c r="R70">
        <f t="shared" si="47"/>
        <v>0</v>
      </c>
      <c r="S70">
        <f t="shared" si="49"/>
        <v>12.75</v>
      </c>
      <c r="T70">
        <f t="shared" si="50"/>
        <v>13</v>
      </c>
      <c r="U70">
        <f t="shared" si="51"/>
        <v>17</v>
      </c>
      <c r="V70" t="e">
        <f t="shared" si="52"/>
        <v>#DIV/0!</v>
      </c>
      <c r="W70">
        <f t="shared" si="53"/>
        <v>4.1098039215686271</v>
      </c>
      <c r="X70">
        <f t="shared" si="54"/>
        <v>1.0576923076923077</v>
      </c>
      <c r="Y70">
        <f t="shared" si="55"/>
        <v>2.2573529411764706</v>
      </c>
      <c r="Z70" t="str">
        <f t="shared" si="56"/>
        <v>-</v>
      </c>
      <c r="AA70">
        <f t="shared" si="57"/>
        <v>526.70000000000005</v>
      </c>
      <c r="AB70">
        <f t="shared" si="58"/>
        <v>164.2</v>
      </c>
      <c r="AC70">
        <f t="shared" si="59"/>
        <v>348.7</v>
      </c>
      <c r="AD70">
        <f t="shared" si="60"/>
        <v>0</v>
      </c>
      <c r="AE70">
        <f t="shared" si="61"/>
        <v>15.25</v>
      </c>
      <c r="AF70">
        <f t="shared" si="62"/>
        <v>19</v>
      </c>
      <c r="AG70">
        <f t="shared" si="63"/>
        <v>19</v>
      </c>
      <c r="AH70" t="e">
        <f t="shared" si="64"/>
        <v>#DIV/0!</v>
      </c>
      <c r="AI70">
        <f t="shared" si="65"/>
        <v>4.3172131147540984</v>
      </c>
      <c r="AJ70">
        <f t="shared" si="66"/>
        <v>1.0802631578947368</v>
      </c>
      <c r="AK70">
        <f t="shared" si="67"/>
        <v>2.2940789473684209</v>
      </c>
      <c r="AL70" t="str">
        <f t="shared" si="68"/>
        <v>-</v>
      </c>
      <c r="AM70">
        <f t="shared" si="69"/>
        <v>335.6</v>
      </c>
      <c r="AN70">
        <f t="shared" si="70"/>
        <v>125.6</v>
      </c>
      <c r="AO70">
        <f t="shared" si="71"/>
        <v>207.2</v>
      </c>
      <c r="AP70">
        <f t="shared" si="72"/>
        <v>0</v>
      </c>
      <c r="AQ70">
        <f t="shared" si="73"/>
        <v>10.25</v>
      </c>
      <c r="AR70">
        <f t="shared" si="74"/>
        <v>15</v>
      </c>
      <c r="AS70">
        <f t="shared" si="75"/>
        <v>12.5</v>
      </c>
      <c r="AT70" t="e">
        <f t="shared" si="76"/>
        <v>#DIV/0!</v>
      </c>
      <c r="AU70">
        <f t="shared" si="77"/>
        <v>4.0926829268292684</v>
      </c>
      <c r="AV70">
        <f t="shared" si="78"/>
        <v>1.0466666666666666</v>
      </c>
      <c r="AW70">
        <f t="shared" si="79"/>
        <v>2.0720000000000001</v>
      </c>
      <c r="AX70" t="str">
        <f t="shared" si="80"/>
        <v>-</v>
      </c>
    </row>
    <row r="71" spans="1:50">
      <c r="A71">
        <v>1213101</v>
      </c>
      <c r="B71" t="str">
        <f>_xlfn.XLOOKUP(A71,monthly_work_hours!A:A,monthly_work_hours!B:B)</f>
        <v>류성근</v>
      </c>
      <c r="C71" t="str">
        <f>_xlfn.XLOOKUP(A71,monthly_work_hours!A:A,monthly_work_hours!C:C)</f>
        <v>FL품질보증팀</v>
      </c>
      <c r="D71" t="str">
        <f>_xlfn.XLOOKUP(A71,monthly_work_hours!A:A,monthly_work_hours!D:D)</f>
        <v>선임</v>
      </c>
      <c r="E71">
        <f>SUMIFS(monthly_work_hours!$K:$K,monthly_work_hours!$A:$A,'FTE 계산'!$A71,monthly_work_hours!$F:$F,'FTE 계산'!E$2)</f>
        <v>186.5</v>
      </c>
      <c r="F71">
        <f>SUMIFS(monthly_work_hours!$K:$K,monthly_work_hours!$A:$A,'FTE 계산'!$A71,monthly_work_hours!$F:$F,'FTE 계산'!F$2)</f>
        <v>147.30000000000001</v>
      </c>
      <c r="G71">
        <f>SUMIFS(monthly_work_hours!$K:$K,monthly_work_hours!$A:$A,'FTE 계산'!$A71,monthly_work_hours!$F:$F,'FTE 계산'!G$2)</f>
        <v>104.7</v>
      </c>
      <c r="H71">
        <f>(SUMIFS(monthly_work_hours!$G:$G,monthly_work_hours!$A:$A,'FTE 계산'!$A71,monthly_work_hours!$F:$F,'FTE 계산'!H$2)) - (SUMIFS(monthly_work_hours!$J:$J,monthly_work_hours!$A:$A,'FTE 계산'!$A71,monthly_work_hours!$F:$F,'FTE 계산'!H$2))</f>
        <v>17</v>
      </c>
      <c r="I71">
        <f>(SUMIFS(monthly_work_hours!$G:$G,monthly_work_hours!$A:$A,'FTE 계산'!$A71,monthly_work_hours!$F:$F,'FTE 계산'!I$2)) - (SUMIFS(monthly_work_hours!$J:$J,monthly_work_hours!$A:$A,'FTE 계산'!$A71,monthly_work_hours!$F:$F,'FTE 계산'!I$2))</f>
        <v>16</v>
      </c>
      <c r="J71">
        <f>(SUMIFS(monthly_work_hours!$G:$G,monthly_work_hours!$A:$A,'FTE 계산'!$A71,monthly_work_hours!$F:$F,'FTE 계산'!J$2)) - (SUMIFS(monthly_work_hours!$J:$J,monthly_work_hours!$A:$A,'FTE 계산'!$A71,monthly_work_hours!$F:$F,'FTE 계산'!J$2))</f>
        <v>12</v>
      </c>
      <c r="N71" t="str">
        <v>설비혁신팀</v>
      </c>
      <c r="O71">
        <f t="shared" si="48"/>
        <v>259.5</v>
      </c>
      <c r="P71">
        <f t="shared" si="47"/>
        <v>259.5</v>
      </c>
      <c r="Q71">
        <f t="shared" si="47"/>
        <v>0</v>
      </c>
      <c r="R71">
        <f t="shared" si="47"/>
        <v>0</v>
      </c>
      <c r="S71">
        <f t="shared" si="49"/>
        <v>14.5</v>
      </c>
      <c r="T71">
        <f t="shared" si="50"/>
        <v>14.5</v>
      </c>
      <c r="U71" t="e">
        <f t="shared" si="51"/>
        <v>#DIV/0!</v>
      </c>
      <c r="V71" t="e">
        <f t="shared" si="52"/>
        <v>#DIV/0!</v>
      </c>
      <c r="W71">
        <f t="shared" si="53"/>
        <v>2.2370689655172415</v>
      </c>
      <c r="X71">
        <f t="shared" si="54"/>
        <v>2.2370689655172415</v>
      </c>
      <c r="Y71" t="str">
        <f t="shared" si="55"/>
        <v>-</v>
      </c>
      <c r="Z71" t="str">
        <f t="shared" si="56"/>
        <v>-</v>
      </c>
      <c r="AA71">
        <f t="shared" si="57"/>
        <v>390</v>
      </c>
      <c r="AB71">
        <f t="shared" si="58"/>
        <v>390</v>
      </c>
      <c r="AC71">
        <f t="shared" si="59"/>
        <v>0</v>
      </c>
      <c r="AD71">
        <f t="shared" si="60"/>
        <v>0</v>
      </c>
      <c r="AE71">
        <f t="shared" si="61"/>
        <v>18.5</v>
      </c>
      <c r="AF71">
        <f t="shared" si="62"/>
        <v>18.5</v>
      </c>
      <c r="AG71" t="e">
        <f t="shared" si="63"/>
        <v>#DIV/0!</v>
      </c>
      <c r="AH71" t="e">
        <f t="shared" si="64"/>
        <v>#DIV/0!</v>
      </c>
      <c r="AI71">
        <f t="shared" si="65"/>
        <v>2.6351351351351351</v>
      </c>
      <c r="AJ71">
        <f t="shared" si="66"/>
        <v>2.6351351351351351</v>
      </c>
      <c r="AK71" t="str">
        <f t="shared" si="67"/>
        <v>-</v>
      </c>
      <c r="AL71" t="str">
        <f t="shared" si="68"/>
        <v>-</v>
      </c>
      <c r="AM71">
        <f t="shared" si="69"/>
        <v>234.2</v>
      </c>
      <c r="AN71">
        <f t="shared" si="70"/>
        <v>234.2</v>
      </c>
      <c r="AO71">
        <f t="shared" si="71"/>
        <v>0</v>
      </c>
      <c r="AP71">
        <f t="shared" si="72"/>
        <v>0</v>
      </c>
      <c r="AQ71">
        <f t="shared" si="73"/>
        <v>13</v>
      </c>
      <c r="AR71">
        <f t="shared" si="74"/>
        <v>13</v>
      </c>
      <c r="AS71" t="e">
        <f t="shared" si="75"/>
        <v>#DIV/0!</v>
      </c>
      <c r="AT71" t="e">
        <f t="shared" si="76"/>
        <v>#DIV/0!</v>
      </c>
      <c r="AU71">
        <f t="shared" si="77"/>
        <v>2.2519230769230769</v>
      </c>
      <c r="AV71">
        <f t="shared" si="78"/>
        <v>2.2519230769230769</v>
      </c>
      <c r="AW71" t="str">
        <f t="shared" si="79"/>
        <v>-</v>
      </c>
      <c r="AX71" t="str">
        <f t="shared" si="80"/>
        <v>-</v>
      </c>
    </row>
    <row r="72" spans="1:50">
      <c r="A72">
        <v>1213150</v>
      </c>
      <c r="B72" t="str">
        <f>_xlfn.XLOOKUP(A72,monthly_work_hours!A:A,monthly_work_hours!B:B)</f>
        <v>이동훈</v>
      </c>
      <c r="C72" t="str">
        <f>_xlfn.XLOOKUP(A72,monthly_work_hours!A:A,monthly_work_hours!C:C)</f>
        <v>SL개발팀</v>
      </c>
      <c r="D72" t="str">
        <f>_xlfn.XLOOKUP(A72,monthly_work_hours!A:A,monthly_work_hours!D:D)</f>
        <v>선임</v>
      </c>
      <c r="E72">
        <f>SUMIFS(monthly_work_hours!$K:$K,monthly_work_hours!$A:$A,'FTE 계산'!$A72,monthly_work_hours!$F:$F,'FTE 계산'!E$2)</f>
        <v>0</v>
      </c>
      <c r="F72">
        <f>SUMIFS(monthly_work_hours!$K:$K,monthly_work_hours!$A:$A,'FTE 계산'!$A72,monthly_work_hours!$F:$F,'FTE 계산'!F$2)</f>
        <v>0</v>
      </c>
      <c r="G72">
        <f>SUMIFS(monthly_work_hours!$K:$K,monthly_work_hours!$A:$A,'FTE 계산'!$A72,monthly_work_hours!$F:$F,'FTE 계산'!G$2)</f>
        <v>0.3</v>
      </c>
      <c r="H72">
        <f>(SUMIFS(monthly_work_hours!$G:$G,monthly_work_hours!$A:$A,'FTE 계산'!$A72,monthly_work_hours!$F:$F,'FTE 계산'!H$2)) - (SUMIFS(monthly_work_hours!$J:$J,monthly_work_hours!$A:$A,'FTE 계산'!$A72,monthly_work_hours!$F:$F,'FTE 계산'!H$2))</f>
        <v>0</v>
      </c>
      <c r="I72">
        <f>(SUMIFS(monthly_work_hours!$G:$G,monthly_work_hours!$A:$A,'FTE 계산'!$A72,monthly_work_hours!$F:$F,'FTE 계산'!I$2)) - (SUMIFS(monthly_work_hours!$J:$J,monthly_work_hours!$A:$A,'FTE 계산'!$A72,monthly_work_hours!$F:$F,'FTE 계산'!I$2))</f>
        <v>0</v>
      </c>
      <c r="J72">
        <f>(SUMIFS(monthly_work_hours!$G:$G,monthly_work_hours!$A:$A,'FTE 계산'!$A72,monthly_work_hours!$F:$F,'FTE 계산'!J$2)) - (SUMIFS(monthly_work_hours!$J:$J,monthly_work_hours!$A:$A,'FTE 계산'!$A72,monthly_work_hours!$F:$F,'FTE 계산'!J$2))</f>
        <v>1</v>
      </c>
      <c r="N72" t="str">
        <v>생산2팀</v>
      </c>
      <c r="O72">
        <f t="shared" si="48"/>
        <v>229</v>
      </c>
      <c r="P72">
        <f t="shared" si="47"/>
        <v>64.3</v>
      </c>
      <c r="Q72">
        <f t="shared" si="47"/>
        <v>164.7</v>
      </c>
      <c r="R72">
        <f t="shared" si="47"/>
        <v>0</v>
      </c>
      <c r="S72">
        <f t="shared" si="49"/>
        <v>13.5</v>
      </c>
      <c r="T72">
        <f t="shared" si="50"/>
        <v>9</v>
      </c>
      <c r="U72">
        <f t="shared" si="51"/>
        <v>18</v>
      </c>
      <c r="V72" t="e">
        <f t="shared" si="52"/>
        <v>#DIV/0!</v>
      </c>
      <c r="W72">
        <f t="shared" si="53"/>
        <v>2.1203703703703702</v>
      </c>
      <c r="X72">
        <f t="shared" si="54"/>
        <v>0.89305555555555549</v>
      </c>
      <c r="Y72">
        <f t="shared" si="55"/>
        <v>1.1437499999999998</v>
      </c>
      <c r="Z72" t="str">
        <f t="shared" si="56"/>
        <v>-</v>
      </c>
      <c r="AA72">
        <f t="shared" si="57"/>
        <v>287.8</v>
      </c>
      <c r="AB72">
        <f t="shared" si="58"/>
        <v>119</v>
      </c>
      <c r="AC72">
        <f t="shared" si="59"/>
        <v>168.8</v>
      </c>
      <c r="AD72">
        <f t="shared" si="60"/>
        <v>0</v>
      </c>
      <c r="AE72">
        <f t="shared" si="61"/>
        <v>16</v>
      </c>
      <c r="AF72">
        <f t="shared" si="62"/>
        <v>16</v>
      </c>
      <c r="AG72">
        <f t="shared" si="63"/>
        <v>16</v>
      </c>
      <c r="AH72" t="e">
        <f t="shared" si="64"/>
        <v>#DIV/0!</v>
      </c>
      <c r="AI72">
        <f t="shared" si="65"/>
        <v>2.2484375000000001</v>
      </c>
      <c r="AJ72">
        <f t="shared" si="66"/>
        <v>0.9296875</v>
      </c>
      <c r="AK72">
        <f t="shared" si="67"/>
        <v>1.3187500000000001</v>
      </c>
      <c r="AL72" t="str">
        <f t="shared" si="68"/>
        <v>-</v>
      </c>
      <c r="AM72">
        <f t="shared" si="69"/>
        <v>222.7</v>
      </c>
      <c r="AN72">
        <f t="shared" si="70"/>
        <v>96.2</v>
      </c>
      <c r="AO72">
        <f t="shared" si="71"/>
        <v>126.5</v>
      </c>
      <c r="AP72">
        <f t="shared" si="72"/>
        <v>0</v>
      </c>
      <c r="AQ72">
        <f t="shared" si="73"/>
        <v>13.5</v>
      </c>
      <c r="AR72">
        <f t="shared" si="74"/>
        <v>13</v>
      </c>
      <c r="AS72">
        <f t="shared" si="75"/>
        <v>14</v>
      </c>
      <c r="AT72" t="e">
        <f t="shared" si="76"/>
        <v>#DIV/0!</v>
      </c>
      <c r="AU72">
        <f t="shared" si="77"/>
        <v>2.0620370370370371</v>
      </c>
      <c r="AV72">
        <f t="shared" si="78"/>
        <v>0.92500000000000004</v>
      </c>
      <c r="AW72">
        <f t="shared" si="79"/>
        <v>1.1294642857142858</v>
      </c>
      <c r="AX72" t="str">
        <f t="shared" si="80"/>
        <v>-</v>
      </c>
    </row>
    <row r="73" spans="1:50">
      <c r="A73">
        <v>1213151</v>
      </c>
      <c r="B73" t="str">
        <f>_xlfn.XLOOKUP(A73,monthly_work_hours!A:A,monthly_work_hours!B:B)</f>
        <v>이무형</v>
      </c>
      <c r="C73" t="str">
        <f>_xlfn.XLOOKUP(A73,monthly_work_hours!A:A,monthly_work_hours!C:C)</f>
        <v>SL설계팀</v>
      </c>
      <c r="D73" t="str">
        <f>_xlfn.XLOOKUP(A73,monthly_work_hours!A:A,monthly_work_hours!D:D)</f>
        <v>선임</v>
      </c>
      <c r="E73">
        <f>SUMIFS(monthly_work_hours!$K:$K,monthly_work_hours!$A:$A,'FTE 계산'!$A73,monthly_work_hours!$F:$F,'FTE 계산'!E$2)</f>
        <v>8</v>
      </c>
      <c r="F73">
        <f>SUMIFS(monthly_work_hours!$K:$K,monthly_work_hours!$A:$A,'FTE 계산'!$A73,monthly_work_hours!$F:$F,'FTE 계산'!F$2)</f>
        <v>32</v>
      </c>
      <c r="G73">
        <f>SUMIFS(monthly_work_hours!$K:$K,monthly_work_hours!$A:$A,'FTE 계산'!$A73,monthly_work_hours!$F:$F,'FTE 계산'!G$2)</f>
        <v>11.9</v>
      </c>
      <c r="H73">
        <f>(SUMIFS(monthly_work_hours!$G:$G,monthly_work_hours!$A:$A,'FTE 계산'!$A73,monthly_work_hours!$F:$F,'FTE 계산'!H$2)) - (SUMIFS(monthly_work_hours!$J:$J,monthly_work_hours!$A:$A,'FTE 계산'!$A73,monthly_work_hours!$F:$F,'FTE 계산'!H$2))</f>
        <v>2</v>
      </c>
      <c r="I73">
        <f>(SUMIFS(monthly_work_hours!$G:$G,monthly_work_hours!$A:$A,'FTE 계산'!$A73,monthly_work_hours!$F:$F,'FTE 계산'!I$2)) - (SUMIFS(monthly_work_hours!$J:$J,monthly_work_hours!$A:$A,'FTE 계산'!$A73,monthly_work_hours!$F:$F,'FTE 계산'!I$2))</f>
        <v>6</v>
      </c>
      <c r="J73">
        <f>(SUMIFS(monthly_work_hours!$G:$G,monthly_work_hours!$A:$A,'FTE 계산'!$A73,monthly_work_hours!$F:$F,'FTE 계산'!J$2)) - (SUMIFS(monthly_work_hours!$J:$J,monthly_work_hours!$A:$A,'FTE 계산'!$A73,monthly_work_hours!$F:$F,'FTE 계산'!J$2))</f>
        <v>3</v>
      </c>
      <c r="N73" t="str">
        <v>영업지원팀</v>
      </c>
      <c r="O73">
        <f t="shared" si="48"/>
        <v>516.70000000000005</v>
      </c>
      <c r="P73">
        <f t="shared" si="47"/>
        <v>0</v>
      </c>
      <c r="Q73">
        <f t="shared" si="47"/>
        <v>352.8</v>
      </c>
      <c r="R73">
        <f t="shared" si="47"/>
        <v>163.9</v>
      </c>
      <c r="S73">
        <f t="shared" si="49"/>
        <v>19</v>
      </c>
      <c r="T73" t="e">
        <f t="shared" si="50"/>
        <v>#DIV/0!</v>
      </c>
      <c r="U73">
        <f t="shared" si="51"/>
        <v>19</v>
      </c>
      <c r="V73">
        <f t="shared" si="52"/>
        <v>19</v>
      </c>
      <c r="W73">
        <f t="shared" si="53"/>
        <v>3.3993421052631581</v>
      </c>
      <c r="X73" t="str">
        <f t="shared" si="54"/>
        <v>-</v>
      </c>
      <c r="Y73">
        <f t="shared" si="55"/>
        <v>2.3210526315789473</v>
      </c>
      <c r="Z73">
        <f t="shared" si="56"/>
        <v>1.0782894736842106</v>
      </c>
      <c r="AA73">
        <f t="shared" si="57"/>
        <v>498.9</v>
      </c>
      <c r="AB73">
        <f t="shared" si="58"/>
        <v>0</v>
      </c>
      <c r="AC73">
        <f t="shared" si="59"/>
        <v>335.1</v>
      </c>
      <c r="AD73">
        <f t="shared" si="60"/>
        <v>163.80000000000001</v>
      </c>
      <c r="AE73">
        <f t="shared" si="61"/>
        <v>18.666666666666668</v>
      </c>
      <c r="AF73" t="e">
        <f t="shared" si="62"/>
        <v>#DIV/0!</v>
      </c>
      <c r="AG73">
        <f t="shared" si="63"/>
        <v>18.5</v>
      </c>
      <c r="AH73">
        <f t="shared" si="64"/>
        <v>19</v>
      </c>
      <c r="AI73">
        <f t="shared" si="65"/>
        <v>3.3408482142857139</v>
      </c>
      <c r="AJ73" t="str">
        <f t="shared" si="66"/>
        <v>-</v>
      </c>
      <c r="AK73">
        <f t="shared" si="67"/>
        <v>2.2641891891891892</v>
      </c>
      <c r="AL73">
        <f t="shared" si="68"/>
        <v>1.0776315789473685</v>
      </c>
      <c r="AM73">
        <f t="shared" si="69"/>
        <v>425.7</v>
      </c>
      <c r="AN73">
        <f t="shared" si="70"/>
        <v>0</v>
      </c>
      <c r="AO73">
        <f t="shared" si="71"/>
        <v>282.7</v>
      </c>
      <c r="AP73">
        <f t="shared" si="72"/>
        <v>143</v>
      </c>
      <c r="AQ73">
        <f t="shared" si="73"/>
        <v>16.333333333333332</v>
      </c>
      <c r="AR73" t="e">
        <f t="shared" si="74"/>
        <v>#DIV/0!</v>
      </c>
      <c r="AS73">
        <f t="shared" si="75"/>
        <v>16.5</v>
      </c>
      <c r="AT73">
        <f t="shared" si="76"/>
        <v>16</v>
      </c>
      <c r="AU73">
        <f t="shared" si="77"/>
        <v>3.2579081632653062</v>
      </c>
      <c r="AV73" t="str">
        <f t="shared" si="78"/>
        <v>-</v>
      </c>
      <c r="AW73">
        <f t="shared" si="79"/>
        <v>2.1416666666666666</v>
      </c>
      <c r="AX73">
        <f t="shared" si="80"/>
        <v>1.1171875</v>
      </c>
    </row>
    <row r="74" spans="1:50">
      <c r="A74">
        <v>1213173</v>
      </c>
      <c r="B74" t="str">
        <f>_xlfn.XLOOKUP(A74,monthly_work_hours!A:A,monthly_work_hours!B:B)</f>
        <v>김영욱</v>
      </c>
      <c r="C74" t="str">
        <f>_xlfn.XLOOKUP(A74,monthly_work_hours!A:A,monthly_work_hours!C:C)</f>
        <v>열관리설계팀</v>
      </c>
      <c r="D74" t="str">
        <f>_xlfn.XLOOKUP(A74,monthly_work_hours!A:A,monthly_work_hours!D:D)</f>
        <v>선임</v>
      </c>
      <c r="E74">
        <f>SUMIFS(monthly_work_hours!$K:$K,monthly_work_hours!$A:$A,'FTE 계산'!$A74,monthly_work_hours!$F:$F,'FTE 계산'!E$2)</f>
        <v>143.30000000000001</v>
      </c>
      <c r="F74">
        <f>SUMIFS(monthly_work_hours!$K:$K,monthly_work_hours!$A:$A,'FTE 계산'!$A74,monthly_work_hours!$F:$F,'FTE 계산'!F$2)</f>
        <v>137.80000000000001</v>
      </c>
      <c r="G74">
        <f>SUMIFS(monthly_work_hours!$K:$K,monthly_work_hours!$A:$A,'FTE 계산'!$A74,monthly_work_hours!$F:$F,'FTE 계산'!G$2)</f>
        <v>112.6</v>
      </c>
      <c r="H74">
        <f>(SUMIFS(monthly_work_hours!$G:$G,monthly_work_hours!$A:$A,'FTE 계산'!$A74,monthly_work_hours!$F:$F,'FTE 계산'!H$2)) - (SUMIFS(monthly_work_hours!$J:$J,monthly_work_hours!$A:$A,'FTE 계산'!$A74,monthly_work_hours!$F:$F,'FTE 계산'!H$2))</f>
        <v>16</v>
      </c>
      <c r="I74">
        <f>(SUMIFS(monthly_work_hours!$G:$G,monthly_work_hours!$A:$A,'FTE 계산'!$A74,monthly_work_hours!$F:$F,'FTE 계산'!I$2)) - (SUMIFS(monthly_work_hours!$J:$J,monthly_work_hours!$A:$A,'FTE 계산'!$A74,monthly_work_hours!$F:$F,'FTE 계산'!I$2))</f>
        <v>17</v>
      </c>
      <c r="J74">
        <f>(SUMIFS(monthly_work_hours!$G:$G,monthly_work_hours!$A:$A,'FTE 계산'!$A74,monthly_work_hours!$F:$F,'FTE 계산'!J$2)) - (SUMIFS(monthly_work_hours!$J:$J,monthly_work_hours!$A:$A,'FTE 계산'!$A74,monthly_work_hours!$F:$F,'FTE 계산'!J$2))</f>
        <v>15</v>
      </c>
      <c r="N74" t="str">
        <v>CMB영업팀</v>
      </c>
      <c r="O74">
        <f t="shared" si="48"/>
        <v>946.80000000000007</v>
      </c>
      <c r="P74">
        <f t="shared" si="47"/>
        <v>299.7</v>
      </c>
      <c r="Q74">
        <f t="shared" si="47"/>
        <v>311.2</v>
      </c>
      <c r="R74">
        <f t="shared" si="47"/>
        <v>335.9</v>
      </c>
      <c r="S74">
        <f t="shared" si="49"/>
        <v>18</v>
      </c>
      <c r="T74">
        <f t="shared" si="50"/>
        <v>18</v>
      </c>
      <c r="U74">
        <f t="shared" si="51"/>
        <v>18</v>
      </c>
      <c r="V74">
        <f t="shared" si="52"/>
        <v>18</v>
      </c>
      <c r="W74">
        <f t="shared" si="53"/>
        <v>6.5750000000000002</v>
      </c>
      <c r="X74">
        <f t="shared" si="54"/>
        <v>2.0812499999999998</v>
      </c>
      <c r="Y74">
        <f t="shared" si="55"/>
        <v>2.161111111111111</v>
      </c>
      <c r="Z74">
        <f t="shared" si="56"/>
        <v>2.3326388888888889</v>
      </c>
      <c r="AA74">
        <f t="shared" si="57"/>
        <v>906.50000000000011</v>
      </c>
      <c r="AB74">
        <f t="shared" si="58"/>
        <v>282.10000000000002</v>
      </c>
      <c r="AC74">
        <f t="shared" si="59"/>
        <v>283.5</v>
      </c>
      <c r="AD74">
        <f t="shared" si="60"/>
        <v>340.9</v>
      </c>
      <c r="AE74">
        <f t="shared" si="61"/>
        <v>16.833333333333332</v>
      </c>
      <c r="AF74">
        <f t="shared" si="62"/>
        <v>16.5</v>
      </c>
      <c r="AG74">
        <f t="shared" si="63"/>
        <v>16</v>
      </c>
      <c r="AH74">
        <f t="shared" si="64"/>
        <v>18</v>
      </c>
      <c r="AI74">
        <f t="shared" si="65"/>
        <v>6.7314356435643576</v>
      </c>
      <c r="AJ74">
        <f t="shared" si="66"/>
        <v>2.1371212121212122</v>
      </c>
      <c r="AK74">
        <f t="shared" si="67"/>
        <v>2.21484375</v>
      </c>
      <c r="AL74">
        <f t="shared" si="68"/>
        <v>2.3673611111111108</v>
      </c>
      <c r="AM74">
        <f t="shared" si="69"/>
        <v>732.8</v>
      </c>
      <c r="AN74">
        <f t="shared" si="70"/>
        <v>237.3</v>
      </c>
      <c r="AO74">
        <f t="shared" si="71"/>
        <v>248.20000000000002</v>
      </c>
      <c r="AP74">
        <f t="shared" si="72"/>
        <v>247.3</v>
      </c>
      <c r="AQ74">
        <f t="shared" si="73"/>
        <v>14.833333333333334</v>
      </c>
      <c r="AR74">
        <f t="shared" si="74"/>
        <v>15</v>
      </c>
      <c r="AS74">
        <f t="shared" si="75"/>
        <v>15</v>
      </c>
      <c r="AT74">
        <f t="shared" si="76"/>
        <v>14.5</v>
      </c>
      <c r="AU74">
        <f t="shared" si="77"/>
        <v>6.1752808988764043</v>
      </c>
      <c r="AV74">
        <f t="shared" si="78"/>
        <v>1.9775</v>
      </c>
      <c r="AW74">
        <f t="shared" si="79"/>
        <v>2.0683333333333334</v>
      </c>
      <c r="AX74">
        <f t="shared" si="80"/>
        <v>2.1318965517241382</v>
      </c>
    </row>
    <row r="75" spans="1:50">
      <c r="A75">
        <v>1214002</v>
      </c>
      <c r="B75" t="str">
        <f>_xlfn.XLOOKUP(A75,monthly_work_hours!A:A,monthly_work_hours!B:B)</f>
        <v>김명진</v>
      </c>
      <c r="C75" t="str">
        <f>_xlfn.XLOOKUP(A75,monthly_work_hours!A:A,monthly_work_hours!C:C)</f>
        <v>SL구매팀</v>
      </c>
      <c r="D75" t="str">
        <f>_xlfn.XLOOKUP(A75,monthly_work_hours!A:A,monthly_work_hours!D:D)</f>
        <v>선임</v>
      </c>
      <c r="E75">
        <f>SUMIFS(monthly_work_hours!$K:$K,monthly_work_hours!$A:$A,'FTE 계산'!$A75,monthly_work_hours!$F:$F,'FTE 계산'!E$2)</f>
        <v>180.5</v>
      </c>
      <c r="F75">
        <f>SUMIFS(monthly_work_hours!$K:$K,monthly_work_hours!$A:$A,'FTE 계산'!$A75,monthly_work_hours!$F:$F,'FTE 계산'!F$2)</f>
        <v>163</v>
      </c>
      <c r="G75">
        <f>SUMIFS(monthly_work_hours!$K:$K,monthly_work_hours!$A:$A,'FTE 계산'!$A75,monthly_work_hours!$F:$F,'FTE 계산'!G$2)</f>
        <v>143.9</v>
      </c>
      <c r="H75">
        <f>(SUMIFS(monthly_work_hours!$G:$G,monthly_work_hours!$A:$A,'FTE 계산'!$A75,monthly_work_hours!$F:$F,'FTE 계산'!H$2)) - (SUMIFS(monthly_work_hours!$J:$J,monthly_work_hours!$A:$A,'FTE 계산'!$A75,monthly_work_hours!$F:$F,'FTE 계산'!H$2))</f>
        <v>18</v>
      </c>
      <c r="I75">
        <f>(SUMIFS(monthly_work_hours!$G:$G,monthly_work_hours!$A:$A,'FTE 계산'!$A75,monthly_work_hours!$F:$F,'FTE 계산'!I$2)) - (SUMIFS(monthly_work_hours!$J:$J,monthly_work_hours!$A:$A,'FTE 계산'!$A75,monthly_work_hours!$F:$F,'FTE 계산'!I$2))</f>
        <v>16</v>
      </c>
      <c r="J75">
        <f>(SUMIFS(monthly_work_hours!$G:$G,monthly_work_hours!$A:$A,'FTE 계산'!$A75,monthly_work_hours!$F:$F,'FTE 계산'!J$2)) - (SUMIFS(monthly_work_hours!$J:$J,monthly_work_hours!$A:$A,'FTE 계산'!$A75,monthly_work_hours!$F:$F,'FTE 계산'!J$2))</f>
        <v>15</v>
      </c>
      <c r="N75" t="str">
        <v>TPE영업팀</v>
      </c>
      <c r="O75">
        <f t="shared" si="48"/>
        <v>761.2</v>
      </c>
      <c r="P75">
        <f t="shared" si="47"/>
        <v>302.10000000000002</v>
      </c>
      <c r="Q75">
        <f t="shared" si="47"/>
        <v>459.1</v>
      </c>
      <c r="R75">
        <f t="shared" si="47"/>
        <v>0</v>
      </c>
      <c r="S75">
        <f t="shared" si="49"/>
        <v>16.399999999999999</v>
      </c>
      <c r="T75">
        <f t="shared" si="50"/>
        <v>16</v>
      </c>
      <c r="U75">
        <f t="shared" si="51"/>
        <v>16.666666666666668</v>
      </c>
      <c r="V75" t="e">
        <f t="shared" si="52"/>
        <v>#DIV/0!</v>
      </c>
      <c r="W75">
        <f t="shared" si="53"/>
        <v>5.8018292682926838</v>
      </c>
      <c r="X75">
        <f t="shared" si="54"/>
        <v>2.3601562500000002</v>
      </c>
      <c r="Y75">
        <f t="shared" si="55"/>
        <v>3.4432499999999999</v>
      </c>
      <c r="Z75" t="str">
        <f t="shared" si="56"/>
        <v>-</v>
      </c>
      <c r="AA75">
        <f t="shared" si="57"/>
        <v>841</v>
      </c>
      <c r="AB75">
        <f t="shared" si="58"/>
        <v>342.7</v>
      </c>
      <c r="AC75">
        <f t="shared" si="59"/>
        <v>498.30000000000007</v>
      </c>
      <c r="AD75">
        <f t="shared" si="60"/>
        <v>0</v>
      </c>
      <c r="AE75">
        <f t="shared" si="61"/>
        <v>18.2</v>
      </c>
      <c r="AF75">
        <f t="shared" si="62"/>
        <v>18.5</v>
      </c>
      <c r="AG75">
        <f t="shared" si="63"/>
        <v>18</v>
      </c>
      <c r="AH75" t="e">
        <f t="shared" si="64"/>
        <v>#DIV/0!</v>
      </c>
      <c r="AI75">
        <f t="shared" si="65"/>
        <v>5.7760989010989015</v>
      </c>
      <c r="AJ75">
        <f t="shared" si="66"/>
        <v>2.3155405405405403</v>
      </c>
      <c r="AK75">
        <f t="shared" si="67"/>
        <v>3.4604166666666671</v>
      </c>
      <c r="AL75" t="str">
        <f t="shared" si="68"/>
        <v>-</v>
      </c>
      <c r="AM75">
        <f t="shared" si="69"/>
        <v>668.5</v>
      </c>
      <c r="AN75">
        <f t="shared" si="70"/>
        <v>281.3</v>
      </c>
      <c r="AO75">
        <f t="shared" si="71"/>
        <v>387.2</v>
      </c>
      <c r="AP75">
        <f t="shared" si="72"/>
        <v>0</v>
      </c>
      <c r="AQ75">
        <f t="shared" si="73"/>
        <v>15.2</v>
      </c>
      <c r="AR75">
        <f t="shared" si="74"/>
        <v>16</v>
      </c>
      <c r="AS75">
        <f t="shared" si="75"/>
        <v>14.666666666666666</v>
      </c>
      <c r="AT75" t="e">
        <f t="shared" si="76"/>
        <v>#DIV/0!</v>
      </c>
      <c r="AU75">
        <f t="shared" si="77"/>
        <v>5.4975328947368425</v>
      </c>
      <c r="AV75">
        <f t="shared" si="78"/>
        <v>2.1976562500000001</v>
      </c>
      <c r="AW75">
        <f t="shared" si="79"/>
        <v>3.3</v>
      </c>
      <c r="AX75" t="str">
        <f t="shared" si="80"/>
        <v>-</v>
      </c>
    </row>
    <row r="76" spans="1:50">
      <c r="A76">
        <v>1214054</v>
      </c>
      <c r="B76" t="str">
        <f>_xlfn.XLOOKUP(A76,monthly_work_hours!A:A,monthly_work_hours!B:B)</f>
        <v>나진수</v>
      </c>
      <c r="C76" t="str">
        <f>_xlfn.XLOOKUP(A76,monthly_work_hours!A:A,monthly_work_hours!C:C)</f>
        <v>SL생산기술팀</v>
      </c>
      <c r="D76" t="str">
        <f>_xlfn.XLOOKUP(A76,monthly_work_hours!A:A,monthly_work_hours!D:D)</f>
        <v>기능대리</v>
      </c>
      <c r="E76">
        <f>SUMIFS(monthly_work_hours!$K:$K,monthly_work_hours!$A:$A,'FTE 계산'!$A76,monthly_work_hours!$F:$F,'FTE 계산'!E$2)</f>
        <v>170.9</v>
      </c>
      <c r="F76">
        <f>SUMIFS(monthly_work_hours!$K:$K,monthly_work_hours!$A:$A,'FTE 계산'!$A76,monthly_work_hours!$F:$F,'FTE 계산'!F$2)</f>
        <v>107.6</v>
      </c>
      <c r="G76">
        <f>SUMIFS(monthly_work_hours!$K:$K,monthly_work_hours!$A:$A,'FTE 계산'!$A76,monthly_work_hours!$F:$F,'FTE 계산'!G$2)</f>
        <v>61.8</v>
      </c>
      <c r="H76">
        <f>(SUMIFS(monthly_work_hours!$G:$G,monthly_work_hours!$A:$A,'FTE 계산'!$A76,monthly_work_hours!$F:$F,'FTE 계산'!H$2)) - (SUMIFS(monthly_work_hours!$J:$J,monthly_work_hours!$A:$A,'FTE 계산'!$A76,monthly_work_hours!$F:$F,'FTE 계산'!H$2))</f>
        <v>19</v>
      </c>
      <c r="I76">
        <f>(SUMIFS(monthly_work_hours!$G:$G,monthly_work_hours!$A:$A,'FTE 계산'!$A76,monthly_work_hours!$F:$F,'FTE 계산'!I$2)) - (SUMIFS(monthly_work_hours!$J:$J,monthly_work_hours!$A:$A,'FTE 계산'!$A76,monthly_work_hours!$F:$F,'FTE 계산'!I$2))</f>
        <v>19</v>
      </c>
      <c r="J76">
        <f>(SUMIFS(monthly_work_hours!$G:$G,monthly_work_hours!$A:$A,'FTE 계산'!$A76,monthly_work_hours!$F:$F,'FTE 계산'!J$2)) - (SUMIFS(monthly_work_hours!$J:$J,monthly_work_hours!$A:$A,'FTE 계산'!$A76,monthly_work_hours!$F:$F,'FTE 계산'!J$2))</f>
        <v>15</v>
      </c>
      <c r="N76" t="str">
        <v>IT 2팀</v>
      </c>
      <c r="O76">
        <f t="shared" si="48"/>
        <v>1049.8</v>
      </c>
      <c r="P76">
        <f t="shared" si="47"/>
        <v>178</v>
      </c>
      <c r="Q76">
        <f t="shared" si="47"/>
        <v>507</v>
      </c>
      <c r="R76">
        <f t="shared" si="47"/>
        <v>364.8</v>
      </c>
      <c r="S76">
        <f t="shared" si="49"/>
        <v>13.25</v>
      </c>
      <c r="T76">
        <f t="shared" si="50"/>
        <v>18</v>
      </c>
      <c r="U76">
        <f t="shared" si="51"/>
        <v>13.25</v>
      </c>
      <c r="V76">
        <f t="shared" si="52"/>
        <v>11.666666666666666</v>
      </c>
      <c r="W76">
        <f t="shared" si="53"/>
        <v>9.9037735849056592</v>
      </c>
      <c r="X76">
        <f t="shared" si="54"/>
        <v>1.2361111111111112</v>
      </c>
      <c r="Y76">
        <f t="shared" si="55"/>
        <v>4.783018867924528</v>
      </c>
      <c r="Z76">
        <f t="shared" si="56"/>
        <v>3.9085714285714288</v>
      </c>
      <c r="AA76">
        <f t="shared" si="57"/>
        <v>1124</v>
      </c>
      <c r="AB76">
        <f t="shared" si="58"/>
        <v>153.9</v>
      </c>
      <c r="AC76">
        <f t="shared" si="59"/>
        <v>577.4</v>
      </c>
      <c r="AD76">
        <f t="shared" si="60"/>
        <v>392.70000000000005</v>
      </c>
      <c r="AE76">
        <f t="shared" si="61"/>
        <v>15.875</v>
      </c>
      <c r="AF76">
        <f t="shared" si="62"/>
        <v>16</v>
      </c>
      <c r="AG76">
        <f t="shared" si="63"/>
        <v>17.5</v>
      </c>
      <c r="AH76">
        <f t="shared" si="64"/>
        <v>13.666666666666666</v>
      </c>
      <c r="AI76">
        <f t="shared" si="65"/>
        <v>8.8503937007874018</v>
      </c>
      <c r="AJ76">
        <f t="shared" si="66"/>
        <v>1.20234375</v>
      </c>
      <c r="AK76">
        <f t="shared" si="67"/>
        <v>4.1242857142857146</v>
      </c>
      <c r="AL76">
        <f t="shared" si="68"/>
        <v>3.5917682926829273</v>
      </c>
      <c r="AM76">
        <f t="shared" si="69"/>
        <v>997.99999999999989</v>
      </c>
      <c r="AN76">
        <f t="shared" si="70"/>
        <v>143</v>
      </c>
      <c r="AO76">
        <f t="shared" si="71"/>
        <v>500.00000000000006</v>
      </c>
      <c r="AP76">
        <f t="shared" si="72"/>
        <v>355</v>
      </c>
      <c r="AQ76">
        <f t="shared" si="73"/>
        <v>14.125</v>
      </c>
      <c r="AR76">
        <f t="shared" si="74"/>
        <v>17</v>
      </c>
      <c r="AS76">
        <f t="shared" si="75"/>
        <v>14.25</v>
      </c>
      <c r="AT76">
        <f t="shared" si="76"/>
        <v>13</v>
      </c>
      <c r="AU76">
        <f t="shared" si="77"/>
        <v>8.8318584070796451</v>
      </c>
      <c r="AV76">
        <f t="shared" si="78"/>
        <v>1.0514705882352942</v>
      </c>
      <c r="AW76">
        <f t="shared" si="79"/>
        <v>4.3859649122807021</v>
      </c>
      <c r="AX76">
        <f t="shared" si="80"/>
        <v>3.4134615384615383</v>
      </c>
    </row>
    <row r="77" spans="1:50">
      <c r="A77">
        <v>1214099</v>
      </c>
      <c r="B77" t="str">
        <f>_xlfn.XLOOKUP(A77,monthly_work_hours!A:A,monthly_work_hours!B:B)</f>
        <v>성열민</v>
      </c>
      <c r="C77" t="str">
        <f>_xlfn.XLOOKUP(A77,monthly_work_hours!A:A,monthly_work_hours!C:C)</f>
        <v>B/H사업팀</v>
      </c>
      <c r="D77" t="str">
        <f>_xlfn.XLOOKUP(A77,monthly_work_hours!A:A,monthly_work_hours!D:D)</f>
        <v>책임</v>
      </c>
      <c r="E77">
        <f>SUMIFS(monthly_work_hours!$K:$K,monthly_work_hours!$A:$A,'FTE 계산'!$A77,monthly_work_hours!$F:$F,'FTE 계산'!E$2)</f>
        <v>194.6</v>
      </c>
      <c r="F77">
        <f>SUMIFS(monthly_work_hours!$K:$K,monthly_work_hours!$A:$A,'FTE 계산'!$A77,monthly_work_hours!$F:$F,'FTE 계산'!F$2)</f>
        <v>190.4</v>
      </c>
      <c r="G77">
        <f>SUMIFS(monthly_work_hours!$K:$K,monthly_work_hours!$A:$A,'FTE 계산'!$A77,monthly_work_hours!$F:$F,'FTE 계산'!G$2)</f>
        <v>156.6</v>
      </c>
      <c r="H77">
        <f>(SUMIFS(monthly_work_hours!$G:$G,monthly_work_hours!$A:$A,'FTE 계산'!$A77,monthly_work_hours!$F:$F,'FTE 계산'!H$2)) - (SUMIFS(monthly_work_hours!$J:$J,monthly_work_hours!$A:$A,'FTE 계산'!$A77,monthly_work_hours!$F:$F,'FTE 계산'!H$2))</f>
        <v>19</v>
      </c>
      <c r="I77">
        <f>(SUMIFS(monthly_work_hours!$G:$G,monthly_work_hours!$A:$A,'FTE 계산'!$A77,monthly_work_hours!$F:$F,'FTE 계산'!I$2)) - (SUMIFS(monthly_work_hours!$J:$J,monthly_work_hours!$A:$A,'FTE 계산'!$A77,monthly_work_hours!$F:$F,'FTE 계산'!I$2))</f>
        <v>19</v>
      </c>
      <c r="J77">
        <f>(SUMIFS(monthly_work_hours!$G:$G,monthly_work_hours!$A:$A,'FTE 계산'!$A77,monthly_work_hours!$F:$F,'FTE 계산'!J$2)) - (SUMIFS(monthly_work_hours!$J:$J,monthly_work_hours!$A:$A,'FTE 계산'!$A77,monthly_work_hours!$F:$F,'FTE 계산'!J$2))</f>
        <v>16</v>
      </c>
      <c r="N77" t="str">
        <v>기술전략화팀</v>
      </c>
      <c r="O77">
        <f t="shared" si="48"/>
        <v>699</v>
      </c>
      <c r="P77">
        <f t="shared" si="47"/>
        <v>341.9</v>
      </c>
      <c r="Q77">
        <f t="shared" si="47"/>
        <v>0</v>
      </c>
      <c r="R77">
        <f t="shared" si="47"/>
        <v>357.1</v>
      </c>
      <c r="S77">
        <f t="shared" si="49"/>
        <v>18.25</v>
      </c>
      <c r="T77">
        <f t="shared" si="50"/>
        <v>18</v>
      </c>
      <c r="U77" t="e">
        <f t="shared" si="51"/>
        <v>#DIV/0!</v>
      </c>
      <c r="V77">
        <f t="shared" si="52"/>
        <v>18.5</v>
      </c>
      <c r="W77">
        <f t="shared" si="53"/>
        <v>4.7876712328767121</v>
      </c>
      <c r="X77">
        <f t="shared" si="54"/>
        <v>2.3743055555555554</v>
      </c>
      <c r="Y77" t="str">
        <f t="shared" si="55"/>
        <v>-</v>
      </c>
      <c r="Z77">
        <f t="shared" si="56"/>
        <v>2.4128378378378379</v>
      </c>
      <c r="AA77">
        <f t="shared" si="57"/>
        <v>658.5</v>
      </c>
      <c r="AB77">
        <f t="shared" si="58"/>
        <v>331</v>
      </c>
      <c r="AC77">
        <f t="shared" si="59"/>
        <v>0</v>
      </c>
      <c r="AD77">
        <f t="shared" si="60"/>
        <v>327.5</v>
      </c>
      <c r="AE77">
        <f t="shared" si="61"/>
        <v>17.5</v>
      </c>
      <c r="AF77">
        <f t="shared" si="62"/>
        <v>17</v>
      </c>
      <c r="AG77" t="e">
        <f t="shared" si="63"/>
        <v>#DIV/0!</v>
      </c>
      <c r="AH77">
        <f t="shared" si="64"/>
        <v>18</v>
      </c>
      <c r="AI77">
        <f t="shared" si="65"/>
        <v>4.7035714285714283</v>
      </c>
      <c r="AJ77">
        <f t="shared" si="66"/>
        <v>2.4338235294117645</v>
      </c>
      <c r="AK77" t="str">
        <f t="shared" si="67"/>
        <v>-</v>
      </c>
      <c r="AL77">
        <f t="shared" si="68"/>
        <v>2.2743055555555554</v>
      </c>
      <c r="AM77">
        <f t="shared" si="69"/>
        <v>528</v>
      </c>
      <c r="AN77">
        <f t="shared" si="70"/>
        <v>247.29999999999998</v>
      </c>
      <c r="AO77">
        <f t="shared" si="71"/>
        <v>0</v>
      </c>
      <c r="AP77">
        <f t="shared" si="72"/>
        <v>280.7</v>
      </c>
      <c r="AQ77">
        <f t="shared" si="73"/>
        <v>14.5</v>
      </c>
      <c r="AR77">
        <f t="shared" si="74"/>
        <v>13.5</v>
      </c>
      <c r="AS77" t="e">
        <f t="shared" si="75"/>
        <v>#DIV/0!</v>
      </c>
      <c r="AT77">
        <f t="shared" si="76"/>
        <v>15.5</v>
      </c>
      <c r="AU77">
        <f t="shared" si="77"/>
        <v>4.5517241379310347</v>
      </c>
      <c r="AV77">
        <f t="shared" si="78"/>
        <v>2.2898148148148145</v>
      </c>
      <c r="AW77" t="str">
        <f t="shared" si="79"/>
        <v>-</v>
      </c>
      <c r="AX77">
        <f t="shared" si="80"/>
        <v>2.2637096774193548</v>
      </c>
    </row>
    <row r="78" spans="1:50">
      <c r="A78">
        <v>1214104</v>
      </c>
      <c r="B78" t="str">
        <f>_xlfn.XLOOKUP(A78,monthly_work_hours!A:A,monthly_work_hours!B:B)</f>
        <v>권순욱</v>
      </c>
      <c r="C78" t="str">
        <f>_xlfn.XLOOKUP(A78,monthly_work_hours!A:A,monthly_work_hours!C:C)</f>
        <v>열관리사업팀</v>
      </c>
      <c r="D78" t="str">
        <f>_xlfn.XLOOKUP(A78,monthly_work_hours!A:A,monthly_work_hours!D:D)</f>
        <v>선임</v>
      </c>
      <c r="E78">
        <f>SUMIFS(monthly_work_hours!$K:$K,monthly_work_hours!$A:$A,'FTE 계산'!$A78,monthly_work_hours!$F:$F,'FTE 계산'!E$2)</f>
        <v>150.30000000000001</v>
      </c>
      <c r="F78">
        <f>SUMIFS(monthly_work_hours!$K:$K,monthly_work_hours!$A:$A,'FTE 계산'!$A78,monthly_work_hours!$F:$F,'FTE 계산'!F$2)</f>
        <v>176.1</v>
      </c>
      <c r="G78">
        <f>SUMIFS(monthly_work_hours!$K:$K,monthly_work_hours!$A:$A,'FTE 계산'!$A78,monthly_work_hours!$F:$F,'FTE 계산'!G$2)</f>
        <v>139.6</v>
      </c>
      <c r="H78">
        <f>(SUMIFS(monthly_work_hours!$G:$G,monthly_work_hours!$A:$A,'FTE 계산'!$A78,monthly_work_hours!$F:$F,'FTE 계산'!H$2)) - (SUMIFS(monthly_work_hours!$J:$J,monthly_work_hours!$A:$A,'FTE 계산'!$A78,monthly_work_hours!$F:$F,'FTE 계산'!H$2))</f>
        <v>16</v>
      </c>
      <c r="I78">
        <f>(SUMIFS(monthly_work_hours!$G:$G,monthly_work_hours!$A:$A,'FTE 계산'!$A78,monthly_work_hours!$F:$F,'FTE 계산'!I$2)) - (SUMIFS(monthly_work_hours!$J:$J,monthly_work_hours!$A:$A,'FTE 계산'!$A78,monthly_work_hours!$F:$F,'FTE 계산'!I$2))</f>
        <v>18</v>
      </c>
      <c r="J78">
        <f>(SUMIFS(monthly_work_hours!$G:$G,monthly_work_hours!$A:$A,'FTE 계산'!$A78,monthly_work_hours!$F:$F,'FTE 계산'!J$2)) - (SUMIFS(monthly_work_hours!$J:$J,monthly_work_hours!$A:$A,'FTE 계산'!$A78,monthly_work_hours!$F:$F,'FTE 계산'!J$2))</f>
        <v>15</v>
      </c>
    </row>
    <row r="79" spans="1:50">
      <c r="A79">
        <v>1214105</v>
      </c>
      <c r="B79" t="str">
        <f>_xlfn.XLOOKUP(A79,monthly_work_hours!A:A,monthly_work_hours!B:B)</f>
        <v>이기혁</v>
      </c>
      <c r="C79" t="str">
        <f>_xlfn.XLOOKUP(A79,monthly_work_hours!A:A,monthly_work_hours!C:C)</f>
        <v>SL구매팀</v>
      </c>
      <c r="D79" t="str">
        <f>_xlfn.XLOOKUP(A79,monthly_work_hours!A:A,monthly_work_hours!D:D)</f>
        <v>선임</v>
      </c>
      <c r="E79">
        <f>SUMIFS(monthly_work_hours!$K:$K,monthly_work_hours!$A:$A,'FTE 계산'!$A79,monthly_work_hours!$F:$F,'FTE 계산'!E$2)</f>
        <v>164.6</v>
      </c>
      <c r="F79">
        <f>SUMIFS(monthly_work_hours!$K:$K,monthly_work_hours!$A:$A,'FTE 계산'!$A79,monthly_work_hours!$F:$F,'FTE 계산'!F$2)</f>
        <v>159.19999999999999</v>
      </c>
      <c r="G79">
        <f>SUMIFS(monthly_work_hours!$K:$K,monthly_work_hours!$A:$A,'FTE 계산'!$A79,monthly_work_hours!$F:$F,'FTE 계산'!G$2)</f>
        <v>134.6</v>
      </c>
      <c r="H79">
        <f>(SUMIFS(monthly_work_hours!$G:$G,monthly_work_hours!$A:$A,'FTE 계산'!$A79,monthly_work_hours!$F:$F,'FTE 계산'!H$2)) - (SUMIFS(monthly_work_hours!$J:$J,monthly_work_hours!$A:$A,'FTE 계산'!$A79,monthly_work_hours!$F:$F,'FTE 계산'!H$2))</f>
        <v>18</v>
      </c>
      <c r="I79">
        <f>(SUMIFS(monthly_work_hours!$G:$G,monthly_work_hours!$A:$A,'FTE 계산'!$A79,monthly_work_hours!$F:$F,'FTE 계산'!I$2)) - (SUMIFS(monthly_work_hours!$J:$J,monthly_work_hours!$A:$A,'FTE 계산'!$A79,monthly_work_hours!$F:$F,'FTE 계산'!I$2))</f>
        <v>17</v>
      </c>
      <c r="J79">
        <f>(SUMIFS(monthly_work_hours!$G:$G,monthly_work_hours!$A:$A,'FTE 계산'!$A79,monthly_work_hours!$F:$F,'FTE 계산'!J$2)) - (SUMIFS(monthly_work_hours!$J:$J,monthly_work_hours!$A:$A,'FTE 계산'!$A79,monthly_work_hours!$F:$F,'FTE 계산'!J$2))</f>
        <v>14</v>
      </c>
    </row>
    <row r="80" spans="1:50">
      <c r="A80">
        <v>1214138</v>
      </c>
      <c r="B80" t="str">
        <f>_xlfn.XLOOKUP(A80,monthly_work_hours!A:A,monthly_work_hours!B:B)</f>
        <v>강동영</v>
      </c>
      <c r="C80" t="str">
        <f>_xlfn.XLOOKUP(A80,monthly_work_hours!A:A,monthly_work_hours!C:C)</f>
        <v>SL생산팀</v>
      </c>
      <c r="D80" t="str">
        <f>_xlfn.XLOOKUP(A80,monthly_work_hours!A:A,monthly_work_hours!D:D)</f>
        <v>선임</v>
      </c>
      <c r="E80">
        <f>SUMIFS(monthly_work_hours!$K:$K,monthly_work_hours!$A:$A,'FTE 계산'!$A80,monthly_work_hours!$F:$F,'FTE 계산'!E$2)</f>
        <v>46.8</v>
      </c>
      <c r="F80">
        <f>SUMIFS(monthly_work_hours!$K:$K,monthly_work_hours!$A:$A,'FTE 계산'!$A80,monthly_work_hours!$F:$F,'FTE 계산'!F$2)</f>
        <v>75.2</v>
      </c>
      <c r="G80">
        <f>SUMIFS(monthly_work_hours!$K:$K,monthly_work_hours!$A:$A,'FTE 계산'!$A80,monthly_work_hours!$F:$F,'FTE 계산'!G$2)</f>
        <v>29</v>
      </c>
      <c r="H80">
        <f>(SUMIFS(monthly_work_hours!$G:$G,monthly_work_hours!$A:$A,'FTE 계산'!$A80,monthly_work_hours!$F:$F,'FTE 계산'!H$2)) - (SUMIFS(monthly_work_hours!$J:$J,monthly_work_hours!$A:$A,'FTE 계산'!$A80,monthly_work_hours!$F:$F,'FTE 계산'!H$2))</f>
        <v>8</v>
      </c>
      <c r="I80">
        <f>(SUMIFS(monthly_work_hours!$G:$G,monthly_work_hours!$A:$A,'FTE 계산'!$A80,monthly_work_hours!$F:$F,'FTE 계산'!I$2)) - (SUMIFS(monthly_work_hours!$J:$J,monthly_work_hours!$A:$A,'FTE 계산'!$A80,monthly_work_hours!$F:$F,'FTE 계산'!I$2))</f>
        <v>11</v>
      </c>
      <c r="J80">
        <f>(SUMIFS(monthly_work_hours!$G:$G,monthly_work_hours!$A:$A,'FTE 계산'!$A80,monthly_work_hours!$F:$F,'FTE 계산'!J$2)) - (SUMIFS(monthly_work_hours!$J:$J,monthly_work_hours!$A:$A,'FTE 계산'!$A80,monthly_work_hours!$F:$F,'FTE 계산'!J$2))</f>
        <v>6</v>
      </c>
    </row>
    <row r="81" spans="1:10">
      <c r="A81">
        <v>1214159</v>
      </c>
      <c r="B81" t="str">
        <f>_xlfn.XLOOKUP(A81,monthly_work_hours!A:A,monthly_work_hours!B:B)</f>
        <v>이재혁</v>
      </c>
      <c r="C81" t="str">
        <f>_xlfn.XLOOKUP(A81,monthly_work_hours!A:A,monthly_work_hours!C:C)</f>
        <v>SL영업팀</v>
      </c>
      <c r="D81" t="str">
        <f>_xlfn.XLOOKUP(A81,monthly_work_hours!A:A,monthly_work_hours!D:D)</f>
        <v>선임</v>
      </c>
      <c r="E81">
        <f>SUMIFS(monthly_work_hours!$K:$K,monthly_work_hours!$A:$A,'FTE 계산'!$A81,monthly_work_hours!$F:$F,'FTE 계산'!E$2)</f>
        <v>164</v>
      </c>
      <c r="F81">
        <f>SUMIFS(monthly_work_hours!$K:$K,monthly_work_hours!$A:$A,'FTE 계산'!$A81,monthly_work_hours!$F:$F,'FTE 계산'!F$2)</f>
        <v>187.5</v>
      </c>
      <c r="G81">
        <f>SUMIFS(monthly_work_hours!$K:$K,monthly_work_hours!$A:$A,'FTE 계산'!$A81,monthly_work_hours!$F:$F,'FTE 계산'!G$2)</f>
        <v>136.1</v>
      </c>
      <c r="H81">
        <f>(SUMIFS(monthly_work_hours!$G:$G,monthly_work_hours!$A:$A,'FTE 계산'!$A81,monthly_work_hours!$F:$F,'FTE 계산'!H$2)) - (SUMIFS(monthly_work_hours!$J:$J,monthly_work_hours!$A:$A,'FTE 계산'!$A81,monthly_work_hours!$F:$F,'FTE 계산'!H$2))</f>
        <v>18</v>
      </c>
      <c r="I81">
        <f>(SUMIFS(monthly_work_hours!$G:$G,monthly_work_hours!$A:$A,'FTE 계산'!$A81,monthly_work_hours!$F:$F,'FTE 계산'!I$2)) - (SUMIFS(monthly_work_hours!$J:$J,monthly_work_hours!$A:$A,'FTE 계산'!$A81,monthly_work_hours!$F:$F,'FTE 계산'!I$2))</f>
        <v>20</v>
      </c>
      <c r="J81">
        <f>(SUMIFS(monthly_work_hours!$G:$G,monthly_work_hours!$A:$A,'FTE 계산'!$A81,monthly_work_hours!$F:$F,'FTE 계산'!J$2)) - (SUMIFS(monthly_work_hours!$J:$J,monthly_work_hours!$A:$A,'FTE 계산'!$A81,monthly_work_hours!$F:$F,'FTE 계산'!J$2))</f>
        <v>16</v>
      </c>
    </row>
    <row r="82" spans="1:10">
      <c r="A82">
        <v>1214162</v>
      </c>
      <c r="B82" t="str">
        <f>_xlfn.XLOOKUP(A82,monthly_work_hours!A:A,monthly_work_hours!B:B)</f>
        <v>김재만</v>
      </c>
      <c r="C82" t="str">
        <f>_xlfn.XLOOKUP(A82,monthly_work_hours!A:A,monthly_work_hours!C:C)</f>
        <v>상생협력팀</v>
      </c>
      <c r="D82" t="str">
        <f>_xlfn.XLOOKUP(A82,monthly_work_hours!A:A,monthly_work_hours!D:D)</f>
        <v>선임</v>
      </c>
      <c r="E82">
        <f>SUMIFS(monthly_work_hours!$K:$K,monthly_work_hours!$A:$A,'FTE 계산'!$A82,monthly_work_hours!$F:$F,'FTE 계산'!E$2)</f>
        <v>170.5</v>
      </c>
      <c r="F82">
        <f>SUMIFS(monthly_work_hours!$K:$K,monthly_work_hours!$A:$A,'FTE 계산'!$A82,monthly_work_hours!$F:$F,'FTE 계산'!F$2)</f>
        <v>191.9</v>
      </c>
      <c r="G82">
        <f>SUMIFS(monthly_work_hours!$K:$K,monthly_work_hours!$A:$A,'FTE 계산'!$A82,monthly_work_hours!$F:$F,'FTE 계산'!G$2)</f>
        <v>133</v>
      </c>
      <c r="H82">
        <f>(SUMIFS(monthly_work_hours!$G:$G,monthly_work_hours!$A:$A,'FTE 계산'!$A82,monthly_work_hours!$F:$F,'FTE 계산'!H$2)) - (SUMIFS(monthly_work_hours!$J:$J,monthly_work_hours!$A:$A,'FTE 계산'!$A82,monthly_work_hours!$F:$F,'FTE 계산'!H$2))</f>
        <v>18</v>
      </c>
      <c r="I82">
        <f>(SUMIFS(monthly_work_hours!$G:$G,monthly_work_hours!$A:$A,'FTE 계산'!$A82,monthly_work_hours!$F:$F,'FTE 계산'!I$2)) - (SUMIFS(monthly_work_hours!$J:$J,monthly_work_hours!$A:$A,'FTE 계산'!$A82,monthly_work_hours!$F:$F,'FTE 계산'!I$2))</f>
        <v>19</v>
      </c>
      <c r="J82">
        <f>(SUMIFS(monthly_work_hours!$G:$G,monthly_work_hours!$A:$A,'FTE 계산'!$A82,monthly_work_hours!$F:$F,'FTE 계산'!J$2)) - (SUMIFS(monthly_work_hours!$J:$J,monthly_work_hours!$A:$A,'FTE 계산'!$A82,monthly_work_hours!$F:$F,'FTE 계산'!J$2))</f>
        <v>15</v>
      </c>
    </row>
    <row r="83" spans="1:10">
      <c r="A83">
        <v>1214163</v>
      </c>
      <c r="B83" t="str">
        <f>_xlfn.XLOOKUP(A83,monthly_work_hours!A:A,monthly_work_hours!B:B)</f>
        <v>정종현</v>
      </c>
      <c r="C83" t="str">
        <f>_xlfn.XLOOKUP(A83,monthly_work_hours!A:A,monthly_work_hours!C:C)</f>
        <v>관체사업팀</v>
      </c>
      <c r="D83" t="str">
        <f>_xlfn.XLOOKUP(A83,monthly_work_hours!A:A,monthly_work_hours!D:D)</f>
        <v>선임</v>
      </c>
      <c r="E83">
        <f>SUMIFS(monthly_work_hours!$K:$K,monthly_work_hours!$A:$A,'FTE 계산'!$A83,monthly_work_hours!$F:$F,'FTE 계산'!E$2)</f>
        <v>185</v>
      </c>
      <c r="F83">
        <f>SUMIFS(monthly_work_hours!$K:$K,monthly_work_hours!$A:$A,'FTE 계산'!$A83,monthly_work_hours!$F:$F,'FTE 계산'!F$2)</f>
        <v>179.6</v>
      </c>
      <c r="G83">
        <f>SUMIFS(monthly_work_hours!$K:$K,monthly_work_hours!$A:$A,'FTE 계산'!$A83,monthly_work_hours!$F:$F,'FTE 계산'!G$2)</f>
        <v>146.69999999999999</v>
      </c>
      <c r="H83">
        <f>(SUMIFS(monthly_work_hours!$G:$G,monthly_work_hours!$A:$A,'FTE 계산'!$A83,monthly_work_hours!$F:$F,'FTE 계산'!H$2)) - (SUMIFS(monthly_work_hours!$J:$J,monthly_work_hours!$A:$A,'FTE 계산'!$A83,monthly_work_hours!$F:$F,'FTE 계산'!H$2))</f>
        <v>18</v>
      </c>
      <c r="I83">
        <f>(SUMIFS(monthly_work_hours!$G:$G,monthly_work_hours!$A:$A,'FTE 계산'!$A83,monthly_work_hours!$F:$F,'FTE 계산'!I$2)) - (SUMIFS(monthly_work_hours!$J:$J,monthly_work_hours!$A:$A,'FTE 계산'!$A83,monthly_work_hours!$F:$F,'FTE 계산'!I$2))</f>
        <v>17</v>
      </c>
      <c r="J83">
        <f>(SUMIFS(monthly_work_hours!$G:$G,monthly_work_hours!$A:$A,'FTE 계산'!$A83,monthly_work_hours!$F:$F,'FTE 계산'!J$2)) - (SUMIFS(monthly_work_hours!$J:$J,monthly_work_hours!$A:$A,'FTE 계산'!$A83,monthly_work_hours!$F:$F,'FTE 계산'!J$2))</f>
        <v>15</v>
      </c>
    </row>
    <row r="84" spans="1:10">
      <c r="A84">
        <v>1214164</v>
      </c>
      <c r="B84" t="str">
        <f>_xlfn.XLOOKUP(A84,monthly_work_hours!A:A,monthly_work_hours!B:B)</f>
        <v>정성민</v>
      </c>
      <c r="C84" t="str">
        <f>_xlfn.XLOOKUP(A84,monthly_work_hours!A:A,monthly_work_hours!C:C)</f>
        <v>관체사업팀</v>
      </c>
      <c r="D84" t="str">
        <f>_xlfn.XLOOKUP(A84,monthly_work_hours!A:A,monthly_work_hours!D:D)</f>
        <v>선임</v>
      </c>
      <c r="E84">
        <f>SUMIFS(monthly_work_hours!$K:$K,monthly_work_hours!$A:$A,'FTE 계산'!$A84,monthly_work_hours!$F:$F,'FTE 계산'!E$2)</f>
        <v>223.1</v>
      </c>
      <c r="F84">
        <f>SUMIFS(monthly_work_hours!$K:$K,monthly_work_hours!$A:$A,'FTE 계산'!$A84,monthly_work_hours!$F:$F,'FTE 계산'!F$2)</f>
        <v>571.6</v>
      </c>
      <c r="G84">
        <f>SUMIFS(monthly_work_hours!$K:$K,monthly_work_hours!$A:$A,'FTE 계산'!$A84,monthly_work_hours!$F:$F,'FTE 계산'!G$2)</f>
        <v>433.1</v>
      </c>
      <c r="H84">
        <f>(SUMIFS(monthly_work_hours!$G:$G,monthly_work_hours!$A:$A,'FTE 계산'!$A84,monthly_work_hours!$F:$F,'FTE 계산'!H$2)) - (SUMIFS(monthly_work_hours!$J:$J,monthly_work_hours!$A:$A,'FTE 계산'!$A84,monthly_work_hours!$F:$F,'FTE 계산'!H$2))</f>
        <v>13</v>
      </c>
      <c r="I84">
        <f>(SUMIFS(monthly_work_hours!$G:$G,monthly_work_hours!$A:$A,'FTE 계산'!$A84,monthly_work_hours!$F:$F,'FTE 계산'!I$2)) - (SUMIFS(monthly_work_hours!$J:$J,monthly_work_hours!$A:$A,'FTE 계산'!$A84,monthly_work_hours!$F:$F,'FTE 계산'!I$2))</f>
        <v>19</v>
      </c>
      <c r="J84">
        <f>(SUMIFS(monthly_work_hours!$G:$G,monthly_work_hours!$A:$A,'FTE 계산'!$A84,monthly_work_hours!$F:$F,'FTE 계산'!J$2)) - (SUMIFS(monthly_work_hours!$J:$J,monthly_work_hours!$A:$A,'FTE 계산'!$A84,monthly_work_hours!$F:$F,'FTE 계산'!J$2))</f>
        <v>17</v>
      </c>
    </row>
    <row r="85" spans="1:10">
      <c r="A85">
        <v>1214165</v>
      </c>
      <c r="B85" t="str">
        <f>_xlfn.XLOOKUP(A85,monthly_work_hours!A:A,monthly_work_hours!B:B)</f>
        <v>서성환</v>
      </c>
      <c r="C85" t="str">
        <f>_xlfn.XLOOKUP(A85,monthly_work_hours!A:A,monthly_work_hours!C:C)</f>
        <v>B/H사업팀</v>
      </c>
      <c r="D85" t="str">
        <f>_xlfn.XLOOKUP(A85,monthly_work_hours!A:A,monthly_work_hours!D:D)</f>
        <v>선임</v>
      </c>
      <c r="E85">
        <f>SUMIFS(monthly_work_hours!$K:$K,monthly_work_hours!$A:$A,'FTE 계산'!$A85,monthly_work_hours!$F:$F,'FTE 계산'!E$2)</f>
        <v>171.1</v>
      </c>
      <c r="F85">
        <f>SUMIFS(monthly_work_hours!$K:$K,monthly_work_hours!$A:$A,'FTE 계산'!$A85,monthly_work_hours!$F:$F,'FTE 계산'!F$2)</f>
        <v>165.3</v>
      </c>
      <c r="G85">
        <f>SUMIFS(monthly_work_hours!$K:$K,monthly_work_hours!$A:$A,'FTE 계산'!$A85,monthly_work_hours!$F:$F,'FTE 계산'!G$2)</f>
        <v>136.6</v>
      </c>
      <c r="H85">
        <f>(SUMIFS(monthly_work_hours!$G:$G,monthly_work_hours!$A:$A,'FTE 계산'!$A85,monthly_work_hours!$F:$F,'FTE 계산'!H$2)) - (SUMIFS(monthly_work_hours!$J:$J,monthly_work_hours!$A:$A,'FTE 계산'!$A85,monthly_work_hours!$F:$F,'FTE 계산'!H$2))</f>
        <v>19</v>
      </c>
      <c r="I85">
        <f>(SUMIFS(monthly_work_hours!$G:$G,monthly_work_hours!$A:$A,'FTE 계산'!$A85,monthly_work_hours!$F:$F,'FTE 계산'!I$2)) - (SUMIFS(monthly_work_hours!$J:$J,monthly_work_hours!$A:$A,'FTE 계산'!$A85,monthly_work_hours!$F:$F,'FTE 계산'!I$2))</f>
        <v>18</v>
      </c>
      <c r="J85">
        <f>(SUMIFS(monthly_work_hours!$G:$G,monthly_work_hours!$A:$A,'FTE 계산'!$A85,monthly_work_hours!$F:$F,'FTE 계산'!J$2)) - (SUMIFS(monthly_work_hours!$J:$J,monthly_work_hours!$A:$A,'FTE 계산'!$A85,monthly_work_hours!$F:$F,'FTE 계산'!J$2))</f>
        <v>16</v>
      </c>
    </row>
    <row r="86" spans="1:10">
      <c r="A86">
        <v>1214170</v>
      </c>
      <c r="B86" t="str">
        <f>_xlfn.XLOOKUP(A86,monthly_work_hours!A:A,monthly_work_hours!B:B)</f>
        <v>김병주</v>
      </c>
      <c r="C86" t="str">
        <f>_xlfn.XLOOKUP(A86,monthly_work_hours!A:A,monthly_work_hours!C:C)</f>
        <v>Brake설계팀</v>
      </c>
      <c r="D86" t="str">
        <f>_xlfn.XLOOKUP(A86,monthly_work_hours!A:A,monthly_work_hours!D:D)</f>
        <v>선임</v>
      </c>
      <c r="E86">
        <f>SUMIFS(monthly_work_hours!$K:$K,monthly_work_hours!$A:$A,'FTE 계산'!$A86,monthly_work_hours!$F:$F,'FTE 계산'!E$2)</f>
        <v>706.4</v>
      </c>
      <c r="F86">
        <f>SUMIFS(monthly_work_hours!$K:$K,monthly_work_hours!$A:$A,'FTE 계산'!$A86,monthly_work_hours!$F:$F,'FTE 계산'!F$2)</f>
        <v>728.4</v>
      </c>
      <c r="G86">
        <f>SUMIFS(monthly_work_hours!$K:$K,monthly_work_hours!$A:$A,'FTE 계산'!$A86,monthly_work_hours!$F:$F,'FTE 계산'!G$2)</f>
        <v>611.6</v>
      </c>
      <c r="H86">
        <f>(SUMIFS(monthly_work_hours!$G:$G,monthly_work_hours!$A:$A,'FTE 계산'!$A86,monthly_work_hours!$F:$F,'FTE 계산'!H$2)) - (SUMIFS(monthly_work_hours!$J:$J,monthly_work_hours!$A:$A,'FTE 계산'!$A86,monthly_work_hours!$F:$F,'FTE 계산'!H$2))</f>
        <v>21</v>
      </c>
      <c r="I86">
        <f>(SUMIFS(monthly_work_hours!$G:$G,monthly_work_hours!$A:$A,'FTE 계산'!$A86,monthly_work_hours!$F:$F,'FTE 계산'!I$2)) - (SUMIFS(monthly_work_hours!$J:$J,monthly_work_hours!$A:$A,'FTE 계산'!$A86,monthly_work_hours!$F:$F,'FTE 계산'!I$2))</f>
        <v>23</v>
      </c>
      <c r="J86">
        <f>(SUMIFS(monthly_work_hours!$G:$G,monthly_work_hours!$A:$A,'FTE 계산'!$A86,monthly_work_hours!$F:$F,'FTE 계산'!J$2)) - (SUMIFS(monthly_work_hours!$J:$J,monthly_work_hours!$A:$A,'FTE 계산'!$A86,monthly_work_hours!$F:$F,'FTE 계산'!J$2))</f>
        <v>18</v>
      </c>
    </row>
    <row r="87" spans="1:10">
      <c r="A87">
        <v>1214178</v>
      </c>
      <c r="B87" t="str">
        <f>_xlfn.XLOOKUP(A87,monthly_work_hours!A:A,monthly_work_hours!B:B)</f>
        <v>최문석</v>
      </c>
      <c r="C87" t="str">
        <f>_xlfn.XLOOKUP(A87,monthly_work_hours!A:A,monthly_work_hours!C:C)</f>
        <v>SL설계팀</v>
      </c>
      <c r="D87" t="str">
        <f>_xlfn.XLOOKUP(A87,monthly_work_hours!A:A,monthly_work_hours!D:D)</f>
        <v>선임</v>
      </c>
      <c r="E87">
        <f>SUMIFS(monthly_work_hours!$K:$K,monthly_work_hours!$A:$A,'FTE 계산'!$A87,monthly_work_hours!$F:$F,'FTE 계산'!E$2)</f>
        <v>151.80000000000001</v>
      </c>
      <c r="F87">
        <f>SUMIFS(monthly_work_hours!$K:$K,monthly_work_hours!$A:$A,'FTE 계산'!$A87,monthly_work_hours!$F:$F,'FTE 계산'!F$2)</f>
        <v>110</v>
      </c>
      <c r="G87">
        <f>SUMIFS(monthly_work_hours!$K:$K,monthly_work_hours!$A:$A,'FTE 계산'!$A87,monthly_work_hours!$F:$F,'FTE 계산'!G$2)</f>
        <v>92</v>
      </c>
      <c r="H87">
        <f>(SUMIFS(monthly_work_hours!$G:$G,monthly_work_hours!$A:$A,'FTE 계산'!$A87,monthly_work_hours!$F:$F,'FTE 계산'!H$2)) - (SUMIFS(monthly_work_hours!$J:$J,monthly_work_hours!$A:$A,'FTE 계산'!$A87,monthly_work_hours!$F:$F,'FTE 계산'!H$2))</f>
        <v>16</v>
      </c>
      <c r="I87">
        <f>(SUMIFS(monthly_work_hours!$G:$G,monthly_work_hours!$A:$A,'FTE 계산'!$A87,monthly_work_hours!$F:$F,'FTE 계산'!I$2)) - (SUMIFS(monthly_work_hours!$J:$J,monthly_work_hours!$A:$A,'FTE 계산'!$A87,monthly_work_hours!$F:$F,'FTE 계산'!I$2))</f>
        <v>13</v>
      </c>
      <c r="J87">
        <f>(SUMIFS(monthly_work_hours!$G:$G,monthly_work_hours!$A:$A,'FTE 계산'!$A87,monthly_work_hours!$F:$F,'FTE 계산'!J$2)) - (SUMIFS(monthly_work_hours!$J:$J,monthly_work_hours!$A:$A,'FTE 계산'!$A87,monthly_work_hours!$F:$F,'FTE 계산'!J$2))</f>
        <v>11</v>
      </c>
    </row>
    <row r="88" spans="1:10">
      <c r="A88">
        <v>1214181</v>
      </c>
      <c r="B88" t="str">
        <f>_xlfn.XLOOKUP(A88,monthly_work_hours!A:A,monthly_work_hours!B:B)</f>
        <v>이종성</v>
      </c>
      <c r="C88" t="str">
        <f>_xlfn.XLOOKUP(A88,monthly_work_hours!A:A,monthly_work_hours!C:C)</f>
        <v>열관리설계팀</v>
      </c>
      <c r="D88" t="str">
        <f>_xlfn.XLOOKUP(A88,monthly_work_hours!A:A,monthly_work_hours!D:D)</f>
        <v>책임</v>
      </c>
      <c r="E88">
        <f>SUMIFS(monthly_work_hours!$K:$K,monthly_work_hours!$A:$A,'FTE 계산'!$A88,monthly_work_hours!$F:$F,'FTE 계산'!E$2)</f>
        <v>705.6</v>
      </c>
      <c r="F88">
        <f>SUMIFS(monthly_work_hours!$K:$K,monthly_work_hours!$A:$A,'FTE 계산'!$A88,monthly_work_hours!$F:$F,'FTE 계산'!F$2)</f>
        <v>563.6</v>
      </c>
      <c r="G88">
        <f>SUMIFS(monthly_work_hours!$K:$K,monthly_work_hours!$A:$A,'FTE 계산'!$A88,monthly_work_hours!$F:$F,'FTE 계산'!G$2)</f>
        <v>451.1</v>
      </c>
      <c r="H88">
        <f>(SUMIFS(monthly_work_hours!$G:$G,monthly_work_hours!$A:$A,'FTE 계산'!$A88,monthly_work_hours!$F:$F,'FTE 계산'!H$2)) - (SUMIFS(monthly_work_hours!$J:$J,monthly_work_hours!$A:$A,'FTE 계산'!$A88,monthly_work_hours!$F:$F,'FTE 계산'!H$2))</f>
        <v>21</v>
      </c>
      <c r="I88">
        <f>(SUMIFS(monthly_work_hours!$G:$G,monthly_work_hours!$A:$A,'FTE 계산'!$A88,monthly_work_hours!$F:$F,'FTE 계산'!I$2)) - (SUMIFS(monthly_work_hours!$J:$J,monthly_work_hours!$A:$A,'FTE 계산'!$A88,monthly_work_hours!$F:$F,'FTE 계산'!I$2))</f>
        <v>18</v>
      </c>
      <c r="J88">
        <f>(SUMIFS(monthly_work_hours!$G:$G,monthly_work_hours!$A:$A,'FTE 계산'!$A88,monthly_work_hours!$F:$F,'FTE 계산'!J$2)) - (SUMIFS(monthly_work_hours!$J:$J,monthly_work_hours!$A:$A,'FTE 계산'!$A88,monthly_work_hours!$F:$F,'FTE 계산'!J$2))</f>
        <v>17</v>
      </c>
    </row>
    <row r="89" spans="1:10">
      <c r="A89">
        <v>1214201</v>
      </c>
      <c r="B89" t="str">
        <f>_xlfn.XLOOKUP(A89,monthly_work_hours!A:A,monthly_work_hours!B:B)</f>
        <v>박기범</v>
      </c>
      <c r="C89" t="str">
        <f>_xlfn.XLOOKUP(A89,monthly_work_hours!A:A,monthly_work_hours!C:C)</f>
        <v>SL생산기술팀</v>
      </c>
      <c r="D89" t="str">
        <f>_xlfn.XLOOKUP(A89,monthly_work_hours!A:A,monthly_work_hours!D:D)</f>
        <v>책임</v>
      </c>
      <c r="E89">
        <f>SUMIFS(monthly_work_hours!$K:$K,monthly_work_hours!$A:$A,'FTE 계산'!$A89,monthly_work_hours!$F:$F,'FTE 계산'!E$2)</f>
        <v>192.8</v>
      </c>
      <c r="F89">
        <f>SUMIFS(monthly_work_hours!$K:$K,monthly_work_hours!$A:$A,'FTE 계산'!$A89,monthly_work_hours!$F:$F,'FTE 계산'!F$2)</f>
        <v>173</v>
      </c>
      <c r="G89">
        <f>SUMIFS(monthly_work_hours!$K:$K,monthly_work_hours!$A:$A,'FTE 계산'!$A89,monthly_work_hours!$F:$F,'FTE 계산'!G$2)</f>
        <v>113.5</v>
      </c>
      <c r="H89">
        <f>(SUMIFS(monthly_work_hours!$G:$G,monthly_work_hours!$A:$A,'FTE 계산'!$A89,monthly_work_hours!$F:$F,'FTE 계산'!H$2)) - (SUMIFS(monthly_work_hours!$J:$J,monthly_work_hours!$A:$A,'FTE 계산'!$A89,monthly_work_hours!$F:$F,'FTE 계산'!H$2))</f>
        <v>15</v>
      </c>
      <c r="I89">
        <f>(SUMIFS(monthly_work_hours!$G:$G,monthly_work_hours!$A:$A,'FTE 계산'!$A89,monthly_work_hours!$F:$F,'FTE 계산'!I$2)) - (SUMIFS(monthly_work_hours!$J:$J,monthly_work_hours!$A:$A,'FTE 계산'!$A89,monthly_work_hours!$F:$F,'FTE 계산'!I$2))</f>
        <v>18</v>
      </c>
      <c r="J89">
        <f>(SUMIFS(monthly_work_hours!$G:$G,monthly_work_hours!$A:$A,'FTE 계산'!$A89,monthly_work_hours!$F:$F,'FTE 계산'!J$2)) - (SUMIFS(monthly_work_hours!$J:$J,monthly_work_hours!$A:$A,'FTE 계산'!$A89,monthly_work_hours!$F:$F,'FTE 계산'!J$2))</f>
        <v>12</v>
      </c>
    </row>
    <row r="90" spans="1:10">
      <c r="A90">
        <v>1215007</v>
      </c>
      <c r="B90" t="str">
        <f>_xlfn.XLOOKUP(A90,monthly_work_hours!A:A,monthly_work_hours!B:B)</f>
        <v>남동식</v>
      </c>
      <c r="C90" t="str">
        <f>_xlfn.XLOOKUP(A90,monthly_work_hours!A:A,monthly_work_hours!C:C)</f>
        <v>SL설계팀</v>
      </c>
      <c r="D90" t="str">
        <f>_xlfn.XLOOKUP(A90,monthly_work_hours!A:A,monthly_work_hours!D:D)</f>
        <v>선임</v>
      </c>
      <c r="E90">
        <f>SUMIFS(monthly_work_hours!$K:$K,monthly_work_hours!$A:$A,'FTE 계산'!$A90,monthly_work_hours!$F:$F,'FTE 계산'!E$2)</f>
        <v>0</v>
      </c>
      <c r="F90">
        <f>SUMIFS(monthly_work_hours!$K:$K,monthly_work_hours!$A:$A,'FTE 계산'!$A90,monthly_work_hours!$F:$F,'FTE 계산'!F$2)</f>
        <v>4.5</v>
      </c>
      <c r="G90">
        <f>SUMIFS(monthly_work_hours!$K:$K,monthly_work_hours!$A:$A,'FTE 계산'!$A90,monthly_work_hours!$F:$F,'FTE 계산'!G$2)</f>
        <v>0</v>
      </c>
      <c r="H90">
        <f>(SUMIFS(monthly_work_hours!$G:$G,monthly_work_hours!$A:$A,'FTE 계산'!$A90,monthly_work_hours!$F:$F,'FTE 계산'!H$2)) - (SUMIFS(monthly_work_hours!$J:$J,monthly_work_hours!$A:$A,'FTE 계산'!$A90,monthly_work_hours!$F:$F,'FTE 계산'!H$2))</f>
        <v>0</v>
      </c>
      <c r="I90">
        <f>(SUMIFS(monthly_work_hours!$G:$G,monthly_work_hours!$A:$A,'FTE 계산'!$A90,monthly_work_hours!$F:$F,'FTE 계산'!I$2)) - (SUMIFS(monthly_work_hours!$J:$J,monthly_work_hours!$A:$A,'FTE 계산'!$A90,monthly_work_hours!$F:$F,'FTE 계산'!I$2))</f>
        <v>2</v>
      </c>
      <c r="J90">
        <f>(SUMIFS(monthly_work_hours!$G:$G,monthly_work_hours!$A:$A,'FTE 계산'!$A90,monthly_work_hours!$F:$F,'FTE 계산'!J$2)) - (SUMIFS(monthly_work_hours!$J:$J,monthly_work_hours!$A:$A,'FTE 계산'!$A90,monthly_work_hours!$F:$F,'FTE 계산'!J$2))</f>
        <v>0</v>
      </c>
    </row>
    <row r="91" spans="1:10">
      <c r="A91">
        <v>1215010</v>
      </c>
      <c r="B91" t="str">
        <f>_xlfn.XLOOKUP(A91,monthly_work_hours!A:A,monthly_work_hours!B:B)</f>
        <v>김운배</v>
      </c>
      <c r="C91" t="str">
        <f>_xlfn.XLOOKUP(A91,monthly_work_hours!A:A,monthly_work_hours!C:C)</f>
        <v>열관리설계팀</v>
      </c>
      <c r="D91" t="str">
        <f>_xlfn.XLOOKUP(A91,monthly_work_hours!A:A,monthly_work_hours!D:D)</f>
        <v>선임</v>
      </c>
      <c r="E91">
        <f>SUMIFS(monthly_work_hours!$K:$K,monthly_work_hours!$A:$A,'FTE 계산'!$A91,monthly_work_hours!$F:$F,'FTE 계산'!E$2)</f>
        <v>154.5</v>
      </c>
      <c r="F91">
        <f>SUMIFS(monthly_work_hours!$K:$K,monthly_work_hours!$A:$A,'FTE 계산'!$A91,monthly_work_hours!$F:$F,'FTE 계산'!F$2)</f>
        <v>124</v>
      </c>
      <c r="G91">
        <f>SUMIFS(monthly_work_hours!$K:$K,monthly_work_hours!$A:$A,'FTE 계산'!$A91,monthly_work_hours!$F:$F,'FTE 계산'!G$2)</f>
        <v>130.69999999999999</v>
      </c>
      <c r="H91">
        <f>(SUMIFS(monthly_work_hours!$G:$G,monthly_work_hours!$A:$A,'FTE 계산'!$A91,monthly_work_hours!$F:$F,'FTE 계산'!H$2)) - (SUMIFS(monthly_work_hours!$J:$J,monthly_work_hours!$A:$A,'FTE 계산'!$A91,monthly_work_hours!$F:$F,'FTE 계산'!H$2))</f>
        <v>18</v>
      </c>
      <c r="I91">
        <f>(SUMIFS(monthly_work_hours!$G:$G,monthly_work_hours!$A:$A,'FTE 계산'!$A91,monthly_work_hours!$F:$F,'FTE 계산'!I$2)) - (SUMIFS(monthly_work_hours!$J:$J,monthly_work_hours!$A:$A,'FTE 계산'!$A91,monthly_work_hours!$F:$F,'FTE 계산'!I$2))</f>
        <v>14</v>
      </c>
      <c r="J91">
        <f>(SUMIFS(monthly_work_hours!$G:$G,monthly_work_hours!$A:$A,'FTE 계산'!$A91,monthly_work_hours!$F:$F,'FTE 계산'!J$2)) - (SUMIFS(monthly_work_hours!$J:$J,monthly_work_hours!$A:$A,'FTE 계산'!$A91,monthly_work_hours!$F:$F,'FTE 계산'!J$2))</f>
        <v>15</v>
      </c>
    </row>
    <row r="92" spans="1:10">
      <c r="A92">
        <v>1215033</v>
      </c>
      <c r="B92" t="str">
        <f>_xlfn.XLOOKUP(A92,monthly_work_hours!A:A,monthly_work_hours!B:B)</f>
        <v>허재영</v>
      </c>
      <c r="C92" t="str">
        <f>_xlfn.XLOOKUP(A92,monthly_work_hours!A:A,monthly_work_hours!C:C)</f>
        <v>SL생산기술팀</v>
      </c>
      <c r="D92" t="str">
        <f>_xlfn.XLOOKUP(A92,monthly_work_hours!A:A,monthly_work_hours!D:D)</f>
        <v>선임</v>
      </c>
      <c r="E92">
        <f>SUMIFS(monthly_work_hours!$K:$K,monthly_work_hours!$A:$A,'FTE 계산'!$A92,monthly_work_hours!$F:$F,'FTE 계산'!E$2)</f>
        <v>159.5</v>
      </c>
      <c r="F92">
        <f>SUMIFS(monthly_work_hours!$K:$K,monthly_work_hours!$A:$A,'FTE 계산'!$A92,monthly_work_hours!$F:$F,'FTE 계산'!F$2)</f>
        <v>113.5</v>
      </c>
      <c r="G92">
        <f>SUMIFS(monthly_work_hours!$K:$K,monthly_work_hours!$A:$A,'FTE 계산'!$A92,monthly_work_hours!$F:$F,'FTE 계산'!G$2)</f>
        <v>124.4</v>
      </c>
      <c r="H92">
        <f>(SUMIFS(monthly_work_hours!$G:$G,monthly_work_hours!$A:$A,'FTE 계산'!$A92,monthly_work_hours!$F:$F,'FTE 계산'!H$2)) - (SUMIFS(monthly_work_hours!$J:$J,monthly_work_hours!$A:$A,'FTE 계산'!$A92,monthly_work_hours!$F:$F,'FTE 계산'!H$2))</f>
        <v>16</v>
      </c>
      <c r="I92">
        <f>(SUMIFS(monthly_work_hours!$G:$G,monthly_work_hours!$A:$A,'FTE 계산'!$A92,monthly_work_hours!$F:$F,'FTE 계산'!I$2)) - (SUMIFS(monthly_work_hours!$J:$J,monthly_work_hours!$A:$A,'FTE 계산'!$A92,monthly_work_hours!$F:$F,'FTE 계산'!I$2))</f>
        <v>17</v>
      </c>
      <c r="J92">
        <f>(SUMIFS(monthly_work_hours!$G:$G,monthly_work_hours!$A:$A,'FTE 계산'!$A92,monthly_work_hours!$F:$F,'FTE 계산'!J$2)) - (SUMIFS(monthly_work_hours!$J:$J,monthly_work_hours!$A:$A,'FTE 계산'!$A92,monthly_work_hours!$F:$F,'FTE 계산'!J$2))</f>
        <v>16</v>
      </c>
    </row>
    <row r="93" spans="1:10">
      <c r="A93">
        <v>1215048</v>
      </c>
      <c r="B93" t="str">
        <f>_xlfn.XLOOKUP(A93,monthly_work_hours!A:A,monthly_work_hours!B:B)</f>
        <v>심재원</v>
      </c>
      <c r="C93" t="str">
        <f>_xlfn.XLOOKUP(A93,monthly_work_hours!A:A,monthly_work_hours!C:C)</f>
        <v>열관리설계팀</v>
      </c>
      <c r="D93" t="str">
        <f>_xlfn.XLOOKUP(A93,monthly_work_hours!A:A,monthly_work_hours!D:D)</f>
        <v>선임</v>
      </c>
      <c r="E93">
        <f>SUMIFS(monthly_work_hours!$K:$K,monthly_work_hours!$A:$A,'FTE 계산'!$A93,monthly_work_hours!$F:$F,'FTE 계산'!E$2)</f>
        <v>142</v>
      </c>
      <c r="F93">
        <f>SUMIFS(monthly_work_hours!$K:$K,monthly_work_hours!$A:$A,'FTE 계산'!$A93,monthly_work_hours!$F:$F,'FTE 계산'!F$2)</f>
        <v>3.6</v>
      </c>
      <c r="G93">
        <f>SUMIFS(monthly_work_hours!$K:$K,monthly_work_hours!$A:$A,'FTE 계산'!$A93,monthly_work_hours!$F:$F,'FTE 계산'!G$2)</f>
        <v>0</v>
      </c>
      <c r="H93">
        <f>(SUMIFS(monthly_work_hours!$G:$G,monthly_work_hours!$A:$A,'FTE 계산'!$A93,monthly_work_hours!$F:$F,'FTE 계산'!H$2)) - (SUMIFS(monthly_work_hours!$J:$J,monthly_work_hours!$A:$A,'FTE 계산'!$A93,monthly_work_hours!$F:$F,'FTE 계산'!H$2))</f>
        <v>15</v>
      </c>
      <c r="I93">
        <f>(SUMIFS(monthly_work_hours!$G:$G,monthly_work_hours!$A:$A,'FTE 계산'!$A93,monthly_work_hours!$F:$F,'FTE 계산'!I$2)) - (SUMIFS(monthly_work_hours!$J:$J,monthly_work_hours!$A:$A,'FTE 계산'!$A93,monthly_work_hours!$F:$F,'FTE 계산'!I$2))</f>
        <v>2</v>
      </c>
      <c r="J93">
        <f>(SUMIFS(monthly_work_hours!$G:$G,monthly_work_hours!$A:$A,'FTE 계산'!$A93,monthly_work_hours!$F:$F,'FTE 계산'!J$2)) - (SUMIFS(monthly_work_hours!$J:$J,monthly_work_hours!$A:$A,'FTE 계산'!$A93,monthly_work_hours!$F:$F,'FTE 계산'!J$2))</f>
        <v>0</v>
      </c>
    </row>
    <row r="94" spans="1:10">
      <c r="A94">
        <v>1215059</v>
      </c>
      <c r="B94" t="str">
        <f>_xlfn.XLOOKUP(A94,monthly_work_hours!A:A,monthly_work_hours!B:B)</f>
        <v>양재석</v>
      </c>
      <c r="C94" t="str">
        <f>_xlfn.XLOOKUP(A94,monthly_work_hours!A:A,monthly_work_hours!C:C)</f>
        <v>FL품질보증팀</v>
      </c>
      <c r="D94" t="str">
        <f>_xlfn.XLOOKUP(A94,monthly_work_hours!A:A,monthly_work_hours!D:D)</f>
        <v>선임</v>
      </c>
      <c r="E94">
        <f>SUMIFS(monthly_work_hours!$K:$K,monthly_work_hours!$A:$A,'FTE 계산'!$A94,monthly_work_hours!$F:$F,'FTE 계산'!E$2)</f>
        <v>185.4</v>
      </c>
      <c r="F94">
        <f>SUMIFS(monthly_work_hours!$K:$K,monthly_work_hours!$A:$A,'FTE 계산'!$A94,monthly_work_hours!$F:$F,'FTE 계산'!F$2)</f>
        <v>81.2</v>
      </c>
      <c r="G94">
        <f>SUMIFS(monthly_work_hours!$K:$K,monthly_work_hours!$A:$A,'FTE 계산'!$A94,monthly_work_hours!$F:$F,'FTE 계산'!G$2)</f>
        <v>116.8</v>
      </c>
      <c r="H94">
        <f>(SUMIFS(monthly_work_hours!$G:$G,monthly_work_hours!$A:$A,'FTE 계산'!$A94,monthly_work_hours!$F:$F,'FTE 계산'!H$2)) - (SUMIFS(monthly_work_hours!$J:$J,monthly_work_hours!$A:$A,'FTE 계산'!$A94,monthly_work_hours!$F:$F,'FTE 계산'!H$2))</f>
        <v>14</v>
      </c>
      <c r="I94">
        <f>(SUMIFS(monthly_work_hours!$G:$G,monthly_work_hours!$A:$A,'FTE 계산'!$A94,monthly_work_hours!$F:$F,'FTE 계산'!I$2)) - (SUMIFS(monthly_work_hours!$J:$J,monthly_work_hours!$A:$A,'FTE 계산'!$A94,monthly_work_hours!$F:$F,'FTE 계산'!I$2))</f>
        <v>11</v>
      </c>
      <c r="J94">
        <f>(SUMIFS(monthly_work_hours!$G:$G,monthly_work_hours!$A:$A,'FTE 계산'!$A94,monthly_work_hours!$F:$F,'FTE 계산'!J$2)) - (SUMIFS(monthly_work_hours!$J:$J,monthly_work_hours!$A:$A,'FTE 계산'!$A94,monthly_work_hours!$F:$F,'FTE 계산'!J$2))</f>
        <v>15</v>
      </c>
    </row>
    <row r="95" spans="1:10">
      <c r="A95">
        <v>1215079</v>
      </c>
      <c r="B95" t="str">
        <f>_xlfn.XLOOKUP(A95,monthly_work_hours!A:A,monthly_work_hours!B:B)</f>
        <v>정기성</v>
      </c>
      <c r="C95" t="str">
        <f>_xlfn.XLOOKUP(A95,monthly_work_hours!A:A,monthly_work_hours!C:C)</f>
        <v>SL운영팀</v>
      </c>
      <c r="D95" t="str">
        <f>_xlfn.XLOOKUP(A95,monthly_work_hours!A:A,monthly_work_hours!D:D)</f>
        <v>책임</v>
      </c>
      <c r="E95">
        <f>SUMIFS(monthly_work_hours!$K:$K,monthly_work_hours!$A:$A,'FTE 계산'!$A95,monthly_work_hours!$F:$F,'FTE 계산'!E$2)</f>
        <v>164.7</v>
      </c>
      <c r="F95">
        <f>SUMIFS(monthly_work_hours!$K:$K,monthly_work_hours!$A:$A,'FTE 계산'!$A95,monthly_work_hours!$F:$F,'FTE 계산'!F$2)</f>
        <v>165.4</v>
      </c>
      <c r="G95">
        <f>SUMIFS(monthly_work_hours!$K:$K,monthly_work_hours!$A:$A,'FTE 계산'!$A95,monthly_work_hours!$F:$F,'FTE 계산'!G$2)</f>
        <v>141.19999999999999</v>
      </c>
      <c r="H95">
        <f>(SUMIFS(monthly_work_hours!$G:$G,monthly_work_hours!$A:$A,'FTE 계산'!$A95,monthly_work_hours!$F:$F,'FTE 계산'!H$2)) - (SUMIFS(monthly_work_hours!$J:$J,monthly_work_hours!$A:$A,'FTE 계산'!$A95,monthly_work_hours!$F:$F,'FTE 계산'!H$2))</f>
        <v>18</v>
      </c>
      <c r="I95">
        <f>(SUMIFS(monthly_work_hours!$G:$G,monthly_work_hours!$A:$A,'FTE 계산'!$A95,monthly_work_hours!$F:$F,'FTE 계산'!I$2)) - (SUMIFS(monthly_work_hours!$J:$J,monthly_work_hours!$A:$A,'FTE 계산'!$A95,monthly_work_hours!$F:$F,'FTE 계산'!I$2))</f>
        <v>17</v>
      </c>
      <c r="J95">
        <f>(SUMIFS(monthly_work_hours!$G:$G,monthly_work_hours!$A:$A,'FTE 계산'!$A95,monthly_work_hours!$F:$F,'FTE 계산'!J$2)) - (SUMIFS(monthly_work_hours!$J:$J,monthly_work_hours!$A:$A,'FTE 계산'!$A95,monthly_work_hours!$F:$F,'FTE 계산'!J$2))</f>
        <v>16</v>
      </c>
    </row>
    <row r="96" spans="1:10">
      <c r="A96">
        <v>1215081</v>
      </c>
      <c r="B96" t="str">
        <f>_xlfn.XLOOKUP(A96,monthly_work_hours!A:A,monthly_work_hours!B:B)</f>
        <v>김영모</v>
      </c>
      <c r="C96" t="str">
        <f>_xlfn.XLOOKUP(A96,monthly_work_hours!A:A,monthly_work_hours!C:C)</f>
        <v>ESG팀</v>
      </c>
      <c r="D96" t="str">
        <f>_xlfn.XLOOKUP(A96,monthly_work_hours!A:A,monthly_work_hours!D:D)</f>
        <v>책임</v>
      </c>
      <c r="E96">
        <f>SUMIFS(monthly_work_hours!$K:$K,monthly_work_hours!$A:$A,'FTE 계산'!$A96,monthly_work_hours!$F:$F,'FTE 계산'!E$2)</f>
        <v>254.8</v>
      </c>
      <c r="F96">
        <f>SUMIFS(monthly_work_hours!$K:$K,monthly_work_hours!$A:$A,'FTE 계산'!$A96,monthly_work_hours!$F:$F,'FTE 계산'!F$2)</f>
        <v>221.9</v>
      </c>
      <c r="G96">
        <f>SUMIFS(monthly_work_hours!$K:$K,monthly_work_hours!$A:$A,'FTE 계산'!$A96,monthly_work_hours!$F:$F,'FTE 계산'!G$2)</f>
        <v>192.5</v>
      </c>
      <c r="H96">
        <f>(SUMIFS(monthly_work_hours!$G:$G,monthly_work_hours!$A:$A,'FTE 계산'!$A96,monthly_work_hours!$F:$F,'FTE 계산'!H$2)) - (SUMIFS(monthly_work_hours!$J:$J,monthly_work_hours!$A:$A,'FTE 계산'!$A96,monthly_work_hours!$F:$F,'FTE 계산'!H$2))</f>
        <v>18</v>
      </c>
      <c r="I96">
        <f>(SUMIFS(monthly_work_hours!$G:$G,monthly_work_hours!$A:$A,'FTE 계산'!$A96,monthly_work_hours!$F:$F,'FTE 계산'!I$2)) - (SUMIFS(monthly_work_hours!$J:$J,monthly_work_hours!$A:$A,'FTE 계산'!$A96,monthly_work_hours!$F:$F,'FTE 계산'!I$2))</f>
        <v>16</v>
      </c>
      <c r="J96">
        <f>(SUMIFS(monthly_work_hours!$G:$G,monthly_work_hours!$A:$A,'FTE 계산'!$A96,monthly_work_hours!$F:$F,'FTE 계산'!J$2)) - (SUMIFS(monthly_work_hours!$J:$J,monthly_work_hours!$A:$A,'FTE 계산'!$A96,monthly_work_hours!$F:$F,'FTE 계산'!J$2))</f>
        <v>16</v>
      </c>
    </row>
    <row r="97" spans="1:10">
      <c r="A97">
        <v>1215084</v>
      </c>
      <c r="B97" t="str">
        <f>_xlfn.XLOOKUP(A97,monthly_work_hours!A:A,monthly_work_hours!B:B)</f>
        <v>배진형</v>
      </c>
      <c r="C97" t="str">
        <f>_xlfn.XLOOKUP(A97,monthly_work_hours!A:A,monthly_work_hours!C:C)</f>
        <v>SL설계팀</v>
      </c>
      <c r="D97" t="str">
        <f>_xlfn.XLOOKUP(A97,monthly_work_hours!A:A,monthly_work_hours!D:D)</f>
        <v>책임</v>
      </c>
      <c r="E97">
        <f>SUMIFS(monthly_work_hours!$K:$K,monthly_work_hours!$A:$A,'FTE 계산'!$A97,monthly_work_hours!$F:$F,'FTE 계산'!E$2)</f>
        <v>18.2</v>
      </c>
      <c r="F97">
        <f>SUMIFS(monthly_work_hours!$K:$K,monthly_work_hours!$A:$A,'FTE 계산'!$A97,monthly_work_hours!$F:$F,'FTE 계산'!F$2)</f>
        <v>67.900000000000006</v>
      </c>
      <c r="G97">
        <f>SUMIFS(monthly_work_hours!$K:$K,monthly_work_hours!$A:$A,'FTE 계산'!$A97,monthly_work_hours!$F:$F,'FTE 계산'!G$2)</f>
        <v>43.6</v>
      </c>
      <c r="H97">
        <f>(SUMIFS(monthly_work_hours!$G:$G,monthly_work_hours!$A:$A,'FTE 계산'!$A97,monthly_work_hours!$F:$F,'FTE 계산'!H$2)) - (SUMIFS(monthly_work_hours!$J:$J,monthly_work_hours!$A:$A,'FTE 계산'!$A97,monthly_work_hours!$F:$F,'FTE 계산'!H$2))</f>
        <v>2</v>
      </c>
      <c r="I97">
        <f>(SUMIFS(monthly_work_hours!$G:$G,monthly_work_hours!$A:$A,'FTE 계산'!$A97,monthly_work_hours!$F:$F,'FTE 계산'!I$2)) - (SUMIFS(monthly_work_hours!$J:$J,monthly_work_hours!$A:$A,'FTE 계산'!$A97,monthly_work_hours!$F:$F,'FTE 계산'!I$2))</f>
        <v>7</v>
      </c>
      <c r="J97">
        <f>(SUMIFS(monthly_work_hours!$G:$G,monthly_work_hours!$A:$A,'FTE 계산'!$A97,monthly_work_hours!$F:$F,'FTE 계산'!J$2)) - (SUMIFS(monthly_work_hours!$J:$J,monthly_work_hours!$A:$A,'FTE 계산'!$A97,monthly_work_hours!$F:$F,'FTE 계산'!J$2))</f>
        <v>5</v>
      </c>
    </row>
    <row r="98" spans="1:10">
      <c r="A98">
        <v>1215086</v>
      </c>
      <c r="B98" t="str">
        <f>_xlfn.XLOOKUP(A98,monthly_work_hours!A:A,monthly_work_hours!B:B)</f>
        <v>박종호</v>
      </c>
      <c r="C98" t="str">
        <f>_xlfn.XLOOKUP(A98,monthly_work_hours!A:A,monthly_work_hours!C:C)</f>
        <v>FL생산기술팀</v>
      </c>
      <c r="D98" t="str">
        <f>_xlfn.XLOOKUP(A98,monthly_work_hours!A:A,monthly_work_hours!D:D)</f>
        <v>책임</v>
      </c>
      <c r="E98">
        <f>SUMIFS(monthly_work_hours!$K:$K,monthly_work_hours!$A:$A,'FTE 계산'!$A98,monthly_work_hours!$F:$F,'FTE 계산'!E$2)</f>
        <v>199.8</v>
      </c>
      <c r="F98">
        <f>SUMIFS(monthly_work_hours!$K:$K,monthly_work_hours!$A:$A,'FTE 계산'!$A98,monthly_work_hours!$F:$F,'FTE 계산'!F$2)</f>
        <v>204.2</v>
      </c>
      <c r="G98">
        <f>SUMIFS(monthly_work_hours!$K:$K,monthly_work_hours!$A:$A,'FTE 계산'!$A98,monthly_work_hours!$F:$F,'FTE 계산'!G$2)</f>
        <v>158.9</v>
      </c>
      <c r="H98">
        <f>(SUMIFS(monthly_work_hours!$G:$G,monthly_work_hours!$A:$A,'FTE 계산'!$A98,monthly_work_hours!$F:$F,'FTE 계산'!H$2)) - (SUMIFS(monthly_work_hours!$J:$J,monthly_work_hours!$A:$A,'FTE 계산'!$A98,monthly_work_hours!$F:$F,'FTE 계산'!H$2))</f>
        <v>19</v>
      </c>
      <c r="I98">
        <f>(SUMIFS(monthly_work_hours!$G:$G,monthly_work_hours!$A:$A,'FTE 계산'!$A98,monthly_work_hours!$F:$F,'FTE 계산'!I$2)) - (SUMIFS(monthly_work_hours!$J:$J,monthly_work_hours!$A:$A,'FTE 계산'!$A98,monthly_work_hours!$F:$F,'FTE 계산'!I$2))</f>
        <v>19</v>
      </c>
      <c r="J98">
        <f>(SUMIFS(monthly_work_hours!$G:$G,monthly_work_hours!$A:$A,'FTE 계산'!$A98,monthly_work_hours!$F:$F,'FTE 계산'!J$2)) - (SUMIFS(monthly_work_hours!$J:$J,monthly_work_hours!$A:$A,'FTE 계산'!$A98,monthly_work_hours!$F:$F,'FTE 계산'!J$2))</f>
        <v>16</v>
      </c>
    </row>
    <row r="99" spans="1:10">
      <c r="A99">
        <v>1215098</v>
      </c>
      <c r="B99" t="str">
        <f>_xlfn.XLOOKUP(A99,monthly_work_hours!A:A,monthly_work_hours!B:B)</f>
        <v>손성우</v>
      </c>
      <c r="C99" t="str">
        <f>_xlfn.XLOOKUP(A99,monthly_work_hours!A:A,monthly_work_hours!C:C)</f>
        <v>SL품질보증팀</v>
      </c>
      <c r="D99" t="str">
        <f>_xlfn.XLOOKUP(A99,monthly_work_hours!A:A,monthly_work_hours!D:D)</f>
        <v>선임</v>
      </c>
      <c r="E99">
        <f>SUMIFS(monthly_work_hours!$K:$K,monthly_work_hours!$A:$A,'FTE 계산'!$A99,monthly_work_hours!$F:$F,'FTE 계산'!E$2)</f>
        <v>210.3</v>
      </c>
      <c r="F99">
        <f>SUMIFS(monthly_work_hours!$K:$K,monthly_work_hours!$A:$A,'FTE 계산'!$A99,monthly_work_hours!$F:$F,'FTE 계산'!F$2)</f>
        <v>92.4</v>
      </c>
      <c r="G99">
        <f>SUMIFS(monthly_work_hours!$K:$K,monthly_work_hours!$A:$A,'FTE 계산'!$A99,monthly_work_hours!$F:$F,'FTE 계산'!G$2)</f>
        <v>41</v>
      </c>
      <c r="H99">
        <f>(SUMIFS(monthly_work_hours!$G:$G,monthly_work_hours!$A:$A,'FTE 계산'!$A99,monthly_work_hours!$F:$F,'FTE 계산'!H$2)) - (SUMIFS(monthly_work_hours!$J:$J,monthly_work_hours!$A:$A,'FTE 계산'!$A99,monthly_work_hours!$F:$F,'FTE 계산'!H$2))</f>
        <v>16</v>
      </c>
      <c r="I99">
        <f>(SUMIFS(monthly_work_hours!$G:$G,monthly_work_hours!$A:$A,'FTE 계산'!$A99,monthly_work_hours!$F:$F,'FTE 계산'!I$2)) - (SUMIFS(monthly_work_hours!$J:$J,monthly_work_hours!$A:$A,'FTE 계산'!$A99,monthly_work_hours!$F:$F,'FTE 계산'!I$2))</f>
        <v>10</v>
      </c>
      <c r="J99">
        <f>(SUMIFS(monthly_work_hours!$G:$G,monthly_work_hours!$A:$A,'FTE 계산'!$A99,monthly_work_hours!$F:$F,'FTE 계산'!J$2)) - (SUMIFS(monthly_work_hours!$J:$J,monthly_work_hours!$A:$A,'FTE 계산'!$A99,monthly_work_hours!$F:$F,'FTE 계산'!J$2))</f>
        <v>5</v>
      </c>
    </row>
    <row r="100" spans="1:10">
      <c r="A100">
        <v>1215099</v>
      </c>
      <c r="B100" t="str">
        <f>_xlfn.XLOOKUP(A100,monthly_work_hours!A:A,monthly_work_hours!B:B)</f>
        <v>김진수</v>
      </c>
      <c r="C100" t="str">
        <f>_xlfn.XLOOKUP(A100,monthly_work_hours!A:A,monthly_work_hours!C:C)</f>
        <v>품질경영팀</v>
      </c>
      <c r="D100" t="str">
        <f>_xlfn.XLOOKUP(A100,monthly_work_hours!A:A,monthly_work_hours!D:D)</f>
        <v>선임</v>
      </c>
      <c r="E100">
        <f>SUMIFS(monthly_work_hours!$K:$K,monthly_work_hours!$A:$A,'FTE 계산'!$A100,monthly_work_hours!$F:$F,'FTE 계산'!E$2)</f>
        <v>179.1</v>
      </c>
      <c r="F100">
        <f>SUMIFS(monthly_work_hours!$K:$K,monthly_work_hours!$A:$A,'FTE 계산'!$A100,monthly_work_hours!$F:$F,'FTE 계산'!F$2)</f>
        <v>176.3</v>
      </c>
      <c r="G100">
        <f>SUMIFS(monthly_work_hours!$K:$K,monthly_work_hours!$A:$A,'FTE 계산'!$A100,monthly_work_hours!$F:$F,'FTE 계산'!G$2)</f>
        <v>140.4</v>
      </c>
      <c r="H100">
        <f>(SUMIFS(monthly_work_hours!$G:$G,monthly_work_hours!$A:$A,'FTE 계산'!$A100,monthly_work_hours!$F:$F,'FTE 계산'!H$2)) - (SUMIFS(monthly_work_hours!$J:$J,monthly_work_hours!$A:$A,'FTE 계산'!$A100,monthly_work_hours!$F:$F,'FTE 계산'!H$2))</f>
        <v>19</v>
      </c>
      <c r="I100">
        <f>(SUMIFS(monthly_work_hours!$G:$G,monthly_work_hours!$A:$A,'FTE 계산'!$A100,monthly_work_hours!$F:$F,'FTE 계산'!I$2)) - (SUMIFS(monthly_work_hours!$J:$J,monthly_work_hours!$A:$A,'FTE 계산'!$A100,monthly_work_hours!$F:$F,'FTE 계산'!I$2))</f>
        <v>19</v>
      </c>
      <c r="J100">
        <f>(SUMIFS(monthly_work_hours!$G:$G,monthly_work_hours!$A:$A,'FTE 계산'!$A100,monthly_work_hours!$F:$F,'FTE 계산'!J$2)) - (SUMIFS(monthly_work_hours!$J:$J,monthly_work_hours!$A:$A,'FTE 계산'!$A100,monthly_work_hours!$F:$F,'FTE 계산'!J$2))</f>
        <v>16</v>
      </c>
    </row>
    <row r="101" spans="1:10">
      <c r="A101">
        <v>1215101</v>
      </c>
      <c r="B101" t="str">
        <f>_xlfn.XLOOKUP(A101,monthly_work_hours!A:A,monthly_work_hours!B:B)</f>
        <v>이중희</v>
      </c>
      <c r="C101" t="str">
        <f>_xlfn.XLOOKUP(A101,monthly_work_hours!A:A,monthly_work_hours!C:C)</f>
        <v>FL품질보증팀</v>
      </c>
      <c r="D101" t="str">
        <f>_xlfn.XLOOKUP(A101,monthly_work_hours!A:A,monthly_work_hours!D:D)</f>
        <v>책임</v>
      </c>
      <c r="E101">
        <f>SUMIFS(monthly_work_hours!$K:$K,monthly_work_hours!$A:$A,'FTE 계산'!$A101,monthly_work_hours!$F:$F,'FTE 계산'!E$2)</f>
        <v>174.9</v>
      </c>
      <c r="F101">
        <f>SUMIFS(monthly_work_hours!$K:$K,monthly_work_hours!$A:$A,'FTE 계산'!$A101,monthly_work_hours!$F:$F,'FTE 계산'!F$2)</f>
        <v>138.4</v>
      </c>
      <c r="G101">
        <f>SUMIFS(monthly_work_hours!$K:$K,monthly_work_hours!$A:$A,'FTE 계산'!$A101,monthly_work_hours!$F:$F,'FTE 계산'!G$2)</f>
        <v>144.9</v>
      </c>
      <c r="H101">
        <f>(SUMIFS(monthly_work_hours!$G:$G,monthly_work_hours!$A:$A,'FTE 계산'!$A101,monthly_work_hours!$F:$F,'FTE 계산'!H$2)) - (SUMIFS(monthly_work_hours!$J:$J,monthly_work_hours!$A:$A,'FTE 계산'!$A101,monthly_work_hours!$F:$F,'FTE 계산'!H$2))</f>
        <v>16</v>
      </c>
      <c r="I101">
        <f>(SUMIFS(monthly_work_hours!$G:$G,monthly_work_hours!$A:$A,'FTE 계산'!$A101,monthly_work_hours!$F:$F,'FTE 계산'!I$2)) - (SUMIFS(monthly_work_hours!$J:$J,monthly_work_hours!$A:$A,'FTE 계산'!$A101,monthly_work_hours!$F:$F,'FTE 계산'!I$2))</f>
        <v>12</v>
      </c>
      <c r="J101">
        <f>(SUMIFS(monthly_work_hours!$G:$G,monthly_work_hours!$A:$A,'FTE 계산'!$A101,monthly_work_hours!$F:$F,'FTE 계산'!J$2)) - (SUMIFS(monthly_work_hours!$J:$J,monthly_work_hours!$A:$A,'FTE 계산'!$A101,monthly_work_hours!$F:$F,'FTE 계산'!J$2))</f>
        <v>14</v>
      </c>
    </row>
    <row r="102" spans="1:10">
      <c r="A102">
        <v>1215137</v>
      </c>
      <c r="B102" t="str">
        <f>_xlfn.XLOOKUP(A102,monthly_work_hours!A:A,monthly_work_hours!B:B)</f>
        <v>김용섭</v>
      </c>
      <c r="C102" t="str">
        <f>_xlfn.XLOOKUP(A102,monthly_work_hours!A:A,monthly_work_hours!C:C)</f>
        <v>SL영업팀</v>
      </c>
      <c r="D102" t="str">
        <f>_xlfn.XLOOKUP(A102,monthly_work_hours!A:A,monthly_work_hours!D:D)</f>
        <v>선임</v>
      </c>
      <c r="E102">
        <f>SUMIFS(monthly_work_hours!$K:$K,monthly_work_hours!$A:$A,'FTE 계산'!$A102,monthly_work_hours!$F:$F,'FTE 계산'!E$2)</f>
        <v>185.8</v>
      </c>
      <c r="F102">
        <f>SUMIFS(monthly_work_hours!$K:$K,monthly_work_hours!$A:$A,'FTE 계산'!$A102,monthly_work_hours!$F:$F,'FTE 계산'!F$2)</f>
        <v>122.9</v>
      </c>
      <c r="G102">
        <f>SUMIFS(monthly_work_hours!$K:$K,monthly_work_hours!$A:$A,'FTE 계산'!$A102,monthly_work_hours!$F:$F,'FTE 계산'!G$2)</f>
        <v>134.80000000000001</v>
      </c>
      <c r="H102">
        <f>(SUMIFS(monthly_work_hours!$G:$G,monthly_work_hours!$A:$A,'FTE 계산'!$A102,monthly_work_hours!$F:$F,'FTE 계산'!H$2)) - (SUMIFS(monthly_work_hours!$J:$J,monthly_work_hours!$A:$A,'FTE 계산'!$A102,monthly_work_hours!$F:$F,'FTE 계산'!H$2))</f>
        <v>19</v>
      </c>
      <c r="I102">
        <f>(SUMIFS(monthly_work_hours!$G:$G,monthly_work_hours!$A:$A,'FTE 계산'!$A102,monthly_work_hours!$F:$F,'FTE 계산'!I$2)) - (SUMIFS(monthly_work_hours!$J:$J,monthly_work_hours!$A:$A,'FTE 계산'!$A102,monthly_work_hours!$F:$F,'FTE 계산'!I$2))</f>
        <v>13</v>
      </c>
      <c r="J102">
        <f>(SUMIFS(monthly_work_hours!$G:$G,monthly_work_hours!$A:$A,'FTE 계산'!$A102,monthly_work_hours!$F:$F,'FTE 계산'!J$2)) - (SUMIFS(monthly_work_hours!$J:$J,monthly_work_hours!$A:$A,'FTE 계산'!$A102,monthly_work_hours!$F:$F,'FTE 계산'!J$2))</f>
        <v>15</v>
      </c>
    </row>
    <row r="103" spans="1:10">
      <c r="A103">
        <v>1215138</v>
      </c>
      <c r="B103" t="str">
        <f>_xlfn.XLOOKUP(A103,monthly_work_hours!A:A,monthly_work_hours!B:B)</f>
        <v>이병윤</v>
      </c>
      <c r="C103" t="str">
        <f>_xlfn.XLOOKUP(A103,monthly_work_hours!A:A,monthly_work_hours!C:C)</f>
        <v>구매원가팀</v>
      </c>
      <c r="D103" t="str">
        <f>_xlfn.XLOOKUP(A103,monthly_work_hours!A:A,monthly_work_hours!D:D)</f>
        <v>선임</v>
      </c>
      <c r="E103">
        <f>SUMIFS(monthly_work_hours!$K:$K,monthly_work_hours!$A:$A,'FTE 계산'!$A103,monthly_work_hours!$F:$F,'FTE 계산'!E$2)</f>
        <v>167.6</v>
      </c>
      <c r="F103">
        <f>SUMIFS(monthly_work_hours!$K:$K,monthly_work_hours!$A:$A,'FTE 계산'!$A103,monthly_work_hours!$F:$F,'FTE 계산'!F$2)</f>
        <v>178.9</v>
      </c>
      <c r="G103">
        <f>SUMIFS(monthly_work_hours!$K:$K,monthly_work_hours!$A:$A,'FTE 계산'!$A103,monthly_work_hours!$F:$F,'FTE 계산'!G$2)</f>
        <v>159.1</v>
      </c>
      <c r="H103">
        <f>(SUMIFS(monthly_work_hours!$G:$G,monthly_work_hours!$A:$A,'FTE 계산'!$A103,monthly_work_hours!$F:$F,'FTE 계산'!H$2)) - (SUMIFS(monthly_work_hours!$J:$J,monthly_work_hours!$A:$A,'FTE 계산'!$A103,monthly_work_hours!$F:$F,'FTE 계산'!H$2))</f>
        <v>16</v>
      </c>
      <c r="I103">
        <f>(SUMIFS(monthly_work_hours!$G:$G,monthly_work_hours!$A:$A,'FTE 계산'!$A103,monthly_work_hours!$F:$F,'FTE 계산'!I$2)) - (SUMIFS(monthly_work_hours!$J:$J,monthly_work_hours!$A:$A,'FTE 계산'!$A103,monthly_work_hours!$F:$F,'FTE 계산'!I$2))</f>
        <v>17</v>
      </c>
      <c r="J103">
        <f>(SUMIFS(monthly_work_hours!$G:$G,monthly_work_hours!$A:$A,'FTE 계산'!$A103,monthly_work_hours!$F:$F,'FTE 계산'!J$2)) - (SUMIFS(monthly_work_hours!$J:$J,monthly_work_hours!$A:$A,'FTE 계산'!$A103,monthly_work_hours!$F:$F,'FTE 계산'!J$2))</f>
        <v>15</v>
      </c>
    </row>
    <row r="104" spans="1:10">
      <c r="A104">
        <v>1215149</v>
      </c>
      <c r="B104" t="str">
        <f>_xlfn.XLOOKUP(A104,monthly_work_hours!A:A,monthly_work_hours!B:B)</f>
        <v>이화주</v>
      </c>
      <c r="C104" t="str">
        <f>_xlfn.XLOOKUP(A104,monthly_work_hours!A:A,monthly_work_hours!C:C)</f>
        <v>경영지원팀</v>
      </c>
      <c r="D104" t="str">
        <f>_xlfn.XLOOKUP(A104,monthly_work_hours!A:A,monthly_work_hours!D:D)</f>
        <v>선임</v>
      </c>
      <c r="E104">
        <f>SUMIFS(monthly_work_hours!$K:$K,monthly_work_hours!$A:$A,'FTE 계산'!$A104,monthly_work_hours!$F:$F,'FTE 계산'!E$2)</f>
        <v>187</v>
      </c>
      <c r="F104">
        <f>SUMIFS(monthly_work_hours!$K:$K,monthly_work_hours!$A:$A,'FTE 계산'!$A104,monthly_work_hours!$F:$F,'FTE 계산'!F$2)</f>
        <v>189.7</v>
      </c>
      <c r="G104">
        <f>SUMIFS(monthly_work_hours!$K:$K,monthly_work_hours!$A:$A,'FTE 계산'!$A104,monthly_work_hours!$F:$F,'FTE 계산'!G$2)</f>
        <v>150.80000000000001</v>
      </c>
      <c r="H104">
        <f>(SUMIFS(monthly_work_hours!$G:$G,monthly_work_hours!$A:$A,'FTE 계산'!$A104,monthly_work_hours!$F:$F,'FTE 계산'!H$2)) - (SUMIFS(monthly_work_hours!$J:$J,monthly_work_hours!$A:$A,'FTE 계산'!$A104,monthly_work_hours!$F:$F,'FTE 계산'!H$2))</f>
        <v>19</v>
      </c>
      <c r="I104">
        <f>(SUMIFS(monthly_work_hours!$G:$G,monthly_work_hours!$A:$A,'FTE 계산'!$A104,monthly_work_hours!$F:$F,'FTE 계산'!I$2)) - (SUMIFS(monthly_work_hours!$J:$J,monthly_work_hours!$A:$A,'FTE 계산'!$A104,monthly_work_hours!$F:$F,'FTE 계산'!I$2))</f>
        <v>19</v>
      </c>
      <c r="J104">
        <f>(SUMIFS(monthly_work_hours!$G:$G,monthly_work_hours!$A:$A,'FTE 계산'!$A104,monthly_work_hours!$F:$F,'FTE 계산'!J$2)) - (SUMIFS(monthly_work_hours!$J:$J,monthly_work_hours!$A:$A,'FTE 계산'!$A104,monthly_work_hours!$F:$F,'FTE 계산'!J$2))</f>
        <v>16</v>
      </c>
    </row>
    <row r="105" spans="1:10">
      <c r="A105">
        <v>1216011</v>
      </c>
      <c r="B105" t="str">
        <f>_xlfn.XLOOKUP(A105,monthly_work_hours!A:A,monthly_work_hours!B:B)</f>
        <v>이민희</v>
      </c>
      <c r="C105" t="str">
        <f>_xlfn.XLOOKUP(A105,monthly_work_hours!A:A,monthly_work_hours!C:C)</f>
        <v>SL개발팀</v>
      </c>
      <c r="D105" t="str">
        <f>_xlfn.XLOOKUP(A105,monthly_work_hours!A:A,monthly_work_hours!D:D)</f>
        <v>선임</v>
      </c>
      <c r="E105">
        <f>SUMIFS(monthly_work_hours!$K:$K,monthly_work_hours!$A:$A,'FTE 계산'!$A105,monthly_work_hours!$F:$F,'FTE 계산'!E$2)</f>
        <v>131.4</v>
      </c>
      <c r="F105">
        <f>SUMIFS(monthly_work_hours!$K:$K,monthly_work_hours!$A:$A,'FTE 계산'!$A105,monthly_work_hours!$F:$F,'FTE 계산'!F$2)</f>
        <v>146.5</v>
      </c>
      <c r="G105">
        <f>SUMIFS(monthly_work_hours!$K:$K,monthly_work_hours!$A:$A,'FTE 계산'!$A105,monthly_work_hours!$F:$F,'FTE 계산'!G$2)</f>
        <v>132.80000000000001</v>
      </c>
      <c r="H105">
        <f>(SUMIFS(monthly_work_hours!$G:$G,monthly_work_hours!$A:$A,'FTE 계산'!$A105,monthly_work_hours!$F:$F,'FTE 계산'!H$2)) - (SUMIFS(monthly_work_hours!$J:$J,monthly_work_hours!$A:$A,'FTE 계산'!$A105,monthly_work_hours!$F:$F,'FTE 계산'!H$2))</f>
        <v>15</v>
      </c>
      <c r="I105">
        <f>(SUMIFS(monthly_work_hours!$G:$G,monthly_work_hours!$A:$A,'FTE 계산'!$A105,monthly_work_hours!$F:$F,'FTE 계산'!I$2)) - (SUMIFS(monthly_work_hours!$J:$J,monthly_work_hours!$A:$A,'FTE 계산'!$A105,monthly_work_hours!$F:$F,'FTE 계산'!I$2))</f>
        <v>15</v>
      </c>
      <c r="J105">
        <f>(SUMIFS(monthly_work_hours!$G:$G,monthly_work_hours!$A:$A,'FTE 계산'!$A105,monthly_work_hours!$F:$F,'FTE 계산'!J$2)) - (SUMIFS(monthly_work_hours!$J:$J,monthly_work_hours!$A:$A,'FTE 계산'!$A105,monthly_work_hours!$F:$F,'FTE 계산'!J$2))</f>
        <v>14</v>
      </c>
    </row>
    <row r="106" spans="1:10">
      <c r="A106">
        <v>1216012</v>
      </c>
      <c r="B106" t="str">
        <f>_xlfn.XLOOKUP(A106,monthly_work_hours!A:A,monthly_work_hours!B:B)</f>
        <v>김홍민</v>
      </c>
      <c r="C106" t="str">
        <f>_xlfn.XLOOKUP(A106,monthly_work_hours!A:A,monthly_work_hours!C:C)</f>
        <v>FL생산기술팀</v>
      </c>
      <c r="D106" t="str">
        <f>_xlfn.XLOOKUP(A106,monthly_work_hours!A:A,monthly_work_hours!D:D)</f>
        <v>선임</v>
      </c>
      <c r="E106">
        <f>SUMIFS(monthly_work_hours!$K:$K,monthly_work_hours!$A:$A,'FTE 계산'!$A106,monthly_work_hours!$F:$F,'FTE 계산'!E$2)</f>
        <v>144.4</v>
      </c>
      <c r="F106">
        <f>SUMIFS(monthly_work_hours!$K:$K,monthly_work_hours!$A:$A,'FTE 계산'!$A106,monthly_work_hours!$F:$F,'FTE 계산'!F$2)</f>
        <v>147.6</v>
      </c>
      <c r="G106">
        <f>SUMIFS(monthly_work_hours!$K:$K,monthly_work_hours!$A:$A,'FTE 계산'!$A106,monthly_work_hours!$F:$F,'FTE 계산'!G$2)</f>
        <v>138.9</v>
      </c>
      <c r="H106">
        <f>(SUMIFS(monthly_work_hours!$G:$G,monthly_work_hours!$A:$A,'FTE 계산'!$A106,monthly_work_hours!$F:$F,'FTE 계산'!H$2)) - (SUMIFS(monthly_work_hours!$J:$J,monthly_work_hours!$A:$A,'FTE 계산'!$A106,monthly_work_hours!$F:$F,'FTE 계산'!H$2))</f>
        <v>17</v>
      </c>
      <c r="I106">
        <f>(SUMIFS(monthly_work_hours!$G:$G,monthly_work_hours!$A:$A,'FTE 계산'!$A106,monthly_work_hours!$F:$F,'FTE 계산'!I$2)) - (SUMIFS(monthly_work_hours!$J:$J,monthly_work_hours!$A:$A,'FTE 계산'!$A106,monthly_work_hours!$F:$F,'FTE 계산'!I$2))</f>
        <v>17</v>
      </c>
      <c r="J106">
        <f>(SUMIFS(monthly_work_hours!$G:$G,monthly_work_hours!$A:$A,'FTE 계산'!$A106,monthly_work_hours!$F:$F,'FTE 계산'!J$2)) - (SUMIFS(monthly_work_hours!$J:$J,monthly_work_hours!$A:$A,'FTE 계산'!$A106,monthly_work_hours!$F:$F,'FTE 계산'!J$2))</f>
        <v>16</v>
      </c>
    </row>
    <row r="107" spans="1:10">
      <c r="A107">
        <v>1216022</v>
      </c>
      <c r="B107" t="str">
        <f>_xlfn.XLOOKUP(A107,monthly_work_hours!A:A,monthly_work_hours!B:B)</f>
        <v>전현하</v>
      </c>
      <c r="C107" t="str">
        <f>_xlfn.XLOOKUP(A107,monthly_work_hours!A:A,monthly_work_hours!C:C)</f>
        <v>관체사업팀</v>
      </c>
      <c r="D107" t="str">
        <f>_xlfn.XLOOKUP(A107,monthly_work_hours!A:A,monthly_work_hours!D:D)</f>
        <v>사원</v>
      </c>
      <c r="E107">
        <f>SUMIFS(monthly_work_hours!$K:$K,monthly_work_hours!$A:$A,'FTE 계산'!$A107,monthly_work_hours!$F:$F,'FTE 계산'!E$2)</f>
        <v>161.30000000000001</v>
      </c>
      <c r="F107">
        <f>SUMIFS(monthly_work_hours!$K:$K,monthly_work_hours!$A:$A,'FTE 계산'!$A107,monthly_work_hours!$F:$F,'FTE 계산'!F$2)</f>
        <v>160.19999999999999</v>
      </c>
      <c r="G107">
        <f>SUMIFS(monthly_work_hours!$K:$K,monthly_work_hours!$A:$A,'FTE 계산'!$A107,monthly_work_hours!$F:$F,'FTE 계산'!G$2)</f>
        <v>125.8</v>
      </c>
      <c r="H107">
        <f>(SUMIFS(monthly_work_hours!$G:$G,monthly_work_hours!$A:$A,'FTE 계산'!$A107,monthly_work_hours!$F:$F,'FTE 계산'!H$2)) - (SUMIFS(monthly_work_hours!$J:$J,monthly_work_hours!$A:$A,'FTE 계산'!$A107,monthly_work_hours!$F:$F,'FTE 계산'!H$2))</f>
        <v>19</v>
      </c>
      <c r="I107">
        <f>(SUMIFS(monthly_work_hours!$G:$G,monthly_work_hours!$A:$A,'FTE 계산'!$A107,monthly_work_hours!$F:$F,'FTE 계산'!I$2)) - (SUMIFS(monthly_work_hours!$J:$J,monthly_work_hours!$A:$A,'FTE 계산'!$A107,monthly_work_hours!$F:$F,'FTE 계산'!I$2))</f>
        <v>18</v>
      </c>
      <c r="J107">
        <f>(SUMIFS(monthly_work_hours!$G:$G,monthly_work_hours!$A:$A,'FTE 계산'!$A107,monthly_work_hours!$F:$F,'FTE 계산'!J$2)) - (SUMIFS(monthly_work_hours!$J:$J,monthly_work_hours!$A:$A,'FTE 계산'!$A107,monthly_work_hours!$F:$F,'FTE 계산'!J$2))</f>
        <v>13</v>
      </c>
    </row>
    <row r="108" spans="1:10">
      <c r="A108">
        <v>1216025</v>
      </c>
      <c r="B108" t="str">
        <f>_xlfn.XLOOKUP(A108,monthly_work_hours!A:A,monthly_work_hours!B:B)</f>
        <v>여성호</v>
      </c>
      <c r="C108" t="str">
        <f>_xlfn.XLOOKUP(A108,monthly_work_hours!A:A,monthly_work_hours!C:C)</f>
        <v>SL설계팀</v>
      </c>
      <c r="D108" t="str">
        <f>_xlfn.XLOOKUP(A108,monthly_work_hours!A:A,monthly_work_hours!D:D)</f>
        <v>선임</v>
      </c>
      <c r="E108">
        <f>SUMIFS(monthly_work_hours!$K:$K,monthly_work_hours!$A:$A,'FTE 계산'!$A108,monthly_work_hours!$F:$F,'FTE 계산'!E$2)</f>
        <v>101.6</v>
      </c>
      <c r="F108">
        <f>SUMIFS(monthly_work_hours!$K:$K,monthly_work_hours!$A:$A,'FTE 계산'!$A108,monthly_work_hours!$F:$F,'FTE 계산'!F$2)</f>
        <v>94.4</v>
      </c>
      <c r="G108">
        <f>SUMIFS(monthly_work_hours!$K:$K,monthly_work_hours!$A:$A,'FTE 계산'!$A108,monthly_work_hours!$F:$F,'FTE 계산'!G$2)</f>
        <v>49.5</v>
      </c>
      <c r="H108">
        <f>(SUMIFS(monthly_work_hours!$G:$G,monthly_work_hours!$A:$A,'FTE 계산'!$A108,monthly_work_hours!$F:$F,'FTE 계산'!H$2)) - (SUMIFS(monthly_work_hours!$J:$J,monthly_work_hours!$A:$A,'FTE 계산'!$A108,monthly_work_hours!$F:$F,'FTE 계산'!H$2))</f>
        <v>12</v>
      </c>
      <c r="I108">
        <f>(SUMIFS(monthly_work_hours!$G:$G,monthly_work_hours!$A:$A,'FTE 계산'!$A108,monthly_work_hours!$F:$F,'FTE 계산'!I$2)) - (SUMIFS(monthly_work_hours!$J:$J,monthly_work_hours!$A:$A,'FTE 계산'!$A108,monthly_work_hours!$F:$F,'FTE 계산'!I$2))</f>
        <v>13</v>
      </c>
      <c r="J108">
        <f>(SUMIFS(monthly_work_hours!$G:$G,monthly_work_hours!$A:$A,'FTE 계산'!$A108,monthly_work_hours!$F:$F,'FTE 계산'!J$2)) - (SUMIFS(monthly_work_hours!$J:$J,monthly_work_hours!$A:$A,'FTE 계산'!$A108,monthly_work_hours!$F:$F,'FTE 계산'!J$2))</f>
        <v>6</v>
      </c>
    </row>
    <row r="109" spans="1:10">
      <c r="A109">
        <v>1216044</v>
      </c>
      <c r="B109" t="str">
        <f>_xlfn.XLOOKUP(A109,monthly_work_hours!A:A,monthly_work_hours!B:B)</f>
        <v>이세리</v>
      </c>
      <c r="C109" t="str">
        <f>_xlfn.XLOOKUP(A109,monthly_work_hours!A:A,monthly_work_hours!C:C)</f>
        <v>구매원가팀</v>
      </c>
      <c r="D109" t="str">
        <f>_xlfn.XLOOKUP(A109,monthly_work_hours!A:A,monthly_work_hours!D:D)</f>
        <v>사원</v>
      </c>
      <c r="E109">
        <f>SUMIFS(monthly_work_hours!$K:$K,monthly_work_hours!$A:$A,'FTE 계산'!$A109,monthly_work_hours!$F:$F,'FTE 계산'!E$2)</f>
        <v>185.9</v>
      </c>
      <c r="F109">
        <f>SUMIFS(monthly_work_hours!$K:$K,monthly_work_hours!$A:$A,'FTE 계산'!$A109,monthly_work_hours!$F:$F,'FTE 계산'!F$2)</f>
        <v>177.8</v>
      </c>
      <c r="G109">
        <f>SUMIFS(monthly_work_hours!$K:$K,monthly_work_hours!$A:$A,'FTE 계산'!$A109,monthly_work_hours!$F:$F,'FTE 계산'!G$2)</f>
        <v>166.3</v>
      </c>
      <c r="H109">
        <f>(SUMIFS(monthly_work_hours!$G:$G,monthly_work_hours!$A:$A,'FTE 계산'!$A109,monthly_work_hours!$F:$F,'FTE 계산'!H$2)) - (SUMIFS(monthly_work_hours!$J:$J,monthly_work_hours!$A:$A,'FTE 계산'!$A109,monthly_work_hours!$F:$F,'FTE 계산'!H$2))</f>
        <v>18</v>
      </c>
      <c r="I109">
        <f>(SUMIFS(monthly_work_hours!$G:$G,monthly_work_hours!$A:$A,'FTE 계산'!$A109,monthly_work_hours!$F:$F,'FTE 계산'!I$2)) - (SUMIFS(monthly_work_hours!$J:$J,monthly_work_hours!$A:$A,'FTE 계산'!$A109,monthly_work_hours!$F:$F,'FTE 계산'!I$2))</f>
        <v>18</v>
      </c>
      <c r="J109">
        <f>(SUMIFS(monthly_work_hours!$G:$G,monthly_work_hours!$A:$A,'FTE 계산'!$A109,monthly_work_hours!$F:$F,'FTE 계산'!J$2)) - (SUMIFS(monthly_work_hours!$J:$J,monthly_work_hours!$A:$A,'FTE 계산'!$A109,monthly_work_hours!$F:$F,'FTE 계산'!J$2))</f>
        <v>16</v>
      </c>
    </row>
    <row r="110" spans="1:10">
      <c r="A110">
        <v>1216071</v>
      </c>
      <c r="B110" t="str">
        <f>_xlfn.XLOOKUP(A110,monthly_work_hours!A:A,monthly_work_hours!B:B)</f>
        <v>김용신</v>
      </c>
      <c r="C110" t="str">
        <f>_xlfn.XLOOKUP(A110,monthly_work_hours!A:A,monthly_work_hours!C:C)</f>
        <v>안전보안팀</v>
      </c>
      <c r="D110" t="str">
        <f>_xlfn.XLOOKUP(A110,monthly_work_hours!A:A,monthly_work_hours!D:D)</f>
        <v>책임</v>
      </c>
      <c r="E110">
        <f>SUMIFS(monthly_work_hours!$K:$K,monthly_work_hours!$A:$A,'FTE 계산'!$A110,monthly_work_hours!$F:$F,'FTE 계산'!E$2)</f>
        <v>608.20000000000005</v>
      </c>
      <c r="F110">
        <f>SUMIFS(monthly_work_hours!$K:$K,monthly_work_hours!$A:$A,'FTE 계산'!$A110,monthly_work_hours!$F:$F,'FTE 계산'!F$2)</f>
        <v>634.9</v>
      </c>
      <c r="G110">
        <f>SUMIFS(monthly_work_hours!$K:$K,monthly_work_hours!$A:$A,'FTE 계산'!$A110,monthly_work_hours!$F:$F,'FTE 계산'!G$2)</f>
        <v>355</v>
      </c>
      <c r="H110">
        <f>(SUMIFS(monthly_work_hours!$G:$G,monthly_work_hours!$A:$A,'FTE 계산'!$A110,monthly_work_hours!$F:$F,'FTE 계산'!H$2)) - (SUMIFS(monthly_work_hours!$J:$J,monthly_work_hours!$A:$A,'FTE 계산'!$A110,monthly_work_hours!$F:$F,'FTE 계산'!H$2))</f>
        <v>21</v>
      </c>
      <c r="I110">
        <f>(SUMIFS(monthly_work_hours!$G:$G,monthly_work_hours!$A:$A,'FTE 계산'!$A110,monthly_work_hours!$F:$F,'FTE 계산'!I$2)) - (SUMIFS(monthly_work_hours!$J:$J,monthly_work_hours!$A:$A,'FTE 계산'!$A110,monthly_work_hours!$F:$F,'FTE 계산'!I$2))</f>
        <v>21</v>
      </c>
      <c r="J110">
        <f>(SUMIFS(monthly_work_hours!$G:$G,monthly_work_hours!$A:$A,'FTE 계산'!$A110,monthly_work_hours!$F:$F,'FTE 계산'!J$2)) - (SUMIFS(monthly_work_hours!$J:$J,monthly_work_hours!$A:$A,'FTE 계산'!$A110,monthly_work_hours!$F:$F,'FTE 계산'!J$2))</f>
        <v>16</v>
      </c>
    </row>
    <row r="111" spans="1:10">
      <c r="A111">
        <v>1216118</v>
      </c>
      <c r="B111" t="str">
        <f>_xlfn.XLOOKUP(A111,monthly_work_hours!A:A,monthly_work_hours!B:B)</f>
        <v>예송</v>
      </c>
      <c r="C111" t="str">
        <f>_xlfn.XLOOKUP(A111,monthly_work_hours!A:A,monthly_work_hours!C:C)</f>
        <v>재무팀</v>
      </c>
      <c r="D111" t="str">
        <f>_xlfn.XLOOKUP(A111,monthly_work_hours!A:A,monthly_work_hours!D:D)</f>
        <v>선임</v>
      </c>
      <c r="E111">
        <f>SUMIFS(monthly_work_hours!$K:$K,monthly_work_hours!$A:$A,'FTE 계산'!$A111,monthly_work_hours!$F:$F,'FTE 계산'!E$2)</f>
        <v>190</v>
      </c>
      <c r="F111">
        <f>SUMIFS(monthly_work_hours!$K:$K,monthly_work_hours!$A:$A,'FTE 계산'!$A111,monthly_work_hours!$F:$F,'FTE 계산'!F$2)</f>
        <v>227.7</v>
      </c>
      <c r="G111">
        <f>SUMIFS(monthly_work_hours!$K:$K,monthly_work_hours!$A:$A,'FTE 계산'!$A111,monthly_work_hours!$F:$F,'FTE 계산'!G$2)</f>
        <v>138.5</v>
      </c>
      <c r="H111">
        <f>(SUMIFS(monthly_work_hours!$G:$G,monthly_work_hours!$A:$A,'FTE 계산'!$A111,monthly_work_hours!$F:$F,'FTE 계산'!H$2)) - (SUMIFS(monthly_work_hours!$J:$J,monthly_work_hours!$A:$A,'FTE 계산'!$A111,monthly_work_hours!$F:$F,'FTE 계산'!H$2))</f>
        <v>19</v>
      </c>
      <c r="I111">
        <f>(SUMIFS(monthly_work_hours!$G:$G,monthly_work_hours!$A:$A,'FTE 계산'!$A111,monthly_work_hours!$F:$F,'FTE 계산'!I$2)) - (SUMIFS(monthly_work_hours!$J:$J,monthly_work_hours!$A:$A,'FTE 계산'!$A111,monthly_work_hours!$F:$F,'FTE 계산'!I$2))</f>
        <v>22</v>
      </c>
      <c r="J111">
        <f>(SUMIFS(monthly_work_hours!$G:$G,monthly_work_hours!$A:$A,'FTE 계산'!$A111,monthly_work_hours!$F:$F,'FTE 계산'!J$2)) - (SUMIFS(monthly_work_hours!$J:$J,monthly_work_hours!$A:$A,'FTE 계산'!$A111,monthly_work_hours!$F:$F,'FTE 계산'!J$2))</f>
        <v>15</v>
      </c>
    </row>
    <row r="112" spans="1:10">
      <c r="A112">
        <v>1216119</v>
      </c>
      <c r="B112" t="str">
        <f>_xlfn.XLOOKUP(A112,monthly_work_hours!A:A,monthly_work_hours!B:B)</f>
        <v>이승효</v>
      </c>
      <c r="C112" t="str">
        <f>_xlfn.XLOOKUP(A112,monthly_work_hours!A:A,monthly_work_hours!C:C)</f>
        <v>열관리설계팀</v>
      </c>
      <c r="D112" t="str">
        <f>_xlfn.XLOOKUP(A112,monthly_work_hours!A:A,monthly_work_hours!D:D)</f>
        <v>선임</v>
      </c>
      <c r="E112">
        <f>SUMIFS(monthly_work_hours!$K:$K,monthly_work_hours!$A:$A,'FTE 계산'!$A112,monthly_work_hours!$F:$F,'FTE 계산'!E$2)</f>
        <v>187.1</v>
      </c>
      <c r="F112">
        <f>SUMIFS(monthly_work_hours!$K:$K,monthly_work_hours!$A:$A,'FTE 계산'!$A112,monthly_work_hours!$F:$F,'FTE 계산'!F$2)</f>
        <v>262</v>
      </c>
      <c r="G112">
        <f>SUMIFS(monthly_work_hours!$K:$K,monthly_work_hours!$A:$A,'FTE 계산'!$A112,monthly_work_hours!$F:$F,'FTE 계산'!G$2)</f>
        <v>141.6</v>
      </c>
      <c r="H112">
        <f>(SUMIFS(monthly_work_hours!$G:$G,monthly_work_hours!$A:$A,'FTE 계산'!$A112,monthly_work_hours!$F:$F,'FTE 계산'!H$2)) - (SUMIFS(monthly_work_hours!$J:$J,monthly_work_hours!$A:$A,'FTE 계산'!$A112,monthly_work_hours!$F:$F,'FTE 계산'!H$2))</f>
        <v>17</v>
      </c>
      <c r="I112">
        <f>(SUMIFS(monthly_work_hours!$G:$G,monthly_work_hours!$A:$A,'FTE 계산'!$A112,monthly_work_hours!$F:$F,'FTE 계산'!I$2)) - (SUMIFS(monthly_work_hours!$J:$J,monthly_work_hours!$A:$A,'FTE 계산'!$A112,monthly_work_hours!$F:$F,'FTE 계산'!I$2))</f>
        <v>20</v>
      </c>
      <c r="J112">
        <f>(SUMIFS(monthly_work_hours!$G:$G,monthly_work_hours!$A:$A,'FTE 계산'!$A112,monthly_work_hours!$F:$F,'FTE 계산'!J$2)) - (SUMIFS(monthly_work_hours!$J:$J,monthly_work_hours!$A:$A,'FTE 계산'!$A112,monthly_work_hours!$F:$F,'FTE 계산'!J$2))</f>
        <v>16</v>
      </c>
    </row>
    <row r="113" spans="1:10">
      <c r="A113">
        <v>1216123</v>
      </c>
      <c r="B113" t="str">
        <f>_xlfn.XLOOKUP(A113,monthly_work_hours!A:A,monthly_work_hours!B:B)</f>
        <v>박용승</v>
      </c>
      <c r="C113" t="str">
        <f>_xlfn.XLOOKUP(A113,monthly_work_hours!A:A,monthly_work_hours!C:C)</f>
        <v>FL영업팀</v>
      </c>
      <c r="D113" t="str">
        <f>_xlfn.XLOOKUP(A113,monthly_work_hours!A:A,monthly_work_hours!D:D)</f>
        <v>선임</v>
      </c>
      <c r="E113">
        <f>SUMIFS(monthly_work_hours!$K:$K,monthly_work_hours!$A:$A,'FTE 계산'!$A113,monthly_work_hours!$F:$F,'FTE 계산'!E$2)</f>
        <v>191.7</v>
      </c>
      <c r="F113">
        <f>SUMIFS(monthly_work_hours!$K:$K,monthly_work_hours!$A:$A,'FTE 계산'!$A113,monthly_work_hours!$F:$F,'FTE 계산'!F$2)</f>
        <v>189.4</v>
      </c>
      <c r="G113">
        <f>SUMIFS(monthly_work_hours!$K:$K,monthly_work_hours!$A:$A,'FTE 계산'!$A113,monthly_work_hours!$F:$F,'FTE 계산'!G$2)</f>
        <v>177.7</v>
      </c>
      <c r="H113">
        <f>(SUMIFS(monthly_work_hours!$G:$G,monthly_work_hours!$A:$A,'FTE 계산'!$A113,monthly_work_hours!$F:$F,'FTE 계산'!H$2)) - (SUMIFS(monthly_work_hours!$J:$J,monthly_work_hours!$A:$A,'FTE 계산'!$A113,monthly_work_hours!$F:$F,'FTE 계산'!H$2))</f>
        <v>17</v>
      </c>
      <c r="I113">
        <f>(SUMIFS(monthly_work_hours!$G:$G,monthly_work_hours!$A:$A,'FTE 계산'!$A113,monthly_work_hours!$F:$F,'FTE 계산'!I$2)) - (SUMIFS(monthly_work_hours!$J:$J,monthly_work_hours!$A:$A,'FTE 계산'!$A113,monthly_work_hours!$F:$F,'FTE 계산'!I$2))</f>
        <v>17</v>
      </c>
      <c r="J113">
        <f>(SUMIFS(monthly_work_hours!$G:$G,monthly_work_hours!$A:$A,'FTE 계산'!$A113,monthly_work_hours!$F:$F,'FTE 계산'!J$2)) - (SUMIFS(monthly_work_hours!$J:$J,monthly_work_hours!$A:$A,'FTE 계산'!$A113,monthly_work_hours!$F:$F,'FTE 계산'!J$2))</f>
        <v>15</v>
      </c>
    </row>
    <row r="114" spans="1:10">
      <c r="A114">
        <v>1216125</v>
      </c>
      <c r="B114" t="str">
        <f>_xlfn.XLOOKUP(A114,monthly_work_hours!A:A,monthly_work_hours!B:B)</f>
        <v>류병훈</v>
      </c>
      <c r="C114" t="str">
        <f>_xlfn.XLOOKUP(A114,monthly_work_hours!A:A,monthly_work_hours!C:C)</f>
        <v>FL영업팀</v>
      </c>
      <c r="D114" t="str">
        <f>_xlfn.XLOOKUP(A114,monthly_work_hours!A:A,monthly_work_hours!D:D)</f>
        <v>선임</v>
      </c>
      <c r="E114">
        <f>SUMIFS(monthly_work_hours!$K:$K,monthly_work_hours!$A:$A,'FTE 계산'!$A114,monthly_work_hours!$F:$F,'FTE 계산'!E$2)</f>
        <v>208.6</v>
      </c>
      <c r="F114">
        <f>SUMIFS(monthly_work_hours!$K:$K,monthly_work_hours!$A:$A,'FTE 계산'!$A114,monthly_work_hours!$F:$F,'FTE 계산'!F$2)</f>
        <v>202.2</v>
      </c>
      <c r="G114">
        <f>SUMIFS(monthly_work_hours!$K:$K,monthly_work_hours!$A:$A,'FTE 계산'!$A114,monthly_work_hours!$F:$F,'FTE 계산'!G$2)</f>
        <v>182.1</v>
      </c>
      <c r="H114">
        <f>(SUMIFS(monthly_work_hours!$G:$G,monthly_work_hours!$A:$A,'FTE 계산'!$A114,monthly_work_hours!$F:$F,'FTE 계산'!H$2)) - (SUMIFS(monthly_work_hours!$J:$J,monthly_work_hours!$A:$A,'FTE 계산'!$A114,monthly_work_hours!$F:$F,'FTE 계산'!H$2))</f>
        <v>18</v>
      </c>
      <c r="I114">
        <f>(SUMIFS(monthly_work_hours!$G:$G,monthly_work_hours!$A:$A,'FTE 계산'!$A114,monthly_work_hours!$F:$F,'FTE 계산'!I$2)) - (SUMIFS(monthly_work_hours!$J:$J,monthly_work_hours!$A:$A,'FTE 계산'!$A114,monthly_work_hours!$F:$F,'FTE 계산'!I$2))</f>
        <v>17</v>
      </c>
      <c r="J114">
        <f>(SUMIFS(monthly_work_hours!$G:$G,monthly_work_hours!$A:$A,'FTE 계산'!$A114,monthly_work_hours!$F:$F,'FTE 계산'!J$2)) - (SUMIFS(monthly_work_hours!$J:$J,monthly_work_hours!$A:$A,'FTE 계산'!$A114,monthly_work_hours!$F:$F,'FTE 계산'!J$2))</f>
        <v>16</v>
      </c>
    </row>
    <row r="115" spans="1:10">
      <c r="A115">
        <v>1216132</v>
      </c>
      <c r="B115" t="str">
        <f>_xlfn.XLOOKUP(A115,monthly_work_hours!A:A,monthly_work_hours!B:B)</f>
        <v>정영주</v>
      </c>
      <c r="C115" t="str">
        <f>_xlfn.XLOOKUP(A115,monthly_work_hours!A:A,monthly_work_hours!C:C)</f>
        <v>Brake설계팀</v>
      </c>
      <c r="D115" t="str">
        <f>_xlfn.XLOOKUP(A115,monthly_work_hours!A:A,monthly_work_hours!D:D)</f>
        <v>책임</v>
      </c>
      <c r="E115">
        <f>SUMIFS(monthly_work_hours!$K:$K,monthly_work_hours!$A:$A,'FTE 계산'!$A115,monthly_work_hours!$F:$F,'FTE 계산'!E$2)</f>
        <v>288.39999999999998</v>
      </c>
      <c r="F115">
        <f>SUMIFS(monthly_work_hours!$K:$K,monthly_work_hours!$A:$A,'FTE 계산'!$A115,monthly_work_hours!$F:$F,'FTE 계산'!F$2)</f>
        <v>219.9</v>
      </c>
      <c r="G115">
        <f>SUMIFS(monthly_work_hours!$K:$K,monthly_work_hours!$A:$A,'FTE 계산'!$A115,monthly_work_hours!$F:$F,'FTE 계산'!G$2)</f>
        <v>174.3</v>
      </c>
      <c r="H115">
        <f>(SUMIFS(monthly_work_hours!$G:$G,monthly_work_hours!$A:$A,'FTE 계산'!$A115,monthly_work_hours!$F:$F,'FTE 계산'!H$2)) - (SUMIFS(monthly_work_hours!$J:$J,monthly_work_hours!$A:$A,'FTE 계산'!$A115,monthly_work_hours!$F:$F,'FTE 계산'!H$2))</f>
        <v>17</v>
      </c>
      <c r="I115">
        <f>(SUMIFS(monthly_work_hours!$G:$G,monthly_work_hours!$A:$A,'FTE 계산'!$A115,monthly_work_hours!$F:$F,'FTE 계산'!I$2)) - (SUMIFS(monthly_work_hours!$J:$J,monthly_work_hours!$A:$A,'FTE 계산'!$A115,monthly_work_hours!$F:$F,'FTE 계산'!I$2))</f>
        <v>18</v>
      </c>
      <c r="J115">
        <f>(SUMIFS(monthly_work_hours!$G:$G,monthly_work_hours!$A:$A,'FTE 계산'!$A115,monthly_work_hours!$F:$F,'FTE 계산'!J$2)) - (SUMIFS(monthly_work_hours!$J:$J,monthly_work_hours!$A:$A,'FTE 계산'!$A115,monthly_work_hours!$F:$F,'FTE 계산'!J$2))</f>
        <v>15</v>
      </c>
    </row>
    <row r="116" spans="1:10">
      <c r="A116">
        <v>1216155</v>
      </c>
      <c r="B116" t="str">
        <f>_xlfn.XLOOKUP(A116,monthly_work_hours!A:A,monthly_work_hours!B:B)</f>
        <v>이소영</v>
      </c>
      <c r="C116" t="str">
        <f>_xlfn.XLOOKUP(A116,monthly_work_hours!A:A,monthly_work_hours!C:C)</f>
        <v>품질경영팀</v>
      </c>
      <c r="D116" t="str">
        <f>_xlfn.XLOOKUP(A116,monthly_work_hours!A:A,monthly_work_hours!D:D)</f>
        <v>사원</v>
      </c>
      <c r="E116">
        <f>SUMIFS(monthly_work_hours!$K:$K,monthly_work_hours!$A:$A,'FTE 계산'!$A116,monthly_work_hours!$F:$F,'FTE 계산'!E$2)</f>
        <v>168.5</v>
      </c>
      <c r="F116">
        <f>SUMIFS(monthly_work_hours!$K:$K,monthly_work_hours!$A:$A,'FTE 계산'!$A116,monthly_work_hours!$F:$F,'FTE 계산'!F$2)</f>
        <v>155.69999999999999</v>
      </c>
      <c r="G116">
        <f>SUMIFS(monthly_work_hours!$K:$K,monthly_work_hours!$A:$A,'FTE 계산'!$A116,monthly_work_hours!$F:$F,'FTE 계산'!G$2)</f>
        <v>139.6</v>
      </c>
      <c r="H116">
        <f>(SUMIFS(monthly_work_hours!$G:$G,monthly_work_hours!$A:$A,'FTE 계산'!$A116,monthly_work_hours!$F:$F,'FTE 계산'!H$2)) - (SUMIFS(monthly_work_hours!$J:$J,monthly_work_hours!$A:$A,'FTE 계산'!$A116,monthly_work_hours!$F:$F,'FTE 계산'!H$2))</f>
        <v>18</v>
      </c>
      <c r="I116">
        <f>(SUMIFS(monthly_work_hours!$G:$G,monthly_work_hours!$A:$A,'FTE 계산'!$A116,monthly_work_hours!$F:$F,'FTE 계산'!I$2)) - (SUMIFS(monthly_work_hours!$J:$J,monthly_work_hours!$A:$A,'FTE 계산'!$A116,monthly_work_hours!$F:$F,'FTE 계산'!I$2))</f>
        <v>17</v>
      </c>
      <c r="J116">
        <f>(SUMIFS(monthly_work_hours!$G:$G,monthly_work_hours!$A:$A,'FTE 계산'!$A116,monthly_work_hours!$F:$F,'FTE 계산'!J$2)) - (SUMIFS(monthly_work_hours!$J:$J,monthly_work_hours!$A:$A,'FTE 계산'!$A116,monthly_work_hours!$F:$F,'FTE 계산'!J$2))</f>
        <v>16</v>
      </c>
    </row>
    <row r="117" spans="1:10">
      <c r="A117">
        <v>1216179</v>
      </c>
      <c r="B117" t="str">
        <f>_xlfn.XLOOKUP(A117,monthly_work_hours!A:A,monthly_work_hours!B:B)</f>
        <v>데니스</v>
      </c>
      <c r="C117" t="str">
        <f>_xlfn.XLOOKUP(A117,monthly_work_hours!A:A,monthly_work_hours!C:C)</f>
        <v>설비기획팀</v>
      </c>
      <c r="D117" t="str">
        <f>_xlfn.XLOOKUP(A117,monthly_work_hours!A:A,monthly_work_hours!D:D)</f>
        <v>책임</v>
      </c>
      <c r="E117">
        <f>SUMIFS(monthly_work_hours!$K:$K,monthly_work_hours!$A:$A,'FTE 계산'!$A117,monthly_work_hours!$F:$F,'FTE 계산'!E$2)</f>
        <v>165.9</v>
      </c>
      <c r="F117">
        <f>SUMIFS(monthly_work_hours!$K:$K,monthly_work_hours!$A:$A,'FTE 계산'!$A117,monthly_work_hours!$F:$F,'FTE 계산'!F$2)</f>
        <v>185.6</v>
      </c>
      <c r="G117">
        <f>SUMIFS(monthly_work_hours!$K:$K,monthly_work_hours!$A:$A,'FTE 계산'!$A117,monthly_work_hours!$F:$F,'FTE 계산'!G$2)</f>
        <v>136.6</v>
      </c>
      <c r="H117">
        <f>(SUMIFS(monthly_work_hours!$G:$G,monthly_work_hours!$A:$A,'FTE 계산'!$A117,monthly_work_hours!$F:$F,'FTE 계산'!H$2)) - (SUMIFS(monthly_work_hours!$J:$J,monthly_work_hours!$A:$A,'FTE 계산'!$A117,monthly_work_hours!$F:$F,'FTE 계산'!H$2))</f>
        <v>17</v>
      </c>
      <c r="I117">
        <f>(SUMIFS(monthly_work_hours!$G:$G,monthly_work_hours!$A:$A,'FTE 계산'!$A117,monthly_work_hours!$F:$F,'FTE 계산'!I$2)) - (SUMIFS(monthly_work_hours!$J:$J,monthly_work_hours!$A:$A,'FTE 계산'!$A117,monthly_work_hours!$F:$F,'FTE 계산'!I$2))</f>
        <v>19</v>
      </c>
      <c r="J117">
        <f>(SUMIFS(monthly_work_hours!$G:$G,monthly_work_hours!$A:$A,'FTE 계산'!$A117,monthly_work_hours!$F:$F,'FTE 계산'!J$2)) - (SUMIFS(monthly_work_hours!$J:$J,monthly_work_hours!$A:$A,'FTE 계산'!$A117,monthly_work_hours!$F:$F,'FTE 계산'!J$2))</f>
        <v>15</v>
      </c>
    </row>
    <row r="118" spans="1:10">
      <c r="A118">
        <v>1216181</v>
      </c>
      <c r="B118" t="str">
        <f>_xlfn.XLOOKUP(A118,monthly_work_hours!A:A,monthly_work_hours!B:B)</f>
        <v>박수진</v>
      </c>
      <c r="C118" t="str">
        <f>_xlfn.XLOOKUP(A118,monthly_work_hours!A:A,monthly_work_hours!C:C)</f>
        <v>SL생산팀</v>
      </c>
      <c r="D118" t="str">
        <f>_xlfn.XLOOKUP(A118,monthly_work_hours!A:A,monthly_work_hours!D:D)</f>
        <v>사원</v>
      </c>
      <c r="E118">
        <f>SUMIFS(monthly_work_hours!$K:$K,monthly_work_hours!$A:$A,'FTE 계산'!$A118,monthly_work_hours!$F:$F,'FTE 계산'!E$2)</f>
        <v>151.9</v>
      </c>
      <c r="F118">
        <f>SUMIFS(monthly_work_hours!$K:$K,monthly_work_hours!$A:$A,'FTE 계산'!$A118,monthly_work_hours!$F:$F,'FTE 계산'!F$2)</f>
        <v>163.80000000000001</v>
      </c>
      <c r="G118">
        <f>SUMIFS(monthly_work_hours!$K:$K,monthly_work_hours!$A:$A,'FTE 계산'!$A118,monthly_work_hours!$F:$F,'FTE 계산'!G$2)</f>
        <v>138.4</v>
      </c>
      <c r="H118">
        <f>(SUMIFS(monthly_work_hours!$G:$G,monthly_work_hours!$A:$A,'FTE 계산'!$A118,monthly_work_hours!$F:$F,'FTE 계산'!H$2)) - (SUMIFS(monthly_work_hours!$J:$J,monthly_work_hours!$A:$A,'FTE 계산'!$A118,monthly_work_hours!$F:$F,'FTE 계산'!H$2))</f>
        <v>17</v>
      </c>
      <c r="I118">
        <f>(SUMIFS(monthly_work_hours!$G:$G,monthly_work_hours!$A:$A,'FTE 계산'!$A118,monthly_work_hours!$F:$F,'FTE 계산'!I$2)) - (SUMIFS(monthly_work_hours!$J:$J,monthly_work_hours!$A:$A,'FTE 계산'!$A118,monthly_work_hours!$F:$F,'FTE 계산'!I$2))</f>
        <v>18</v>
      </c>
      <c r="J118">
        <f>(SUMIFS(monthly_work_hours!$G:$G,monthly_work_hours!$A:$A,'FTE 계산'!$A118,monthly_work_hours!$F:$F,'FTE 계산'!J$2)) - (SUMIFS(monthly_work_hours!$J:$J,monthly_work_hours!$A:$A,'FTE 계산'!$A118,monthly_work_hours!$F:$F,'FTE 계산'!J$2))</f>
        <v>16</v>
      </c>
    </row>
    <row r="119" spans="1:10">
      <c r="A119">
        <v>1216192</v>
      </c>
      <c r="B119" t="str">
        <f>_xlfn.XLOOKUP(A119,monthly_work_hours!A:A,monthly_work_hours!B:B)</f>
        <v>김재기</v>
      </c>
      <c r="C119" t="str">
        <f>_xlfn.XLOOKUP(A119,monthly_work_hours!A:A,monthly_work_hours!C:C)</f>
        <v>SL개발팀</v>
      </c>
      <c r="D119" t="str">
        <f>_xlfn.XLOOKUP(A119,monthly_work_hours!A:A,monthly_work_hours!D:D)</f>
        <v>책임</v>
      </c>
      <c r="E119">
        <f>SUMIFS(monthly_work_hours!$K:$K,monthly_work_hours!$A:$A,'FTE 계산'!$A119,monthly_work_hours!$F:$F,'FTE 계산'!E$2)</f>
        <v>165.7</v>
      </c>
      <c r="F119">
        <f>SUMIFS(monthly_work_hours!$K:$K,monthly_work_hours!$A:$A,'FTE 계산'!$A119,monthly_work_hours!$F:$F,'FTE 계산'!F$2)</f>
        <v>155.19999999999999</v>
      </c>
      <c r="G119">
        <f>SUMIFS(monthly_work_hours!$K:$K,monthly_work_hours!$A:$A,'FTE 계산'!$A119,monthly_work_hours!$F:$F,'FTE 계산'!G$2)</f>
        <v>133.6</v>
      </c>
      <c r="H119">
        <f>(SUMIFS(monthly_work_hours!$G:$G,monthly_work_hours!$A:$A,'FTE 계산'!$A119,monthly_work_hours!$F:$F,'FTE 계산'!H$2)) - (SUMIFS(monthly_work_hours!$J:$J,monthly_work_hours!$A:$A,'FTE 계산'!$A119,monthly_work_hours!$F:$F,'FTE 계산'!H$2))</f>
        <v>19</v>
      </c>
      <c r="I119">
        <f>(SUMIFS(monthly_work_hours!$G:$G,monthly_work_hours!$A:$A,'FTE 계산'!$A119,monthly_work_hours!$F:$F,'FTE 계산'!I$2)) - (SUMIFS(monthly_work_hours!$J:$J,monthly_work_hours!$A:$A,'FTE 계산'!$A119,monthly_work_hours!$F:$F,'FTE 계산'!I$2))</f>
        <v>18</v>
      </c>
      <c r="J119">
        <f>(SUMIFS(monthly_work_hours!$G:$G,monthly_work_hours!$A:$A,'FTE 계산'!$A119,monthly_work_hours!$F:$F,'FTE 계산'!J$2)) - (SUMIFS(monthly_work_hours!$J:$J,monthly_work_hours!$A:$A,'FTE 계산'!$A119,monthly_work_hours!$F:$F,'FTE 계산'!J$2))</f>
        <v>16</v>
      </c>
    </row>
    <row r="120" spans="1:10">
      <c r="A120">
        <v>1217012</v>
      </c>
      <c r="B120" t="str">
        <f>_xlfn.XLOOKUP(A120,monthly_work_hours!A:A,monthly_work_hours!B:B)</f>
        <v>김라성</v>
      </c>
      <c r="C120" t="str">
        <f>_xlfn.XLOOKUP(A120,monthly_work_hours!A:A,monthly_work_hours!C:C)</f>
        <v>SL설계팀</v>
      </c>
      <c r="D120" t="str">
        <f>_xlfn.XLOOKUP(A120,monthly_work_hours!A:A,monthly_work_hours!D:D)</f>
        <v>선임</v>
      </c>
      <c r="E120">
        <f>SUMIFS(monthly_work_hours!$K:$K,monthly_work_hours!$A:$A,'FTE 계산'!$A120,monthly_work_hours!$F:$F,'FTE 계산'!E$2)</f>
        <v>568.4</v>
      </c>
      <c r="F120">
        <f>SUMIFS(monthly_work_hours!$K:$K,monthly_work_hours!$A:$A,'FTE 계산'!$A120,monthly_work_hours!$F:$F,'FTE 계산'!F$2)</f>
        <v>477.9</v>
      </c>
      <c r="G120">
        <f>SUMIFS(monthly_work_hours!$K:$K,monthly_work_hours!$A:$A,'FTE 계산'!$A120,monthly_work_hours!$F:$F,'FTE 계산'!G$2)</f>
        <v>489.5</v>
      </c>
      <c r="H120">
        <f>(SUMIFS(monthly_work_hours!$G:$G,monthly_work_hours!$A:$A,'FTE 계산'!$A120,monthly_work_hours!$F:$F,'FTE 계산'!H$2)) - (SUMIFS(monthly_work_hours!$J:$J,monthly_work_hours!$A:$A,'FTE 계산'!$A120,monthly_work_hours!$F:$F,'FTE 계산'!H$2))</f>
        <v>21</v>
      </c>
      <c r="I120">
        <f>(SUMIFS(monthly_work_hours!$G:$G,monthly_work_hours!$A:$A,'FTE 계산'!$A120,monthly_work_hours!$F:$F,'FTE 계산'!I$2)) - (SUMIFS(monthly_work_hours!$J:$J,monthly_work_hours!$A:$A,'FTE 계산'!$A120,monthly_work_hours!$F:$F,'FTE 계산'!I$2))</f>
        <v>20</v>
      </c>
      <c r="J120">
        <f>(SUMIFS(monthly_work_hours!$G:$G,monthly_work_hours!$A:$A,'FTE 계산'!$A120,monthly_work_hours!$F:$F,'FTE 계산'!J$2)) - (SUMIFS(monthly_work_hours!$J:$J,monthly_work_hours!$A:$A,'FTE 계산'!$A120,monthly_work_hours!$F:$F,'FTE 계산'!J$2))</f>
        <v>16</v>
      </c>
    </row>
    <row r="121" spans="1:10">
      <c r="A121">
        <v>1217016</v>
      </c>
      <c r="B121" t="str">
        <f>_xlfn.XLOOKUP(A121,monthly_work_hours!A:A,monthly_work_hours!B:B)</f>
        <v>김하나</v>
      </c>
      <c r="C121" t="str">
        <f>_xlfn.XLOOKUP(A121,monthly_work_hours!A:A,monthly_work_hours!C:C)</f>
        <v>열관리사업팀</v>
      </c>
      <c r="D121" t="str">
        <f>_xlfn.XLOOKUP(A121,monthly_work_hours!A:A,monthly_work_hours!D:D)</f>
        <v>선임</v>
      </c>
      <c r="E121">
        <f>SUMIFS(monthly_work_hours!$K:$K,monthly_work_hours!$A:$A,'FTE 계산'!$A121,monthly_work_hours!$F:$F,'FTE 계산'!E$2)</f>
        <v>178.2</v>
      </c>
      <c r="F121">
        <f>SUMIFS(monthly_work_hours!$K:$K,monthly_work_hours!$A:$A,'FTE 계산'!$A121,monthly_work_hours!$F:$F,'FTE 계산'!F$2)</f>
        <v>176.9</v>
      </c>
      <c r="G121">
        <f>SUMIFS(monthly_work_hours!$K:$K,monthly_work_hours!$A:$A,'FTE 계산'!$A121,monthly_work_hours!$F:$F,'FTE 계산'!G$2)</f>
        <v>147</v>
      </c>
      <c r="H121">
        <f>(SUMIFS(monthly_work_hours!$G:$G,monthly_work_hours!$A:$A,'FTE 계산'!$A121,monthly_work_hours!$F:$F,'FTE 계산'!H$2)) - (SUMIFS(monthly_work_hours!$J:$J,monthly_work_hours!$A:$A,'FTE 계산'!$A121,monthly_work_hours!$F:$F,'FTE 계산'!H$2))</f>
        <v>18</v>
      </c>
      <c r="I121">
        <f>(SUMIFS(monthly_work_hours!$G:$G,monthly_work_hours!$A:$A,'FTE 계산'!$A121,monthly_work_hours!$F:$F,'FTE 계산'!I$2)) - (SUMIFS(monthly_work_hours!$J:$J,monthly_work_hours!$A:$A,'FTE 계산'!$A121,monthly_work_hours!$F:$F,'FTE 계산'!I$2))</f>
        <v>18</v>
      </c>
      <c r="J121">
        <f>(SUMIFS(monthly_work_hours!$G:$G,monthly_work_hours!$A:$A,'FTE 계산'!$A121,monthly_work_hours!$F:$F,'FTE 계산'!J$2)) - (SUMIFS(monthly_work_hours!$J:$J,monthly_work_hours!$A:$A,'FTE 계산'!$A121,monthly_work_hours!$F:$F,'FTE 계산'!J$2))</f>
        <v>16</v>
      </c>
    </row>
    <row r="122" spans="1:10">
      <c r="A122">
        <v>1217023</v>
      </c>
      <c r="B122" t="str">
        <f>_xlfn.XLOOKUP(A122,monthly_work_hours!A:A,monthly_work_hours!B:B)</f>
        <v>김장권</v>
      </c>
      <c r="C122" t="str">
        <f>_xlfn.XLOOKUP(A122,monthly_work_hours!A:A,monthly_work_hours!C:C)</f>
        <v>SL설계팀</v>
      </c>
      <c r="D122" t="str">
        <f>_xlfn.XLOOKUP(A122,monthly_work_hours!A:A,monthly_work_hours!D:D)</f>
        <v>선임</v>
      </c>
      <c r="E122">
        <f>SUMIFS(monthly_work_hours!$K:$K,monthly_work_hours!$A:$A,'FTE 계산'!$A122,monthly_work_hours!$F:$F,'FTE 계산'!E$2)</f>
        <v>0</v>
      </c>
      <c r="F122">
        <f>SUMIFS(monthly_work_hours!$K:$K,monthly_work_hours!$A:$A,'FTE 계산'!$A122,monthly_work_hours!$F:$F,'FTE 계산'!F$2)</f>
        <v>34.200000000000003</v>
      </c>
      <c r="G122">
        <f>SUMIFS(monthly_work_hours!$K:$K,monthly_work_hours!$A:$A,'FTE 계산'!$A122,monthly_work_hours!$F:$F,'FTE 계산'!G$2)</f>
        <v>0</v>
      </c>
      <c r="H122">
        <f>(SUMIFS(monthly_work_hours!$G:$G,monthly_work_hours!$A:$A,'FTE 계산'!$A122,monthly_work_hours!$F:$F,'FTE 계산'!H$2)) - (SUMIFS(monthly_work_hours!$J:$J,monthly_work_hours!$A:$A,'FTE 계산'!$A122,monthly_work_hours!$F:$F,'FTE 계산'!H$2))</f>
        <v>0</v>
      </c>
      <c r="I122">
        <f>(SUMIFS(monthly_work_hours!$G:$G,monthly_work_hours!$A:$A,'FTE 계산'!$A122,monthly_work_hours!$F:$F,'FTE 계산'!I$2)) - (SUMIFS(monthly_work_hours!$J:$J,monthly_work_hours!$A:$A,'FTE 계산'!$A122,monthly_work_hours!$F:$F,'FTE 계산'!I$2))</f>
        <v>4</v>
      </c>
      <c r="J122">
        <f>(SUMIFS(monthly_work_hours!$G:$G,monthly_work_hours!$A:$A,'FTE 계산'!$A122,monthly_work_hours!$F:$F,'FTE 계산'!J$2)) - (SUMIFS(monthly_work_hours!$J:$J,monthly_work_hours!$A:$A,'FTE 계산'!$A122,monthly_work_hours!$F:$F,'FTE 계산'!J$2))</f>
        <v>0</v>
      </c>
    </row>
    <row r="123" spans="1:10">
      <c r="A123">
        <v>1217029</v>
      </c>
      <c r="B123" t="str">
        <f>_xlfn.XLOOKUP(A123,monthly_work_hours!A:A,monthly_work_hours!B:B)</f>
        <v>진주현</v>
      </c>
      <c r="C123" t="str">
        <f>_xlfn.XLOOKUP(A123,monthly_work_hours!A:A,monthly_work_hours!C:C)</f>
        <v>SL생산기술팀</v>
      </c>
      <c r="D123" t="str">
        <f>_xlfn.XLOOKUP(A123,monthly_work_hours!A:A,monthly_work_hours!D:D)</f>
        <v>책임</v>
      </c>
      <c r="E123">
        <f>SUMIFS(monthly_work_hours!$K:$K,monthly_work_hours!$A:$A,'FTE 계산'!$A123,monthly_work_hours!$F:$F,'FTE 계산'!E$2)</f>
        <v>164.3</v>
      </c>
      <c r="F123">
        <f>SUMIFS(monthly_work_hours!$K:$K,monthly_work_hours!$A:$A,'FTE 계산'!$A123,monthly_work_hours!$F:$F,'FTE 계산'!F$2)</f>
        <v>173.6</v>
      </c>
      <c r="G123">
        <f>SUMIFS(monthly_work_hours!$K:$K,monthly_work_hours!$A:$A,'FTE 계산'!$A123,monthly_work_hours!$F:$F,'FTE 계산'!G$2)</f>
        <v>129</v>
      </c>
      <c r="H123">
        <f>(SUMIFS(monthly_work_hours!$G:$G,monthly_work_hours!$A:$A,'FTE 계산'!$A123,monthly_work_hours!$F:$F,'FTE 계산'!H$2)) - (SUMIFS(monthly_work_hours!$J:$J,monthly_work_hours!$A:$A,'FTE 계산'!$A123,monthly_work_hours!$F:$F,'FTE 계산'!H$2))</f>
        <v>17</v>
      </c>
      <c r="I123">
        <f>(SUMIFS(monthly_work_hours!$G:$G,monthly_work_hours!$A:$A,'FTE 계산'!$A123,monthly_work_hours!$F:$F,'FTE 계산'!I$2)) - (SUMIFS(monthly_work_hours!$J:$J,monthly_work_hours!$A:$A,'FTE 계산'!$A123,monthly_work_hours!$F:$F,'FTE 계산'!I$2))</f>
        <v>18</v>
      </c>
      <c r="J123">
        <f>(SUMIFS(monthly_work_hours!$G:$G,monthly_work_hours!$A:$A,'FTE 계산'!$A123,monthly_work_hours!$F:$F,'FTE 계산'!J$2)) - (SUMIFS(monthly_work_hours!$J:$J,monthly_work_hours!$A:$A,'FTE 계산'!$A123,monthly_work_hours!$F:$F,'FTE 계산'!J$2))</f>
        <v>14</v>
      </c>
    </row>
    <row r="124" spans="1:10">
      <c r="A124">
        <v>1217043</v>
      </c>
      <c r="B124" t="str">
        <f>_xlfn.XLOOKUP(A124,monthly_work_hours!A:A,monthly_work_hours!B:B)</f>
        <v>최동호</v>
      </c>
      <c r="C124" t="str">
        <f>_xlfn.XLOOKUP(A124,monthly_work_hours!A:A,monthly_work_hours!C:C)</f>
        <v>열관리사업팀</v>
      </c>
      <c r="D124" t="str">
        <f>_xlfn.XLOOKUP(A124,monthly_work_hours!A:A,monthly_work_hours!D:D)</f>
        <v>선임</v>
      </c>
      <c r="E124">
        <f>SUMIFS(monthly_work_hours!$K:$K,monthly_work_hours!$A:$A,'FTE 계산'!$A124,monthly_work_hours!$F:$F,'FTE 계산'!E$2)</f>
        <v>175.1</v>
      </c>
      <c r="F124">
        <f>SUMIFS(monthly_work_hours!$K:$K,monthly_work_hours!$A:$A,'FTE 계산'!$A124,monthly_work_hours!$F:$F,'FTE 계산'!F$2)</f>
        <v>185.1</v>
      </c>
      <c r="G124">
        <f>SUMIFS(monthly_work_hours!$K:$K,monthly_work_hours!$A:$A,'FTE 계산'!$A124,monthly_work_hours!$F:$F,'FTE 계산'!G$2)</f>
        <v>131.5</v>
      </c>
      <c r="H124">
        <f>(SUMIFS(monthly_work_hours!$G:$G,monthly_work_hours!$A:$A,'FTE 계산'!$A124,monthly_work_hours!$F:$F,'FTE 계산'!H$2)) - (SUMIFS(monthly_work_hours!$J:$J,monthly_work_hours!$A:$A,'FTE 계산'!$A124,monthly_work_hours!$F:$F,'FTE 계산'!H$2))</f>
        <v>18</v>
      </c>
      <c r="I124">
        <f>(SUMIFS(monthly_work_hours!$G:$G,monthly_work_hours!$A:$A,'FTE 계산'!$A124,monthly_work_hours!$F:$F,'FTE 계산'!I$2)) - (SUMIFS(monthly_work_hours!$J:$J,monthly_work_hours!$A:$A,'FTE 계산'!$A124,monthly_work_hours!$F:$F,'FTE 계산'!I$2))</f>
        <v>18</v>
      </c>
      <c r="J124">
        <f>(SUMIFS(monthly_work_hours!$G:$G,monthly_work_hours!$A:$A,'FTE 계산'!$A124,monthly_work_hours!$F:$F,'FTE 계산'!J$2)) - (SUMIFS(monthly_work_hours!$J:$J,monthly_work_hours!$A:$A,'FTE 계산'!$A124,monthly_work_hours!$F:$F,'FTE 계산'!J$2))</f>
        <v>15</v>
      </c>
    </row>
    <row r="125" spans="1:10">
      <c r="A125">
        <v>1217067</v>
      </c>
      <c r="B125" t="str">
        <f>_xlfn.XLOOKUP(A125,monthly_work_hours!A:A,monthly_work_hours!B:B)</f>
        <v>서귀옥</v>
      </c>
      <c r="C125" t="str">
        <f>_xlfn.XLOOKUP(A125,monthly_work_hours!A:A,monthly_work_hours!C:C)</f>
        <v>노동조합</v>
      </c>
      <c r="D125" t="str">
        <f>_xlfn.XLOOKUP(A125,monthly_work_hours!A:A,monthly_work_hours!D:D)</f>
        <v>사원</v>
      </c>
      <c r="E125">
        <f>SUMIFS(monthly_work_hours!$K:$K,monthly_work_hours!$A:$A,'FTE 계산'!$A125,monthly_work_hours!$F:$F,'FTE 계산'!E$2)</f>
        <v>137.30000000000001</v>
      </c>
      <c r="F125">
        <f>SUMIFS(monthly_work_hours!$K:$K,monthly_work_hours!$A:$A,'FTE 계산'!$A125,monthly_work_hours!$F:$F,'FTE 계산'!F$2)</f>
        <v>177.8</v>
      </c>
      <c r="G125">
        <f>SUMIFS(monthly_work_hours!$K:$K,monthly_work_hours!$A:$A,'FTE 계산'!$A125,monthly_work_hours!$F:$F,'FTE 계산'!G$2)</f>
        <v>138.1</v>
      </c>
      <c r="H125">
        <f>(SUMIFS(monthly_work_hours!$G:$G,monthly_work_hours!$A:$A,'FTE 계산'!$A125,monthly_work_hours!$F:$F,'FTE 계산'!H$2)) - (SUMIFS(monthly_work_hours!$J:$J,monthly_work_hours!$A:$A,'FTE 계산'!$A125,monthly_work_hours!$F:$F,'FTE 계산'!H$2))</f>
        <v>16</v>
      </c>
      <c r="I125">
        <f>(SUMIFS(monthly_work_hours!$G:$G,monthly_work_hours!$A:$A,'FTE 계산'!$A125,monthly_work_hours!$F:$F,'FTE 계산'!I$2)) - (SUMIFS(monthly_work_hours!$J:$J,monthly_work_hours!$A:$A,'FTE 계산'!$A125,monthly_work_hours!$F:$F,'FTE 계산'!I$2))</f>
        <v>19</v>
      </c>
      <c r="J125">
        <f>(SUMIFS(monthly_work_hours!$G:$G,monthly_work_hours!$A:$A,'FTE 계산'!$A125,monthly_work_hours!$F:$F,'FTE 계산'!J$2)) - (SUMIFS(monthly_work_hours!$J:$J,monthly_work_hours!$A:$A,'FTE 계산'!$A125,monthly_work_hours!$F:$F,'FTE 계산'!J$2))</f>
        <v>16</v>
      </c>
    </row>
    <row r="126" spans="1:10">
      <c r="A126">
        <v>1217068</v>
      </c>
      <c r="B126" t="str">
        <f>_xlfn.XLOOKUP(A126,monthly_work_hours!A:A,monthly_work_hours!B:B)</f>
        <v>김규진</v>
      </c>
      <c r="C126" t="str">
        <f>_xlfn.XLOOKUP(A126,monthly_work_hours!A:A,monthly_work_hours!C:C)</f>
        <v>SL설계팀</v>
      </c>
      <c r="D126" t="str">
        <f>_xlfn.XLOOKUP(A126,monthly_work_hours!A:A,monthly_work_hours!D:D)</f>
        <v>선임</v>
      </c>
      <c r="E126">
        <f>SUMIFS(monthly_work_hours!$K:$K,monthly_work_hours!$A:$A,'FTE 계산'!$A126,monthly_work_hours!$F:$F,'FTE 계산'!E$2)</f>
        <v>475.1</v>
      </c>
      <c r="F126">
        <f>SUMIFS(monthly_work_hours!$K:$K,monthly_work_hours!$A:$A,'FTE 계산'!$A126,monthly_work_hours!$F:$F,'FTE 계산'!F$2)</f>
        <v>330</v>
      </c>
      <c r="G126">
        <f>SUMIFS(monthly_work_hours!$K:$K,monthly_work_hours!$A:$A,'FTE 계산'!$A126,monthly_work_hours!$F:$F,'FTE 계산'!G$2)</f>
        <v>198.6</v>
      </c>
      <c r="H126">
        <f>(SUMIFS(monthly_work_hours!$G:$G,monthly_work_hours!$A:$A,'FTE 계산'!$A126,monthly_work_hours!$F:$F,'FTE 계산'!H$2)) - (SUMIFS(monthly_work_hours!$J:$J,monthly_work_hours!$A:$A,'FTE 계산'!$A126,monthly_work_hours!$F:$F,'FTE 계산'!H$2))</f>
        <v>21</v>
      </c>
      <c r="I126">
        <f>(SUMIFS(monthly_work_hours!$G:$G,monthly_work_hours!$A:$A,'FTE 계산'!$A126,monthly_work_hours!$F:$F,'FTE 계산'!I$2)) - (SUMIFS(monthly_work_hours!$J:$J,monthly_work_hours!$A:$A,'FTE 계산'!$A126,monthly_work_hours!$F:$F,'FTE 계산'!I$2))</f>
        <v>19</v>
      </c>
      <c r="J126">
        <f>(SUMIFS(monthly_work_hours!$G:$G,monthly_work_hours!$A:$A,'FTE 계산'!$A126,monthly_work_hours!$F:$F,'FTE 계산'!J$2)) - (SUMIFS(monthly_work_hours!$J:$J,monthly_work_hours!$A:$A,'FTE 계산'!$A126,monthly_work_hours!$F:$F,'FTE 계산'!J$2))</f>
        <v>17</v>
      </c>
    </row>
    <row r="127" spans="1:10">
      <c r="A127">
        <v>1218006</v>
      </c>
      <c r="B127" t="str">
        <f>_xlfn.XLOOKUP(A127,monthly_work_hours!A:A,monthly_work_hours!B:B)</f>
        <v>배준호</v>
      </c>
      <c r="C127" t="str">
        <f>_xlfn.XLOOKUP(A127,monthly_work_hours!A:A,monthly_work_hours!C:C)</f>
        <v>SL설계팀</v>
      </c>
      <c r="D127" t="str">
        <f>_xlfn.XLOOKUP(A127,monthly_work_hours!A:A,monthly_work_hours!D:D)</f>
        <v>선임</v>
      </c>
      <c r="E127">
        <f>SUMIFS(monthly_work_hours!$K:$K,monthly_work_hours!$A:$A,'FTE 계산'!$A127,monthly_work_hours!$F:$F,'FTE 계산'!E$2)</f>
        <v>49.3</v>
      </c>
      <c r="F127">
        <f>SUMIFS(monthly_work_hours!$K:$K,monthly_work_hours!$A:$A,'FTE 계산'!$A127,monthly_work_hours!$F:$F,'FTE 계산'!F$2)</f>
        <v>109.4</v>
      </c>
      <c r="G127">
        <f>SUMIFS(monthly_work_hours!$K:$K,monthly_work_hours!$A:$A,'FTE 계산'!$A127,monthly_work_hours!$F:$F,'FTE 계산'!G$2)</f>
        <v>78.599999999999994</v>
      </c>
      <c r="H127">
        <f>(SUMIFS(monthly_work_hours!$G:$G,monthly_work_hours!$A:$A,'FTE 계산'!$A127,monthly_work_hours!$F:$F,'FTE 계산'!H$2)) - (SUMIFS(monthly_work_hours!$J:$J,monthly_work_hours!$A:$A,'FTE 계산'!$A127,monthly_work_hours!$F:$F,'FTE 계산'!H$2))</f>
        <v>7</v>
      </c>
      <c r="I127">
        <f>(SUMIFS(monthly_work_hours!$G:$G,monthly_work_hours!$A:$A,'FTE 계산'!$A127,monthly_work_hours!$F:$F,'FTE 계산'!I$2)) - (SUMIFS(monthly_work_hours!$J:$J,monthly_work_hours!$A:$A,'FTE 계산'!$A127,monthly_work_hours!$F:$F,'FTE 계산'!I$2))</f>
        <v>12</v>
      </c>
      <c r="J127">
        <f>(SUMIFS(monthly_work_hours!$G:$G,monthly_work_hours!$A:$A,'FTE 계산'!$A127,monthly_work_hours!$F:$F,'FTE 계산'!J$2)) - (SUMIFS(monthly_work_hours!$J:$J,monthly_work_hours!$A:$A,'FTE 계산'!$A127,monthly_work_hours!$F:$F,'FTE 계산'!J$2))</f>
        <v>11</v>
      </c>
    </row>
    <row r="128" spans="1:10">
      <c r="A128">
        <v>1218008</v>
      </c>
      <c r="B128" t="str">
        <f>_xlfn.XLOOKUP(A128,monthly_work_hours!A:A,monthly_work_hours!B:B)</f>
        <v>신중현</v>
      </c>
      <c r="C128" t="str">
        <f>_xlfn.XLOOKUP(A128,monthly_work_hours!A:A,monthly_work_hours!C:C)</f>
        <v>Brake설계팀</v>
      </c>
      <c r="D128" t="str">
        <f>_xlfn.XLOOKUP(A128,monthly_work_hours!A:A,monthly_work_hours!D:D)</f>
        <v>책임</v>
      </c>
      <c r="E128">
        <f>SUMIFS(monthly_work_hours!$K:$K,monthly_work_hours!$A:$A,'FTE 계산'!$A128,monthly_work_hours!$F:$F,'FTE 계산'!E$2)</f>
        <v>140.4</v>
      </c>
      <c r="F128">
        <f>SUMIFS(monthly_work_hours!$K:$K,monthly_work_hours!$A:$A,'FTE 계산'!$A128,monthly_work_hours!$F:$F,'FTE 계산'!F$2)</f>
        <v>148.6</v>
      </c>
      <c r="G128">
        <f>SUMIFS(monthly_work_hours!$K:$K,monthly_work_hours!$A:$A,'FTE 계산'!$A128,monthly_work_hours!$F:$F,'FTE 계산'!G$2)</f>
        <v>134.19999999999999</v>
      </c>
      <c r="H128">
        <f>(SUMIFS(monthly_work_hours!$G:$G,monthly_work_hours!$A:$A,'FTE 계산'!$A128,monthly_work_hours!$F:$F,'FTE 계산'!H$2)) - (SUMIFS(monthly_work_hours!$J:$J,monthly_work_hours!$A:$A,'FTE 계산'!$A128,monthly_work_hours!$F:$F,'FTE 계산'!H$2))</f>
        <v>17</v>
      </c>
      <c r="I128">
        <f>(SUMIFS(monthly_work_hours!$G:$G,monthly_work_hours!$A:$A,'FTE 계산'!$A128,monthly_work_hours!$F:$F,'FTE 계산'!I$2)) - (SUMIFS(monthly_work_hours!$J:$J,monthly_work_hours!$A:$A,'FTE 계산'!$A128,monthly_work_hours!$F:$F,'FTE 계산'!I$2))</f>
        <v>16</v>
      </c>
      <c r="J128">
        <f>(SUMIFS(monthly_work_hours!$G:$G,monthly_work_hours!$A:$A,'FTE 계산'!$A128,monthly_work_hours!$F:$F,'FTE 계산'!J$2)) - (SUMIFS(monthly_work_hours!$J:$J,monthly_work_hours!$A:$A,'FTE 계산'!$A128,monthly_work_hours!$F:$F,'FTE 계산'!J$2))</f>
        <v>16</v>
      </c>
    </row>
    <row r="129" spans="1:10">
      <c r="A129">
        <v>1219011</v>
      </c>
      <c r="B129" t="str">
        <f>_xlfn.XLOOKUP(A129,monthly_work_hours!A:A,monthly_work_hours!B:B)</f>
        <v>김성우</v>
      </c>
      <c r="C129" t="str">
        <f>_xlfn.XLOOKUP(A129,monthly_work_hours!A:A,monthly_work_hours!C:C)</f>
        <v>재무팀</v>
      </c>
      <c r="D129" t="str">
        <f>_xlfn.XLOOKUP(A129,monthly_work_hours!A:A,monthly_work_hours!D:D)</f>
        <v>선임</v>
      </c>
      <c r="E129">
        <f>SUMIFS(monthly_work_hours!$K:$K,monthly_work_hours!$A:$A,'FTE 계산'!$A129,monthly_work_hours!$F:$F,'FTE 계산'!E$2)</f>
        <v>179.4</v>
      </c>
      <c r="F129">
        <f>SUMIFS(monthly_work_hours!$K:$K,monthly_work_hours!$A:$A,'FTE 계산'!$A129,monthly_work_hours!$F:$F,'FTE 계산'!F$2)</f>
        <v>240.7</v>
      </c>
      <c r="G129">
        <f>SUMIFS(monthly_work_hours!$K:$K,monthly_work_hours!$A:$A,'FTE 계산'!$A129,monthly_work_hours!$F:$F,'FTE 계산'!G$2)</f>
        <v>136.80000000000001</v>
      </c>
      <c r="H129">
        <f>(SUMIFS(monthly_work_hours!$G:$G,monthly_work_hours!$A:$A,'FTE 계산'!$A129,monthly_work_hours!$F:$F,'FTE 계산'!H$2)) - (SUMIFS(monthly_work_hours!$J:$J,monthly_work_hours!$A:$A,'FTE 계산'!$A129,monthly_work_hours!$F:$F,'FTE 계산'!H$2))</f>
        <v>18</v>
      </c>
      <c r="I129">
        <f>(SUMIFS(monthly_work_hours!$G:$G,monthly_work_hours!$A:$A,'FTE 계산'!$A129,monthly_work_hours!$F:$F,'FTE 계산'!I$2)) - (SUMIFS(monthly_work_hours!$J:$J,monthly_work_hours!$A:$A,'FTE 계산'!$A129,monthly_work_hours!$F:$F,'FTE 계산'!I$2))</f>
        <v>23</v>
      </c>
      <c r="J129">
        <f>(SUMIFS(monthly_work_hours!$G:$G,monthly_work_hours!$A:$A,'FTE 계산'!$A129,monthly_work_hours!$F:$F,'FTE 계산'!J$2)) - (SUMIFS(monthly_work_hours!$J:$J,monthly_work_hours!$A:$A,'FTE 계산'!$A129,monthly_work_hours!$F:$F,'FTE 계산'!J$2))</f>
        <v>16</v>
      </c>
    </row>
    <row r="130" spans="1:10">
      <c r="A130">
        <v>1219013</v>
      </c>
      <c r="B130" t="str">
        <f>_xlfn.XLOOKUP(A130,monthly_work_hours!A:A,monthly_work_hours!B:B)</f>
        <v>박재문</v>
      </c>
      <c r="C130" t="str">
        <f>_xlfn.XLOOKUP(A130,monthly_work_hours!A:A,monthly_work_hours!C:C)</f>
        <v>FL개발팀</v>
      </c>
      <c r="D130" t="str">
        <f>_xlfn.XLOOKUP(A130,monthly_work_hours!A:A,monthly_work_hours!D:D)</f>
        <v>선임</v>
      </c>
      <c r="E130">
        <f>SUMIFS(monthly_work_hours!$K:$K,monthly_work_hours!$A:$A,'FTE 계산'!$A130,monthly_work_hours!$F:$F,'FTE 계산'!E$2)</f>
        <v>160.80000000000001</v>
      </c>
      <c r="F130">
        <f>SUMIFS(monthly_work_hours!$K:$K,monthly_work_hours!$A:$A,'FTE 계산'!$A130,monthly_work_hours!$F:$F,'FTE 계산'!F$2)</f>
        <v>152</v>
      </c>
      <c r="G130">
        <f>SUMIFS(monthly_work_hours!$K:$K,monthly_work_hours!$A:$A,'FTE 계산'!$A130,monthly_work_hours!$F:$F,'FTE 계산'!G$2)</f>
        <v>111.4</v>
      </c>
      <c r="H130">
        <f>(SUMIFS(monthly_work_hours!$G:$G,monthly_work_hours!$A:$A,'FTE 계산'!$A130,monthly_work_hours!$F:$F,'FTE 계산'!H$2)) - (SUMIFS(monthly_work_hours!$J:$J,monthly_work_hours!$A:$A,'FTE 계산'!$A130,monthly_work_hours!$F:$F,'FTE 계산'!H$2))</f>
        <v>19</v>
      </c>
      <c r="I130">
        <f>(SUMIFS(monthly_work_hours!$G:$G,monthly_work_hours!$A:$A,'FTE 계산'!$A130,monthly_work_hours!$F:$F,'FTE 계산'!I$2)) - (SUMIFS(monthly_work_hours!$J:$J,monthly_work_hours!$A:$A,'FTE 계산'!$A130,monthly_work_hours!$F:$F,'FTE 계산'!I$2))</f>
        <v>16</v>
      </c>
      <c r="J130">
        <f>(SUMIFS(monthly_work_hours!$G:$G,monthly_work_hours!$A:$A,'FTE 계산'!$A130,monthly_work_hours!$F:$F,'FTE 계산'!J$2)) - (SUMIFS(monthly_work_hours!$J:$J,monthly_work_hours!$A:$A,'FTE 계산'!$A130,monthly_work_hours!$F:$F,'FTE 계산'!J$2))</f>
        <v>15</v>
      </c>
    </row>
    <row r="131" spans="1:10">
      <c r="A131">
        <v>1219014</v>
      </c>
      <c r="B131" t="str">
        <f>_xlfn.XLOOKUP(A131,monthly_work_hours!A:A,monthly_work_hours!B:B)</f>
        <v>이진경</v>
      </c>
      <c r="C131" t="str">
        <f>_xlfn.XLOOKUP(A131,monthly_work_hours!A:A,monthly_work_hours!C:C)</f>
        <v>FL개발팀</v>
      </c>
      <c r="D131" t="str">
        <f>_xlfn.XLOOKUP(A131,monthly_work_hours!A:A,monthly_work_hours!D:D)</f>
        <v>선임</v>
      </c>
      <c r="E131">
        <f>SUMIFS(monthly_work_hours!$K:$K,monthly_work_hours!$A:$A,'FTE 계산'!$A131,monthly_work_hours!$F:$F,'FTE 계산'!E$2)</f>
        <v>156.80000000000001</v>
      </c>
      <c r="F131">
        <f>SUMIFS(monthly_work_hours!$K:$K,monthly_work_hours!$A:$A,'FTE 계산'!$A131,monthly_work_hours!$F:$F,'FTE 계산'!F$2)</f>
        <v>176.9</v>
      </c>
      <c r="G131">
        <f>SUMIFS(monthly_work_hours!$K:$K,monthly_work_hours!$A:$A,'FTE 계산'!$A131,monthly_work_hours!$F:$F,'FTE 계산'!G$2)</f>
        <v>135.30000000000001</v>
      </c>
      <c r="H131">
        <f>(SUMIFS(monthly_work_hours!$G:$G,monthly_work_hours!$A:$A,'FTE 계산'!$A131,monthly_work_hours!$F:$F,'FTE 계산'!H$2)) - (SUMIFS(monthly_work_hours!$J:$J,monthly_work_hours!$A:$A,'FTE 계산'!$A131,monthly_work_hours!$F:$F,'FTE 계산'!H$2))</f>
        <v>18</v>
      </c>
      <c r="I131">
        <f>(SUMIFS(monthly_work_hours!$G:$G,monthly_work_hours!$A:$A,'FTE 계산'!$A131,monthly_work_hours!$F:$F,'FTE 계산'!I$2)) - (SUMIFS(monthly_work_hours!$J:$J,monthly_work_hours!$A:$A,'FTE 계산'!$A131,monthly_work_hours!$F:$F,'FTE 계산'!I$2))</f>
        <v>18</v>
      </c>
      <c r="J131">
        <f>(SUMIFS(monthly_work_hours!$G:$G,monthly_work_hours!$A:$A,'FTE 계산'!$A131,monthly_work_hours!$F:$F,'FTE 계산'!J$2)) - (SUMIFS(monthly_work_hours!$J:$J,monthly_work_hours!$A:$A,'FTE 계산'!$A131,monthly_work_hours!$F:$F,'FTE 계산'!J$2))</f>
        <v>16</v>
      </c>
    </row>
    <row r="132" spans="1:10">
      <c r="A132">
        <v>1219016</v>
      </c>
      <c r="B132" t="str">
        <f>_xlfn.XLOOKUP(A132,monthly_work_hours!A:A,monthly_work_hours!B:B)</f>
        <v>이한솔</v>
      </c>
      <c r="C132" t="str">
        <f>_xlfn.XLOOKUP(A132,monthly_work_hours!A:A,monthly_work_hours!C:C)</f>
        <v>기획팀</v>
      </c>
      <c r="D132" t="str">
        <f>_xlfn.XLOOKUP(A132,monthly_work_hours!A:A,monthly_work_hours!D:D)</f>
        <v>선임</v>
      </c>
      <c r="E132">
        <f>SUMIFS(monthly_work_hours!$K:$K,monthly_work_hours!$A:$A,'FTE 계산'!$A132,monthly_work_hours!$F:$F,'FTE 계산'!E$2)</f>
        <v>191.1</v>
      </c>
      <c r="F132">
        <f>SUMIFS(monthly_work_hours!$K:$K,monthly_work_hours!$A:$A,'FTE 계산'!$A132,monthly_work_hours!$F:$F,'FTE 계산'!F$2)</f>
        <v>188.7</v>
      </c>
      <c r="G132">
        <f>SUMIFS(monthly_work_hours!$K:$K,monthly_work_hours!$A:$A,'FTE 계산'!$A132,monthly_work_hours!$F:$F,'FTE 계산'!G$2)</f>
        <v>147.4</v>
      </c>
      <c r="H132">
        <f>(SUMIFS(monthly_work_hours!$G:$G,monthly_work_hours!$A:$A,'FTE 계산'!$A132,monthly_work_hours!$F:$F,'FTE 계산'!H$2)) - (SUMIFS(monthly_work_hours!$J:$J,monthly_work_hours!$A:$A,'FTE 계산'!$A132,monthly_work_hours!$F:$F,'FTE 계산'!H$2))</f>
        <v>19</v>
      </c>
      <c r="I132">
        <f>(SUMIFS(monthly_work_hours!$G:$G,monthly_work_hours!$A:$A,'FTE 계산'!$A132,monthly_work_hours!$F:$F,'FTE 계산'!I$2)) - (SUMIFS(monthly_work_hours!$J:$J,monthly_work_hours!$A:$A,'FTE 계산'!$A132,monthly_work_hours!$F:$F,'FTE 계산'!I$2))</f>
        <v>18</v>
      </c>
      <c r="J132">
        <f>(SUMIFS(monthly_work_hours!$G:$G,monthly_work_hours!$A:$A,'FTE 계산'!$A132,monthly_work_hours!$F:$F,'FTE 계산'!J$2)) - (SUMIFS(monthly_work_hours!$J:$J,monthly_work_hours!$A:$A,'FTE 계산'!$A132,monthly_work_hours!$F:$F,'FTE 계산'!J$2))</f>
        <v>15</v>
      </c>
    </row>
    <row r="133" spans="1:10">
      <c r="A133">
        <v>1220016</v>
      </c>
      <c r="B133" t="str">
        <f>_xlfn.XLOOKUP(A133,monthly_work_hours!A:A,monthly_work_hours!B:B)</f>
        <v>이승보</v>
      </c>
      <c r="C133" t="str">
        <f>_xlfn.XLOOKUP(A133,monthly_work_hours!A:A,monthly_work_hours!C:C)</f>
        <v>재무팀</v>
      </c>
      <c r="D133" t="str">
        <f>_xlfn.XLOOKUP(A133,monthly_work_hours!A:A,monthly_work_hours!D:D)</f>
        <v>책임</v>
      </c>
      <c r="E133">
        <f>SUMIFS(monthly_work_hours!$K:$K,monthly_work_hours!$A:$A,'FTE 계산'!$A133,monthly_work_hours!$F:$F,'FTE 계산'!E$2)</f>
        <v>228.3</v>
      </c>
      <c r="F133">
        <f>SUMIFS(monthly_work_hours!$K:$K,monthly_work_hours!$A:$A,'FTE 계산'!$A133,monthly_work_hours!$F:$F,'FTE 계산'!F$2)</f>
        <v>236.8</v>
      </c>
      <c r="G133">
        <f>SUMIFS(monthly_work_hours!$K:$K,monthly_work_hours!$A:$A,'FTE 계산'!$A133,monthly_work_hours!$F:$F,'FTE 계산'!G$2)</f>
        <v>181.1</v>
      </c>
      <c r="H133">
        <f>(SUMIFS(monthly_work_hours!$G:$G,monthly_work_hours!$A:$A,'FTE 계산'!$A133,monthly_work_hours!$F:$F,'FTE 계산'!H$2)) - (SUMIFS(monthly_work_hours!$J:$J,monthly_work_hours!$A:$A,'FTE 계산'!$A133,monthly_work_hours!$F:$F,'FTE 계산'!H$2))</f>
        <v>19</v>
      </c>
      <c r="I133">
        <f>(SUMIFS(monthly_work_hours!$G:$G,monthly_work_hours!$A:$A,'FTE 계산'!$A133,monthly_work_hours!$F:$F,'FTE 계산'!I$2)) - (SUMIFS(monthly_work_hours!$J:$J,monthly_work_hours!$A:$A,'FTE 계산'!$A133,monthly_work_hours!$F:$F,'FTE 계산'!I$2))</f>
        <v>23</v>
      </c>
      <c r="J133">
        <f>(SUMIFS(monthly_work_hours!$G:$G,monthly_work_hours!$A:$A,'FTE 계산'!$A133,monthly_work_hours!$F:$F,'FTE 계산'!J$2)) - (SUMIFS(monthly_work_hours!$J:$J,monthly_work_hours!$A:$A,'FTE 계산'!$A133,monthly_work_hours!$F:$F,'FTE 계산'!J$2))</f>
        <v>17</v>
      </c>
    </row>
    <row r="134" spans="1:10">
      <c r="A134">
        <v>1221026</v>
      </c>
      <c r="B134" t="str">
        <f>_xlfn.XLOOKUP(A134,monthly_work_hours!A:A,monthly_work_hours!B:B)</f>
        <v>정기연</v>
      </c>
      <c r="C134" t="str">
        <f>_xlfn.XLOOKUP(A134,monthly_work_hours!A:A,monthly_work_hours!C:C)</f>
        <v>설비기획팀</v>
      </c>
      <c r="D134" t="str">
        <f>_xlfn.XLOOKUP(A134,monthly_work_hours!A:A,monthly_work_hours!D:D)</f>
        <v>사원</v>
      </c>
      <c r="E134">
        <f>SUMIFS(monthly_work_hours!$K:$K,monthly_work_hours!$A:$A,'FTE 계산'!$A134,monthly_work_hours!$F:$F,'FTE 계산'!E$2)</f>
        <v>161.80000000000001</v>
      </c>
      <c r="F134">
        <f>SUMIFS(monthly_work_hours!$K:$K,monthly_work_hours!$A:$A,'FTE 계산'!$A134,monthly_work_hours!$F:$F,'FTE 계산'!F$2)</f>
        <v>176.6</v>
      </c>
      <c r="G134">
        <f>SUMIFS(monthly_work_hours!$K:$K,monthly_work_hours!$A:$A,'FTE 계산'!$A134,monthly_work_hours!$F:$F,'FTE 계산'!G$2)</f>
        <v>145.9</v>
      </c>
      <c r="H134">
        <f>(SUMIFS(monthly_work_hours!$G:$G,monthly_work_hours!$A:$A,'FTE 계산'!$A134,monthly_work_hours!$F:$F,'FTE 계산'!H$2)) - (SUMIFS(monthly_work_hours!$J:$J,monthly_work_hours!$A:$A,'FTE 계산'!$A134,monthly_work_hours!$F:$F,'FTE 계산'!H$2))</f>
        <v>17</v>
      </c>
      <c r="I134">
        <f>(SUMIFS(monthly_work_hours!$G:$G,monthly_work_hours!$A:$A,'FTE 계산'!$A134,monthly_work_hours!$F:$F,'FTE 계산'!I$2)) - (SUMIFS(monthly_work_hours!$J:$J,monthly_work_hours!$A:$A,'FTE 계산'!$A134,monthly_work_hours!$F:$F,'FTE 계산'!I$2))</f>
        <v>19</v>
      </c>
      <c r="J134">
        <f>(SUMIFS(monthly_work_hours!$G:$G,monthly_work_hours!$A:$A,'FTE 계산'!$A134,monthly_work_hours!$F:$F,'FTE 계산'!J$2)) - (SUMIFS(monthly_work_hours!$J:$J,monthly_work_hours!$A:$A,'FTE 계산'!$A134,monthly_work_hours!$F:$F,'FTE 계산'!J$2))</f>
        <v>16</v>
      </c>
    </row>
    <row r="135" spans="1:10">
      <c r="A135">
        <v>1221034</v>
      </c>
      <c r="B135" t="str">
        <f>_xlfn.XLOOKUP(A135,monthly_work_hours!A:A,monthly_work_hours!B:B)</f>
        <v>배성한</v>
      </c>
      <c r="C135" t="str">
        <f>_xlfn.XLOOKUP(A135,monthly_work_hours!A:A,monthly_work_hours!C:C)</f>
        <v>SL품질보증팀</v>
      </c>
      <c r="D135" t="str">
        <f>_xlfn.XLOOKUP(A135,monthly_work_hours!A:A,monthly_work_hours!D:D)</f>
        <v>선임</v>
      </c>
      <c r="E135">
        <f>SUMIFS(monthly_work_hours!$K:$K,monthly_work_hours!$A:$A,'FTE 계산'!$A135,monthly_work_hours!$F:$F,'FTE 계산'!E$2)</f>
        <v>158.4</v>
      </c>
      <c r="F135">
        <f>SUMIFS(monthly_work_hours!$K:$K,monthly_work_hours!$A:$A,'FTE 계산'!$A135,monthly_work_hours!$F:$F,'FTE 계산'!F$2)</f>
        <v>151.30000000000001</v>
      </c>
      <c r="G135">
        <f>SUMIFS(monthly_work_hours!$K:$K,monthly_work_hours!$A:$A,'FTE 계산'!$A135,monthly_work_hours!$F:$F,'FTE 계산'!G$2)</f>
        <v>124.1</v>
      </c>
      <c r="H135">
        <f>(SUMIFS(monthly_work_hours!$G:$G,monthly_work_hours!$A:$A,'FTE 계산'!$A135,monthly_work_hours!$F:$F,'FTE 계산'!H$2)) - (SUMIFS(monthly_work_hours!$J:$J,monthly_work_hours!$A:$A,'FTE 계산'!$A135,monthly_work_hours!$F:$F,'FTE 계산'!H$2))</f>
        <v>17</v>
      </c>
      <c r="I135">
        <f>(SUMIFS(monthly_work_hours!$G:$G,monthly_work_hours!$A:$A,'FTE 계산'!$A135,monthly_work_hours!$F:$F,'FTE 계산'!I$2)) - (SUMIFS(monthly_work_hours!$J:$J,monthly_work_hours!$A:$A,'FTE 계산'!$A135,monthly_work_hours!$F:$F,'FTE 계산'!I$2))</f>
        <v>16</v>
      </c>
      <c r="J135">
        <f>(SUMIFS(monthly_work_hours!$G:$G,monthly_work_hours!$A:$A,'FTE 계산'!$A135,monthly_work_hours!$F:$F,'FTE 계산'!J$2)) - (SUMIFS(monthly_work_hours!$J:$J,monthly_work_hours!$A:$A,'FTE 계산'!$A135,monthly_work_hours!$F:$F,'FTE 계산'!J$2))</f>
        <v>14</v>
      </c>
    </row>
    <row r="136" spans="1:10">
      <c r="A136">
        <v>1221050</v>
      </c>
      <c r="B136" t="str">
        <f>_xlfn.XLOOKUP(A136,monthly_work_hours!A:A,monthly_work_hours!B:B)</f>
        <v>김현철</v>
      </c>
      <c r="C136" t="str">
        <f>_xlfn.XLOOKUP(A136,monthly_work_hours!A:A,monthly_work_hours!C:C)</f>
        <v>FL생산기술팀</v>
      </c>
      <c r="D136" t="str">
        <f>_xlfn.XLOOKUP(A136,monthly_work_hours!A:A,monthly_work_hours!D:D)</f>
        <v>선임</v>
      </c>
      <c r="E136">
        <f>SUMIFS(monthly_work_hours!$K:$K,monthly_work_hours!$A:$A,'FTE 계산'!$A136,monthly_work_hours!$F:$F,'FTE 계산'!E$2)</f>
        <v>118.9</v>
      </c>
      <c r="F136">
        <f>SUMIFS(monthly_work_hours!$K:$K,monthly_work_hours!$A:$A,'FTE 계산'!$A136,monthly_work_hours!$F:$F,'FTE 계산'!F$2)</f>
        <v>174.3</v>
      </c>
      <c r="G136">
        <f>SUMIFS(monthly_work_hours!$K:$K,monthly_work_hours!$A:$A,'FTE 계산'!$A136,monthly_work_hours!$F:$F,'FTE 계산'!G$2)</f>
        <v>153.6</v>
      </c>
      <c r="H136">
        <f>(SUMIFS(monthly_work_hours!$G:$G,monthly_work_hours!$A:$A,'FTE 계산'!$A136,monthly_work_hours!$F:$F,'FTE 계산'!H$2)) - (SUMIFS(monthly_work_hours!$J:$J,monthly_work_hours!$A:$A,'FTE 계산'!$A136,monthly_work_hours!$F:$F,'FTE 계산'!H$2))</f>
        <v>13</v>
      </c>
      <c r="I136">
        <f>(SUMIFS(monthly_work_hours!$G:$G,monthly_work_hours!$A:$A,'FTE 계산'!$A136,monthly_work_hours!$F:$F,'FTE 계산'!I$2)) - (SUMIFS(monthly_work_hours!$J:$J,monthly_work_hours!$A:$A,'FTE 계산'!$A136,monthly_work_hours!$F:$F,'FTE 계산'!I$2))</f>
        <v>13</v>
      </c>
      <c r="J136">
        <f>(SUMIFS(monthly_work_hours!$G:$G,monthly_work_hours!$A:$A,'FTE 계산'!$A136,monthly_work_hours!$F:$F,'FTE 계산'!J$2)) - (SUMIFS(monthly_work_hours!$J:$J,monthly_work_hours!$A:$A,'FTE 계산'!$A136,monthly_work_hours!$F:$F,'FTE 계산'!J$2))</f>
        <v>15</v>
      </c>
    </row>
    <row r="137" spans="1:10">
      <c r="A137">
        <v>1222008</v>
      </c>
      <c r="B137" t="str">
        <f>_xlfn.XLOOKUP(A137,monthly_work_hours!A:A,monthly_work_hours!B:B)</f>
        <v>서준만</v>
      </c>
      <c r="C137" t="str">
        <f>_xlfn.XLOOKUP(A137,monthly_work_hours!A:A,monthly_work_hours!C:C)</f>
        <v>설비기획팀</v>
      </c>
      <c r="D137" t="str">
        <f>_xlfn.XLOOKUP(A137,monthly_work_hours!A:A,monthly_work_hours!D:D)</f>
        <v>책임</v>
      </c>
      <c r="E137">
        <f>SUMIFS(monthly_work_hours!$K:$K,monthly_work_hours!$A:$A,'FTE 계산'!$A137,monthly_work_hours!$F:$F,'FTE 계산'!E$2)</f>
        <v>135.69999999999999</v>
      </c>
      <c r="F137">
        <f>SUMIFS(monthly_work_hours!$K:$K,monthly_work_hours!$A:$A,'FTE 계산'!$A137,monthly_work_hours!$F:$F,'FTE 계산'!F$2)</f>
        <v>183</v>
      </c>
      <c r="G137">
        <f>SUMIFS(monthly_work_hours!$K:$K,monthly_work_hours!$A:$A,'FTE 계산'!$A137,monthly_work_hours!$F:$F,'FTE 계산'!G$2)</f>
        <v>130</v>
      </c>
      <c r="H137">
        <f>(SUMIFS(monthly_work_hours!$G:$G,monthly_work_hours!$A:$A,'FTE 계산'!$A137,monthly_work_hours!$F:$F,'FTE 계산'!H$2)) - (SUMIFS(monthly_work_hours!$J:$J,monthly_work_hours!$A:$A,'FTE 계산'!$A137,monthly_work_hours!$F:$F,'FTE 계산'!H$2))</f>
        <v>14</v>
      </c>
      <c r="I137">
        <f>(SUMIFS(monthly_work_hours!$G:$G,monthly_work_hours!$A:$A,'FTE 계산'!$A137,monthly_work_hours!$F:$F,'FTE 계산'!I$2)) - (SUMIFS(monthly_work_hours!$J:$J,monthly_work_hours!$A:$A,'FTE 계산'!$A137,monthly_work_hours!$F:$F,'FTE 계산'!I$2))</f>
        <v>19</v>
      </c>
      <c r="J137">
        <f>(SUMIFS(monthly_work_hours!$G:$G,monthly_work_hours!$A:$A,'FTE 계산'!$A137,monthly_work_hours!$F:$F,'FTE 계산'!J$2)) - (SUMIFS(monthly_work_hours!$J:$J,monthly_work_hours!$A:$A,'FTE 계산'!$A137,monthly_work_hours!$F:$F,'FTE 계산'!J$2))</f>
        <v>14</v>
      </c>
    </row>
    <row r="138" spans="1:10">
      <c r="A138">
        <v>1222011</v>
      </c>
      <c r="B138" t="str">
        <f>_xlfn.XLOOKUP(A138,monthly_work_hours!A:A,monthly_work_hours!B:B)</f>
        <v>김준영</v>
      </c>
      <c r="C138" t="str">
        <f>_xlfn.XLOOKUP(A138,monthly_work_hours!A:A,monthly_work_hours!C:C)</f>
        <v>안전보안팀</v>
      </c>
      <c r="D138" t="str">
        <f>_xlfn.XLOOKUP(A138,monthly_work_hours!A:A,monthly_work_hours!D:D)</f>
        <v>선임</v>
      </c>
      <c r="E138">
        <f>SUMIFS(monthly_work_hours!$K:$K,monthly_work_hours!$A:$A,'FTE 계산'!$A138,monthly_work_hours!$F:$F,'FTE 계산'!E$2)</f>
        <v>298.89999999999998</v>
      </c>
      <c r="F138">
        <f>SUMIFS(monthly_work_hours!$K:$K,monthly_work_hours!$A:$A,'FTE 계산'!$A138,monthly_work_hours!$F:$F,'FTE 계산'!F$2)</f>
        <v>140</v>
      </c>
      <c r="G138">
        <f>SUMIFS(monthly_work_hours!$K:$K,monthly_work_hours!$A:$A,'FTE 계산'!$A138,monthly_work_hours!$F:$F,'FTE 계산'!G$2)</f>
        <v>125.7</v>
      </c>
      <c r="H138">
        <f>(SUMIFS(monthly_work_hours!$G:$G,monthly_work_hours!$A:$A,'FTE 계산'!$A138,monthly_work_hours!$F:$F,'FTE 계산'!H$2)) - (SUMIFS(monthly_work_hours!$J:$J,monthly_work_hours!$A:$A,'FTE 계산'!$A138,monthly_work_hours!$F:$F,'FTE 계산'!H$2))</f>
        <v>19</v>
      </c>
      <c r="I138">
        <f>(SUMIFS(monthly_work_hours!$G:$G,monthly_work_hours!$A:$A,'FTE 계산'!$A138,monthly_work_hours!$F:$F,'FTE 계산'!I$2)) - (SUMIFS(monthly_work_hours!$J:$J,monthly_work_hours!$A:$A,'FTE 계산'!$A138,monthly_work_hours!$F:$F,'FTE 계산'!I$2))</f>
        <v>16</v>
      </c>
      <c r="J138">
        <f>(SUMIFS(monthly_work_hours!$G:$G,monthly_work_hours!$A:$A,'FTE 계산'!$A138,monthly_work_hours!$F:$F,'FTE 계산'!J$2)) - (SUMIFS(monthly_work_hours!$J:$J,monthly_work_hours!$A:$A,'FTE 계산'!$A138,monthly_work_hours!$F:$F,'FTE 계산'!J$2))</f>
        <v>14</v>
      </c>
    </row>
    <row r="139" spans="1:10">
      <c r="A139">
        <v>1222012</v>
      </c>
      <c r="B139" t="str">
        <f>_xlfn.XLOOKUP(A139,monthly_work_hours!A:A,monthly_work_hours!B:B)</f>
        <v>김준혁</v>
      </c>
      <c r="C139" t="str">
        <f>_xlfn.XLOOKUP(A139,monthly_work_hours!A:A,monthly_work_hours!C:C)</f>
        <v>HR팀</v>
      </c>
      <c r="D139" t="str">
        <f>_xlfn.XLOOKUP(A139,monthly_work_hours!A:A,monthly_work_hours!D:D)</f>
        <v>사원</v>
      </c>
      <c r="E139">
        <f>SUMIFS(monthly_work_hours!$K:$K,monthly_work_hours!$A:$A,'FTE 계산'!$A139,monthly_work_hours!$F:$F,'FTE 계산'!E$2)</f>
        <v>185</v>
      </c>
      <c r="F139">
        <f>SUMIFS(monthly_work_hours!$K:$K,monthly_work_hours!$A:$A,'FTE 계산'!$A139,monthly_work_hours!$F:$F,'FTE 계산'!F$2)</f>
        <v>177.4</v>
      </c>
      <c r="G139">
        <f>SUMIFS(monthly_work_hours!$K:$K,monthly_work_hours!$A:$A,'FTE 계산'!$A139,monthly_work_hours!$F:$F,'FTE 계산'!G$2)</f>
        <v>146.80000000000001</v>
      </c>
      <c r="H139">
        <f>(SUMIFS(monthly_work_hours!$G:$G,monthly_work_hours!$A:$A,'FTE 계산'!$A139,monthly_work_hours!$F:$F,'FTE 계산'!H$2)) - (SUMIFS(monthly_work_hours!$J:$J,monthly_work_hours!$A:$A,'FTE 계산'!$A139,monthly_work_hours!$F:$F,'FTE 계산'!H$2))</f>
        <v>19</v>
      </c>
      <c r="I139">
        <f>(SUMIFS(monthly_work_hours!$G:$G,monthly_work_hours!$A:$A,'FTE 계산'!$A139,monthly_work_hours!$F:$F,'FTE 계산'!I$2)) - (SUMIFS(monthly_work_hours!$J:$J,monthly_work_hours!$A:$A,'FTE 계산'!$A139,monthly_work_hours!$F:$F,'FTE 계산'!I$2))</f>
        <v>20</v>
      </c>
      <c r="J139">
        <f>(SUMIFS(monthly_work_hours!$G:$G,monthly_work_hours!$A:$A,'FTE 계산'!$A139,monthly_work_hours!$F:$F,'FTE 계산'!J$2)) - (SUMIFS(monthly_work_hours!$J:$J,monthly_work_hours!$A:$A,'FTE 계산'!$A139,monthly_work_hours!$F:$F,'FTE 계산'!J$2))</f>
        <v>16</v>
      </c>
    </row>
    <row r="140" spans="1:10">
      <c r="A140">
        <v>1222019</v>
      </c>
      <c r="B140" t="str">
        <f>_xlfn.XLOOKUP(A140,monthly_work_hours!A:A,monthly_work_hours!B:B)</f>
        <v>정경태</v>
      </c>
      <c r="C140" t="str">
        <f>_xlfn.XLOOKUP(A140,monthly_work_hours!A:A,monthly_work_hours!C:C)</f>
        <v>안전보안팀</v>
      </c>
      <c r="D140" t="str">
        <f>_xlfn.XLOOKUP(A140,monthly_work_hours!A:A,monthly_work_hours!D:D)</f>
        <v>사원</v>
      </c>
      <c r="E140">
        <f>SUMIFS(monthly_work_hours!$K:$K,monthly_work_hours!$A:$A,'FTE 계산'!$A140,monthly_work_hours!$F:$F,'FTE 계산'!E$2)</f>
        <v>87.6</v>
      </c>
      <c r="F140">
        <f>SUMIFS(monthly_work_hours!$K:$K,monthly_work_hours!$A:$A,'FTE 계산'!$A140,monthly_work_hours!$F:$F,'FTE 계산'!F$2)</f>
        <v>166.5</v>
      </c>
      <c r="G140">
        <f>SUMIFS(monthly_work_hours!$K:$K,monthly_work_hours!$A:$A,'FTE 계산'!$A140,monthly_work_hours!$F:$F,'FTE 계산'!G$2)</f>
        <v>131.9</v>
      </c>
      <c r="H140">
        <f>(SUMIFS(monthly_work_hours!$G:$G,monthly_work_hours!$A:$A,'FTE 계산'!$A140,monthly_work_hours!$F:$F,'FTE 계산'!H$2)) - (SUMIFS(monthly_work_hours!$J:$J,monthly_work_hours!$A:$A,'FTE 계산'!$A140,monthly_work_hours!$F:$F,'FTE 계산'!H$2))</f>
        <v>10</v>
      </c>
      <c r="I140">
        <f>(SUMIFS(monthly_work_hours!$G:$G,monthly_work_hours!$A:$A,'FTE 계산'!$A140,monthly_work_hours!$F:$F,'FTE 계산'!I$2)) - (SUMIFS(monthly_work_hours!$J:$J,monthly_work_hours!$A:$A,'FTE 계산'!$A140,monthly_work_hours!$F:$F,'FTE 계산'!I$2))</f>
        <v>20</v>
      </c>
      <c r="J140">
        <f>(SUMIFS(monthly_work_hours!$G:$G,monthly_work_hours!$A:$A,'FTE 계산'!$A140,monthly_work_hours!$F:$F,'FTE 계산'!J$2)) - (SUMIFS(monthly_work_hours!$J:$J,monthly_work_hours!$A:$A,'FTE 계산'!$A140,monthly_work_hours!$F:$F,'FTE 계산'!J$2))</f>
        <v>14</v>
      </c>
    </row>
    <row r="141" spans="1:10">
      <c r="A141">
        <v>1222021</v>
      </c>
      <c r="B141" t="str">
        <f>_xlfn.XLOOKUP(A141,monthly_work_hours!A:A,monthly_work_hours!B:B)</f>
        <v>조가람</v>
      </c>
      <c r="C141" t="str">
        <f>_xlfn.XLOOKUP(A141,monthly_work_hours!A:A,monthly_work_hours!C:C)</f>
        <v>안전보안팀</v>
      </c>
      <c r="D141" t="str">
        <f>_xlfn.XLOOKUP(A141,monthly_work_hours!A:A,monthly_work_hours!D:D)</f>
        <v>선임</v>
      </c>
      <c r="E141">
        <f>SUMIFS(monthly_work_hours!$K:$K,monthly_work_hours!$A:$A,'FTE 계산'!$A141,monthly_work_hours!$F:$F,'FTE 계산'!E$2)</f>
        <v>272.7</v>
      </c>
      <c r="F141">
        <f>SUMIFS(monthly_work_hours!$K:$K,monthly_work_hours!$A:$A,'FTE 계산'!$A141,monthly_work_hours!$F:$F,'FTE 계산'!F$2)</f>
        <v>227.7</v>
      </c>
      <c r="G141">
        <f>SUMIFS(monthly_work_hours!$K:$K,monthly_work_hours!$A:$A,'FTE 계산'!$A141,monthly_work_hours!$F:$F,'FTE 계산'!G$2)</f>
        <v>162.30000000000001</v>
      </c>
      <c r="H141">
        <f>(SUMIFS(monthly_work_hours!$G:$G,monthly_work_hours!$A:$A,'FTE 계산'!$A141,monthly_work_hours!$F:$F,'FTE 계산'!H$2)) - (SUMIFS(monthly_work_hours!$J:$J,monthly_work_hours!$A:$A,'FTE 계산'!$A141,monthly_work_hours!$F:$F,'FTE 계산'!H$2))</f>
        <v>20</v>
      </c>
      <c r="I141">
        <f>(SUMIFS(monthly_work_hours!$G:$G,monthly_work_hours!$A:$A,'FTE 계산'!$A141,monthly_work_hours!$F:$F,'FTE 계산'!I$2)) - (SUMIFS(monthly_work_hours!$J:$J,monthly_work_hours!$A:$A,'FTE 계산'!$A141,monthly_work_hours!$F:$F,'FTE 계산'!I$2))</f>
        <v>18</v>
      </c>
      <c r="J141">
        <f>(SUMIFS(monthly_work_hours!$G:$G,monthly_work_hours!$A:$A,'FTE 계산'!$A141,monthly_work_hours!$F:$F,'FTE 계산'!J$2)) - (SUMIFS(monthly_work_hours!$J:$J,monthly_work_hours!$A:$A,'FTE 계산'!$A141,monthly_work_hours!$F:$F,'FTE 계산'!J$2))</f>
        <v>16</v>
      </c>
    </row>
    <row r="142" spans="1:10">
      <c r="A142">
        <v>1222025</v>
      </c>
      <c r="B142" t="str">
        <f>_xlfn.XLOOKUP(A142,monthly_work_hours!A:A,monthly_work_hours!B:B)</f>
        <v>김중모</v>
      </c>
      <c r="C142" t="str">
        <f>_xlfn.XLOOKUP(A142,monthly_work_hours!A:A,monthly_work_hours!C:C)</f>
        <v>경영지원팀</v>
      </c>
      <c r="D142" t="str">
        <f>_xlfn.XLOOKUP(A142,monthly_work_hours!A:A,monthly_work_hours!D:D)</f>
        <v>선임</v>
      </c>
      <c r="E142">
        <f>SUMIFS(monthly_work_hours!$K:$K,monthly_work_hours!$A:$A,'FTE 계산'!$A142,monthly_work_hours!$F:$F,'FTE 계산'!E$2)</f>
        <v>178.6</v>
      </c>
      <c r="F142">
        <f>SUMIFS(monthly_work_hours!$K:$K,monthly_work_hours!$A:$A,'FTE 계산'!$A142,monthly_work_hours!$F:$F,'FTE 계산'!F$2)</f>
        <v>173.3</v>
      </c>
      <c r="G142">
        <f>SUMIFS(monthly_work_hours!$K:$K,monthly_work_hours!$A:$A,'FTE 계산'!$A142,monthly_work_hours!$F:$F,'FTE 계산'!G$2)</f>
        <v>144.6</v>
      </c>
      <c r="H142">
        <f>(SUMIFS(monthly_work_hours!$G:$G,monthly_work_hours!$A:$A,'FTE 계산'!$A142,monthly_work_hours!$F:$F,'FTE 계산'!H$2)) - (SUMIFS(monthly_work_hours!$J:$J,monthly_work_hours!$A:$A,'FTE 계산'!$A142,monthly_work_hours!$F:$F,'FTE 계산'!H$2))</f>
        <v>19</v>
      </c>
      <c r="I142">
        <f>(SUMIFS(monthly_work_hours!$G:$G,monthly_work_hours!$A:$A,'FTE 계산'!$A142,monthly_work_hours!$F:$F,'FTE 계산'!I$2)) - (SUMIFS(monthly_work_hours!$J:$J,monthly_work_hours!$A:$A,'FTE 계산'!$A142,monthly_work_hours!$F:$F,'FTE 계산'!I$2))</f>
        <v>18</v>
      </c>
      <c r="J142">
        <f>(SUMIFS(monthly_work_hours!$G:$G,monthly_work_hours!$A:$A,'FTE 계산'!$A142,monthly_work_hours!$F:$F,'FTE 계산'!J$2)) - (SUMIFS(monthly_work_hours!$J:$J,monthly_work_hours!$A:$A,'FTE 계산'!$A142,monthly_work_hours!$F:$F,'FTE 계산'!J$2))</f>
        <v>16</v>
      </c>
    </row>
    <row r="143" spans="1:10">
      <c r="A143">
        <v>1222031</v>
      </c>
      <c r="B143" t="str">
        <f>_xlfn.XLOOKUP(A143,monthly_work_hours!A:A,monthly_work_hours!B:B)</f>
        <v>김일경</v>
      </c>
      <c r="C143" t="str">
        <f>_xlfn.XLOOKUP(A143,monthly_work_hours!A:A,monthly_work_hours!C:C)</f>
        <v>SL상생협력팀</v>
      </c>
      <c r="D143" t="str">
        <f>_xlfn.XLOOKUP(A143,monthly_work_hours!A:A,monthly_work_hours!D:D)</f>
        <v>선임</v>
      </c>
      <c r="E143">
        <f>SUMIFS(monthly_work_hours!$K:$K,monthly_work_hours!$A:$A,'FTE 계산'!$A143,monthly_work_hours!$F:$F,'FTE 계산'!E$2)</f>
        <v>183.3</v>
      </c>
      <c r="F143">
        <f>SUMIFS(monthly_work_hours!$K:$K,monthly_work_hours!$A:$A,'FTE 계산'!$A143,monthly_work_hours!$F:$F,'FTE 계산'!F$2)</f>
        <v>168</v>
      </c>
      <c r="G143">
        <f>SUMIFS(monthly_work_hours!$K:$K,monthly_work_hours!$A:$A,'FTE 계산'!$A143,monthly_work_hours!$F:$F,'FTE 계산'!G$2)</f>
        <v>162.69999999999999</v>
      </c>
      <c r="H143">
        <f>(SUMIFS(monthly_work_hours!$G:$G,monthly_work_hours!$A:$A,'FTE 계산'!$A143,monthly_work_hours!$F:$F,'FTE 계산'!H$2)) - (SUMIFS(monthly_work_hours!$J:$J,monthly_work_hours!$A:$A,'FTE 계산'!$A143,monthly_work_hours!$F:$F,'FTE 계산'!H$2))</f>
        <v>18</v>
      </c>
      <c r="I143">
        <f>(SUMIFS(monthly_work_hours!$G:$G,monthly_work_hours!$A:$A,'FTE 계산'!$A143,monthly_work_hours!$F:$F,'FTE 계산'!I$2)) - (SUMIFS(monthly_work_hours!$J:$J,monthly_work_hours!$A:$A,'FTE 계산'!$A143,monthly_work_hours!$F:$F,'FTE 계산'!I$2))</f>
        <v>18</v>
      </c>
      <c r="J143">
        <f>(SUMIFS(monthly_work_hours!$G:$G,monthly_work_hours!$A:$A,'FTE 계산'!$A143,monthly_work_hours!$F:$F,'FTE 계산'!J$2)) - (SUMIFS(monthly_work_hours!$J:$J,monthly_work_hours!$A:$A,'FTE 계산'!$A143,monthly_work_hours!$F:$F,'FTE 계산'!J$2))</f>
        <v>16</v>
      </c>
    </row>
    <row r="144" spans="1:10">
      <c r="A144">
        <v>1222033</v>
      </c>
      <c r="B144" t="str">
        <f>_xlfn.XLOOKUP(A144,monthly_work_hours!A:A,monthly_work_hours!B:B)</f>
        <v>임민준</v>
      </c>
      <c r="C144" t="str">
        <f>_xlfn.XLOOKUP(A144,monthly_work_hours!A:A,monthly_work_hours!C:C)</f>
        <v>SL운영팀</v>
      </c>
      <c r="D144" t="str">
        <f>_xlfn.XLOOKUP(A144,monthly_work_hours!A:A,monthly_work_hours!D:D)</f>
        <v>선임</v>
      </c>
      <c r="E144">
        <f>SUMIFS(monthly_work_hours!$K:$K,monthly_work_hours!$A:$A,'FTE 계산'!$A144,monthly_work_hours!$F:$F,'FTE 계산'!E$2)</f>
        <v>193</v>
      </c>
      <c r="F144">
        <f>SUMIFS(monthly_work_hours!$K:$K,monthly_work_hours!$A:$A,'FTE 계산'!$A144,monthly_work_hours!$F:$F,'FTE 계산'!F$2)</f>
        <v>166.8</v>
      </c>
      <c r="G144">
        <f>SUMIFS(monthly_work_hours!$K:$K,monthly_work_hours!$A:$A,'FTE 계산'!$A144,monthly_work_hours!$F:$F,'FTE 계산'!G$2)</f>
        <v>112.6</v>
      </c>
      <c r="H144">
        <f>(SUMIFS(monthly_work_hours!$G:$G,monthly_work_hours!$A:$A,'FTE 계산'!$A144,monthly_work_hours!$F:$F,'FTE 계산'!H$2)) - (SUMIFS(monthly_work_hours!$J:$J,monthly_work_hours!$A:$A,'FTE 계산'!$A144,monthly_work_hours!$F:$F,'FTE 계산'!H$2))</f>
        <v>19</v>
      </c>
      <c r="I144">
        <f>(SUMIFS(monthly_work_hours!$G:$G,monthly_work_hours!$A:$A,'FTE 계산'!$A144,monthly_work_hours!$F:$F,'FTE 계산'!I$2)) - (SUMIFS(monthly_work_hours!$J:$J,monthly_work_hours!$A:$A,'FTE 계산'!$A144,monthly_work_hours!$F:$F,'FTE 계산'!I$2))</f>
        <v>17</v>
      </c>
      <c r="J144">
        <f>(SUMIFS(monthly_work_hours!$G:$G,monthly_work_hours!$A:$A,'FTE 계산'!$A144,monthly_work_hours!$F:$F,'FTE 계산'!J$2)) - (SUMIFS(monthly_work_hours!$J:$J,monthly_work_hours!$A:$A,'FTE 계산'!$A144,monthly_work_hours!$F:$F,'FTE 계산'!J$2))</f>
        <v>14</v>
      </c>
    </row>
    <row r="145" spans="1:10">
      <c r="A145">
        <v>1222034</v>
      </c>
      <c r="B145" t="str">
        <f>_xlfn.XLOOKUP(A145,monthly_work_hours!A:A,monthly_work_hours!B:B)</f>
        <v>정만주</v>
      </c>
      <c r="C145" t="str">
        <f>_xlfn.XLOOKUP(A145,monthly_work_hours!A:A,monthly_work_hours!C:C)</f>
        <v>FL영업팀</v>
      </c>
      <c r="D145" t="str">
        <f>_xlfn.XLOOKUP(A145,monthly_work_hours!A:A,monthly_work_hours!D:D)</f>
        <v>선임</v>
      </c>
      <c r="E145">
        <f>SUMIFS(monthly_work_hours!$K:$K,monthly_work_hours!$A:$A,'FTE 계산'!$A145,monthly_work_hours!$F:$F,'FTE 계산'!E$2)</f>
        <v>176</v>
      </c>
      <c r="F145">
        <f>SUMIFS(monthly_work_hours!$K:$K,monthly_work_hours!$A:$A,'FTE 계산'!$A145,monthly_work_hours!$F:$F,'FTE 계산'!F$2)</f>
        <v>192.3</v>
      </c>
      <c r="G145">
        <f>SUMIFS(monthly_work_hours!$K:$K,monthly_work_hours!$A:$A,'FTE 계산'!$A145,monthly_work_hours!$F:$F,'FTE 계산'!G$2)</f>
        <v>198.1</v>
      </c>
      <c r="H145">
        <f>(SUMIFS(monthly_work_hours!$G:$G,monthly_work_hours!$A:$A,'FTE 계산'!$A145,monthly_work_hours!$F:$F,'FTE 계산'!H$2)) - (SUMIFS(monthly_work_hours!$J:$J,monthly_work_hours!$A:$A,'FTE 계산'!$A145,monthly_work_hours!$F:$F,'FTE 계산'!H$2))</f>
        <v>17</v>
      </c>
      <c r="I145">
        <f>(SUMIFS(monthly_work_hours!$G:$G,monthly_work_hours!$A:$A,'FTE 계산'!$A145,monthly_work_hours!$F:$F,'FTE 계산'!I$2)) - (SUMIFS(monthly_work_hours!$J:$J,monthly_work_hours!$A:$A,'FTE 계산'!$A145,monthly_work_hours!$F:$F,'FTE 계산'!I$2))</f>
        <v>18</v>
      </c>
      <c r="J145">
        <f>(SUMIFS(monthly_work_hours!$G:$G,monthly_work_hours!$A:$A,'FTE 계산'!$A145,monthly_work_hours!$F:$F,'FTE 계산'!J$2)) - (SUMIFS(monthly_work_hours!$J:$J,monthly_work_hours!$A:$A,'FTE 계산'!$A145,monthly_work_hours!$F:$F,'FTE 계산'!J$2))</f>
        <v>16</v>
      </c>
    </row>
    <row r="146" spans="1:10">
      <c r="A146">
        <v>1222035</v>
      </c>
      <c r="B146" t="str">
        <f>_xlfn.XLOOKUP(A146,monthly_work_hours!A:A,monthly_work_hours!B:B)</f>
        <v>고경록</v>
      </c>
      <c r="C146" t="str">
        <f>_xlfn.XLOOKUP(A146,monthly_work_hours!A:A,monthly_work_hours!C:C)</f>
        <v>재무팀</v>
      </c>
      <c r="D146" t="str">
        <f>_xlfn.XLOOKUP(A146,monthly_work_hours!A:A,monthly_work_hours!D:D)</f>
        <v>사원</v>
      </c>
      <c r="E146">
        <f>SUMIFS(monthly_work_hours!$K:$K,monthly_work_hours!$A:$A,'FTE 계산'!$A146,monthly_work_hours!$F:$F,'FTE 계산'!E$2)</f>
        <v>183.6</v>
      </c>
      <c r="F146">
        <f>SUMIFS(monthly_work_hours!$K:$K,monthly_work_hours!$A:$A,'FTE 계산'!$A146,monthly_work_hours!$F:$F,'FTE 계산'!F$2)</f>
        <v>218.5</v>
      </c>
      <c r="G146">
        <f>SUMIFS(monthly_work_hours!$K:$K,monthly_work_hours!$A:$A,'FTE 계산'!$A146,monthly_work_hours!$F:$F,'FTE 계산'!G$2)</f>
        <v>131.5</v>
      </c>
      <c r="H146">
        <f>(SUMIFS(monthly_work_hours!$G:$G,monthly_work_hours!$A:$A,'FTE 계산'!$A146,monthly_work_hours!$F:$F,'FTE 계산'!H$2)) - (SUMIFS(monthly_work_hours!$J:$J,monthly_work_hours!$A:$A,'FTE 계산'!$A146,monthly_work_hours!$F:$F,'FTE 계산'!H$2))</f>
        <v>19</v>
      </c>
      <c r="I146">
        <f>(SUMIFS(monthly_work_hours!$G:$G,monthly_work_hours!$A:$A,'FTE 계산'!$A146,monthly_work_hours!$F:$F,'FTE 계산'!I$2)) - (SUMIFS(monthly_work_hours!$J:$J,monthly_work_hours!$A:$A,'FTE 계산'!$A146,monthly_work_hours!$F:$F,'FTE 계산'!I$2))</f>
        <v>22</v>
      </c>
      <c r="J146">
        <f>(SUMIFS(monthly_work_hours!$G:$G,monthly_work_hours!$A:$A,'FTE 계산'!$A146,monthly_work_hours!$F:$F,'FTE 계산'!J$2)) - (SUMIFS(monthly_work_hours!$J:$J,monthly_work_hours!$A:$A,'FTE 계산'!$A146,monthly_work_hours!$F:$F,'FTE 계산'!J$2))</f>
        <v>15</v>
      </c>
    </row>
    <row r="147" spans="1:10">
      <c r="A147">
        <v>1222036</v>
      </c>
      <c r="B147" t="str">
        <f>_xlfn.XLOOKUP(A147,monthly_work_hours!A:A,monthly_work_hours!B:B)</f>
        <v>김무진</v>
      </c>
      <c r="C147" t="str">
        <f>_xlfn.XLOOKUP(A147,monthly_work_hours!A:A,monthly_work_hours!C:C)</f>
        <v>기획팀</v>
      </c>
      <c r="D147" t="str">
        <f>_xlfn.XLOOKUP(A147,monthly_work_hours!A:A,monthly_work_hours!D:D)</f>
        <v>사원</v>
      </c>
      <c r="E147">
        <f>SUMIFS(monthly_work_hours!$K:$K,monthly_work_hours!$A:$A,'FTE 계산'!$A147,monthly_work_hours!$F:$F,'FTE 계산'!E$2)</f>
        <v>187.7</v>
      </c>
      <c r="F147">
        <f>SUMIFS(monthly_work_hours!$K:$K,monthly_work_hours!$A:$A,'FTE 계산'!$A147,monthly_work_hours!$F:$F,'FTE 계산'!F$2)</f>
        <v>168</v>
      </c>
      <c r="G147">
        <f>SUMIFS(monthly_work_hours!$K:$K,monthly_work_hours!$A:$A,'FTE 계산'!$A147,monthly_work_hours!$F:$F,'FTE 계산'!G$2)</f>
        <v>147.9</v>
      </c>
      <c r="H147">
        <f>(SUMIFS(monthly_work_hours!$G:$G,monthly_work_hours!$A:$A,'FTE 계산'!$A147,monthly_work_hours!$F:$F,'FTE 계산'!H$2)) - (SUMIFS(monthly_work_hours!$J:$J,monthly_work_hours!$A:$A,'FTE 계산'!$A147,monthly_work_hours!$F:$F,'FTE 계산'!H$2))</f>
        <v>19</v>
      </c>
      <c r="I147">
        <f>(SUMIFS(monthly_work_hours!$G:$G,monthly_work_hours!$A:$A,'FTE 계산'!$A147,monthly_work_hours!$F:$F,'FTE 계산'!I$2)) - (SUMIFS(monthly_work_hours!$J:$J,monthly_work_hours!$A:$A,'FTE 계산'!$A147,monthly_work_hours!$F:$F,'FTE 계산'!I$2))</f>
        <v>17</v>
      </c>
      <c r="J147">
        <f>(SUMIFS(monthly_work_hours!$G:$G,monthly_work_hours!$A:$A,'FTE 계산'!$A147,monthly_work_hours!$F:$F,'FTE 계산'!J$2)) - (SUMIFS(monthly_work_hours!$J:$J,monthly_work_hours!$A:$A,'FTE 계산'!$A147,monthly_work_hours!$F:$F,'FTE 계산'!J$2))</f>
        <v>16</v>
      </c>
    </row>
    <row r="148" spans="1:10">
      <c r="A148">
        <v>1222037</v>
      </c>
      <c r="B148" t="str">
        <f>_xlfn.XLOOKUP(A148,monthly_work_hours!A:A,monthly_work_hours!B:B)</f>
        <v>조수빈</v>
      </c>
      <c r="C148" t="str">
        <f>_xlfn.XLOOKUP(A148,monthly_work_hours!A:A,monthly_work_hours!C:C)</f>
        <v>SCM팀</v>
      </c>
      <c r="D148" t="str">
        <f>_xlfn.XLOOKUP(A148,monthly_work_hours!A:A,monthly_work_hours!D:D)</f>
        <v>사원</v>
      </c>
      <c r="E148">
        <f>SUMIFS(monthly_work_hours!$K:$K,monthly_work_hours!$A:$A,'FTE 계산'!$A148,monthly_work_hours!$F:$F,'FTE 계산'!E$2)</f>
        <v>167.7</v>
      </c>
      <c r="F148">
        <f>SUMIFS(monthly_work_hours!$K:$K,monthly_work_hours!$A:$A,'FTE 계산'!$A148,monthly_work_hours!$F:$F,'FTE 계산'!F$2)</f>
        <v>166.4</v>
      </c>
      <c r="G148">
        <f>SUMIFS(monthly_work_hours!$K:$K,monthly_work_hours!$A:$A,'FTE 계산'!$A148,monthly_work_hours!$F:$F,'FTE 계산'!G$2)</f>
        <v>131.1</v>
      </c>
      <c r="H148">
        <f>(SUMIFS(monthly_work_hours!$G:$G,monthly_work_hours!$A:$A,'FTE 계산'!$A148,monthly_work_hours!$F:$F,'FTE 계산'!H$2)) - (SUMIFS(monthly_work_hours!$J:$J,monthly_work_hours!$A:$A,'FTE 계산'!$A148,monthly_work_hours!$F:$F,'FTE 계산'!H$2))</f>
        <v>18</v>
      </c>
      <c r="I148">
        <f>(SUMIFS(monthly_work_hours!$G:$G,monthly_work_hours!$A:$A,'FTE 계산'!$A148,monthly_work_hours!$F:$F,'FTE 계산'!I$2)) - (SUMIFS(monthly_work_hours!$J:$J,monthly_work_hours!$A:$A,'FTE 계산'!$A148,monthly_work_hours!$F:$F,'FTE 계산'!I$2))</f>
        <v>18</v>
      </c>
      <c r="J148">
        <f>(SUMIFS(monthly_work_hours!$G:$G,monthly_work_hours!$A:$A,'FTE 계산'!$A148,monthly_work_hours!$F:$F,'FTE 계산'!J$2)) - (SUMIFS(monthly_work_hours!$J:$J,monthly_work_hours!$A:$A,'FTE 계산'!$A148,monthly_work_hours!$F:$F,'FTE 계산'!J$2))</f>
        <v>15</v>
      </c>
    </row>
    <row r="149" spans="1:10">
      <c r="A149">
        <v>1222038</v>
      </c>
      <c r="B149" t="str">
        <f>_xlfn.XLOOKUP(A149,monthly_work_hours!A:A,monthly_work_hours!B:B)</f>
        <v>안수진</v>
      </c>
      <c r="C149" t="str">
        <f>_xlfn.XLOOKUP(A149,monthly_work_hours!A:A,monthly_work_hours!C:C)</f>
        <v>Brake설계팀</v>
      </c>
      <c r="D149" t="str">
        <f>_xlfn.XLOOKUP(A149,monthly_work_hours!A:A,monthly_work_hours!D:D)</f>
        <v>사원</v>
      </c>
      <c r="E149">
        <f>SUMIFS(monthly_work_hours!$K:$K,monthly_work_hours!$A:$A,'FTE 계산'!$A149,monthly_work_hours!$F:$F,'FTE 계산'!E$2)</f>
        <v>712.5</v>
      </c>
      <c r="F149">
        <f>SUMIFS(monthly_work_hours!$K:$K,monthly_work_hours!$A:$A,'FTE 계산'!$A149,monthly_work_hours!$F:$F,'FTE 계산'!F$2)</f>
        <v>736.6</v>
      </c>
      <c r="G149">
        <f>SUMIFS(monthly_work_hours!$K:$K,monthly_work_hours!$A:$A,'FTE 계산'!$A149,monthly_work_hours!$F:$F,'FTE 계산'!G$2)</f>
        <v>604.6</v>
      </c>
      <c r="H149">
        <f>(SUMIFS(monthly_work_hours!$G:$G,monthly_work_hours!$A:$A,'FTE 계산'!$A149,monthly_work_hours!$F:$F,'FTE 계산'!H$2)) - (SUMIFS(monthly_work_hours!$J:$J,monthly_work_hours!$A:$A,'FTE 계산'!$A149,monthly_work_hours!$F:$F,'FTE 계산'!H$2))</f>
        <v>21</v>
      </c>
      <c r="I149">
        <f>(SUMIFS(monthly_work_hours!$G:$G,monthly_work_hours!$A:$A,'FTE 계산'!$A149,monthly_work_hours!$F:$F,'FTE 계산'!I$2)) - (SUMIFS(monthly_work_hours!$J:$J,monthly_work_hours!$A:$A,'FTE 계산'!$A149,monthly_work_hours!$F:$F,'FTE 계산'!I$2))</f>
        <v>23</v>
      </c>
      <c r="J149">
        <f>(SUMIFS(monthly_work_hours!$G:$G,monthly_work_hours!$A:$A,'FTE 계산'!$A149,monthly_work_hours!$F:$F,'FTE 계산'!J$2)) - (SUMIFS(monthly_work_hours!$J:$J,monthly_work_hours!$A:$A,'FTE 계산'!$A149,monthly_work_hours!$F:$F,'FTE 계산'!J$2))</f>
        <v>18</v>
      </c>
    </row>
    <row r="150" spans="1:10">
      <c r="A150">
        <v>1222041</v>
      </c>
      <c r="B150" t="str">
        <f>_xlfn.XLOOKUP(A150,monthly_work_hours!A:A,monthly_work_hours!B:B)</f>
        <v>최지훈</v>
      </c>
      <c r="C150" t="str">
        <f>_xlfn.XLOOKUP(A150,monthly_work_hours!A:A,monthly_work_hours!C:C)</f>
        <v>FL생산기술팀</v>
      </c>
      <c r="D150" t="str">
        <f>_xlfn.XLOOKUP(A150,monthly_work_hours!A:A,monthly_work_hours!D:D)</f>
        <v>사원</v>
      </c>
      <c r="E150">
        <f>SUMIFS(monthly_work_hours!$K:$K,monthly_work_hours!$A:$A,'FTE 계산'!$A150,monthly_work_hours!$F:$F,'FTE 계산'!E$2)</f>
        <v>171.8</v>
      </c>
      <c r="F150">
        <f>SUMIFS(monthly_work_hours!$K:$K,monthly_work_hours!$A:$A,'FTE 계산'!$A150,monthly_work_hours!$F:$F,'FTE 계산'!F$2)</f>
        <v>174.7</v>
      </c>
      <c r="G150">
        <f>SUMIFS(monthly_work_hours!$K:$K,monthly_work_hours!$A:$A,'FTE 계산'!$A150,monthly_work_hours!$F:$F,'FTE 계산'!G$2)</f>
        <v>143.9</v>
      </c>
      <c r="H150">
        <f>(SUMIFS(monthly_work_hours!$G:$G,monthly_work_hours!$A:$A,'FTE 계산'!$A150,monthly_work_hours!$F:$F,'FTE 계산'!H$2)) - (SUMIFS(monthly_work_hours!$J:$J,monthly_work_hours!$A:$A,'FTE 계산'!$A150,monthly_work_hours!$F:$F,'FTE 계산'!H$2))</f>
        <v>18</v>
      </c>
      <c r="I150">
        <f>(SUMIFS(monthly_work_hours!$G:$G,monthly_work_hours!$A:$A,'FTE 계산'!$A150,monthly_work_hours!$F:$F,'FTE 계산'!I$2)) - (SUMIFS(monthly_work_hours!$J:$J,monthly_work_hours!$A:$A,'FTE 계산'!$A150,monthly_work_hours!$F:$F,'FTE 계산'!I$2))</f>
        <v>18</v>
      </c>
      <c r="J150">
        <f>(SUMIFS(monthly_work_hours!$G:$G,monthly_work_hours!$A:$A,'FTE 계산'!$A150,monthly_work_hours!$F:$F,'FTE 계산'!J$2)) - (SUMIFS(monthly_work_hours!$J:$J,monthly_work_hours!$A:$A,'FTE 계산'!$A150,monthly_work_hours!$F:$F,'FTE 계산'!J$2))</f>
        <v>17</v>
      </c>
    </row>
    <row r="151" spans="1:10">
      <c r="A151">
        <v>1222042</v>
      </c>
      <c r="B151" t="str">
        <f>_xlfn.XLOOKUP(A151,monthly_work_hours!A:A,monthly_work_hours!B:B)</f>
        <v>이재훈</v>
      </c>
      <c r="C151" t="str">
        <f>_xlfn.XLOOKUP(A151,monthly_work_hours!A:A,monthly_work_hours!C:C)</f>
        <v>설비기획팀</v>
      </c>
      <c r="D151" t="str">
        <f>_xlfn.XLOOKUP(A151,monthly_work_hours!A:A,monthly_work_hours!D:D)</f>
        <v>선임</v>
      </c>
      <c r="E151">
        <f>SUMIFS(monthly_work_hours!$K:$K,monthly_work_hours!$A:$A,'FTE 계산'!$A151,monthly_work_hours!$F:$F,'FTE 계산'!E$2)</f>
        <v>97.8</v>
      </c>
      <c r="F151">
        <f>SUMIFS(monthly_work_hours!$K:$K,monthly_work_hours!$A:$A,'FTE 계산'!$A151,monthly_work_hours!$F:$F,'FTE 계산'!F$2)</f>
        <v>172.4</v>
      </c>
      <c r="G151">
        <f>SUMIFS(monthly_work_hours!$K:$K,monthly_work_hours!$A:$A,'FTE 계산'!$A151,monthly_work_hours!$F:$F,'FTE 계산'!G$2)</f>
        <v>135.80000000000001</v>
      </c>
      <c r="H151">
        <f>(SUMIFS(monthly_work_hours!$G:$G,monthly_work_hours!$A:$A,'FTE 계산'!$A151,monthly_work_hours!$F:$F,'FTE 계산'!H$2)) - (SUMIFS(monthly_work_hours!$J:$J,monthly_work_hours!$A:$A,'FTE 계산'!$A151,monthly_work_hours!$F:$F,'FTE 계산'!H$2))</f>
        <v>10</v>
      </c>
      <c r="I151">
        <f>(SUMIFS(monthly_work_hours!$G:$G,monthly_work_hours!$A:$A,'FTE 계산'!$A151,monthly_work_hours!$F:$F,'FTE 계산'!I$2)) - (SUMIFS(monthly_work_hours!$J:$J,monthly_work_hours!$A:$A,'FTE 계산'!$A151,monthly_work_hours!$F:$F,'FTE 계산'!I$2))</f>
        <v>17</v>
      </c>
      <c r="J151">
        <f>(SUMIFS(monthly_work_hours!$G:$G,monthly_work_hours!$A:$A,'FTE 계산'!$A151,monthly_work_hours!$F:$F,'FTE 계산'!J$2)) - (SUMIFS(monthly_work_hours!$J:$J,monthly_work_hours!$A:$A,'FTE 계산'!$A151,monthly_work_hours!$F:$F,'FTE 계산'!J$2))</f>
        <v>15</v>
      </c>
    </row>
    <row r="152" spans="1:10">
      <c r="A152">
        <v>1222047</v>
      </c>
      <c r="B152" t="str">
        <f>_xlfn.XLOOKUP(A152,monthly_work_hours!A:A,monthly_work_hours!B:B)</f>
        <v>정은영</v>
      </c>
      <c r="C152" t="str">
        <f>_xlfn.XLOOKUP(A152,monthly_work_hours!A:A,monthly_work_hours!C:C)</f>
        <v>경영지원팀</v>
      </c>
      <c r="D152" t="str">
        <f>_xlfn.XLOOKUP(A152,monthly_work_hours!A:A,monthly_work_hours!D:D)</f>
        <v>사원</v>
      </c>
      <c r="E152">
        <f>SUMIFS(monthly_work_hours!$K:$K,monthly_work_hours!$A:$A,'FTE 계산'!$A152,monthly_work_hours!$F:$F,'FTE 계산'!E$2)</f>
        <v>165.3</v>
      </c>
      <c r="F152">
        <f>SUMIFS(monthly_work_hours!$K:$K,monthly_work_hours!$A:$A,'FTE 계산'!$A152,monthly_work_hours!$F:$F,'FTE 계산'!F$2)</f>
        <v>195.2</v>
      </c>
      <c r="G152">
        <f>SUMIFS(monthly_work_hours!$K:$K,monthly_work_hours!$A:$A,'FTE 계산'!$A152,monthly_work_hours!$F:$F,'FTE 계산'!G$2)</f>
        <v>137.19999999999999</v>
      </c>
      <c r="H152">
        <f>(SUMIFS(monthly_work_hours!$G:$G,monthly_work_hours!$A:$A,'FTE 계산'!$A152,monthly_work_hours!$F:$F,'FTE 계산'!H$2)) - (SUMIFS(monthly_work_hours!$J:$J,monthly_work_hours!$A:$A,'FTE 계산'!$A152,monthly_work_hours!$F:$F,'FTE 계산'!H$2))</f>
        <v>18</v>
      </c>
      <c r="I152">
        <f>(SUMIFS(monthly_work_hours!$G:$G,monthly_work_hours!$A:$A,'FTE 계산'!$A152,monthly_work_hours!$F:$F,'FTE 계산'!I$2)) - (SUMIFS(monthly_work_hours!$J:$J,monthly_work_hours!$A:$A,'FTE 계산'!$A152,monthly_work_hours!$F:$F,'FTE 계산'!I$2))</f>
        <v>19</v>
      </c>
      <c r="J152">
        <f>(SUMIFS(monthly_work_hours!$G:$G,monthly_work_hours!$A:$A,'FTE 계산'!$A152,monthly_work_hours!$F:$F,'FTE 계산'!J$2)) - (SUMIFS(monthly_work_hours!$J:$J,monthly_work_hours!$A:$A,'FTE 계산'!$A152,monthly_work_hours!$F:$F,'FTE 계산'!J$2))</f>
        <v>16</v>
      </c>
    </row>
    <row r="153" spans="1:10">
      <c r="A153">
        <v>1222050</v>
      </c>
      <c r="B153" t="str">
        <f>_xlfn.XLOOKUP(A153,monthly_work_hours!A:A,monthly_work_hours!B:B)</f>
        <v>진미영</v>
      </c>
      <c r="C153" t="str">
        <f>_xlfn.XLOOKUP(A153,monthly_work_hours!A:A,monthly_work_hours!C:C)</f>
        <v>SL영업팀</v>
      </c>
      <c r="D153" t="str">
        <f>_xlfn.XLOOKUP(A153,monthly_work_hours!A:A,monthly_work_hours!D:D)</f>
        <v>선임</v>
      </c>
      <c r="E153">
        <f>SUMIFS(monthly_work_hours!$K:$K,monthly_work_hours!$A:$A,'FTE 계산'!$A153,monthly_work_hours!$F:$F,'FTE 계산'!E$2)</f>
        <v>184.5</v>
      </c>
      <c r="F153">
        <f>SUMIFS(monthly_work_hours!$K:$K,monthly_work_hours!$A:$A,'FTE 계산'!$A153,monthly_work_hours!$F:$F,'FTE 계산'!F$2)</f>
        <v>196.9</v>
      </c>
      <c r="G153">
        <f>SUMIFS(monthly_work_hours!$K:$K,monthly_work_hours!$A:$A,'FTE 계산'!$A153,monthly_work_hours!$F:$F,'FTE 계산'!G$2)</f>
        <v>128.5</v>
      </c>
      <c r="H153">
        <f>(SUMIFS(monthly_work_hours!$G:$G,monthly_work_hours!$A:$A,'FTE 계산'!$A153,monthly_work_hours!$F:$F,'FTE 계산'!H$2)) - (SUMIFS(monthly_work_hours!$J:$J,monthly_work_hours!$A:$A,'FTE 계산'!$A153,monthly_work_hours!$F:$F,'FTE 계산'!H$2))</f>
        <v>19</v>
      </c>
      <c r="I153">
        <f>(SUMIFS(monthly_work_hours!$G:$G,monthly_work_hours!$A:$A,'FTE 계산'!$A153,monthly_work_hours!$F:$F,'FTE 계산'!I$2)) - (SUMIFS(monthly_work_hours!$J:$J,monthly_work_hours!$A:$A,'FTE 계산'!$A153,monthly_work_hours!$F:$F,'FTE 계산'!I$2))</f>
        <v>23</v>
      </c>
      <c r="J153">
        <f>(SUMIFS(monthly_work_hours!$G:$G,monthly_work_hours!$A:$A,'FTE 계산'!$A153,monthly_work_hours!$F:$F,'FTE 계산'!J$2)) - (SUMIFS(monthly_work_hours!$J:$J,monthly_work_hours!$A:$A,'FTE 계산'!$A153,monthly_work_hours!$F:$F,'FTE 계산'!J$2))</f>
        <v>16</v>
      </c>
    </row>
    <row r="154" spans="1:10">
      <c r="A154">
        <v>1222051</v>
      </c>
      <c r="B154" t="str">
        <f>_xlfn.XLOOKUP(A154,monthly_work_hours!A:A,monthly_work_hours!B:B)</f>
        <v>정다훈</v>
      </c>
      <c r="C154" t="str">
        <f>_xlfn.XLOOKUP(A154,monthly_work_hours!A:A,monthly_work_hours!C:C)</f>
        <v>설비기획팀</v>
      </c>
      <c r="D154" t="str">
        <f>_xlfn.XLOOKUP(A154,monthly_work_hours!A:A,monthly_work_hours!D:D)</f>
        <v>선임</v>
      </c>
      <c r="E154">
        <f>SUMIFS(monthly_work_hours!$K:$K,monthly_work_hours!$A:$A,'FTE 계산'!$A154,monthly_work_hours!$F:$F,'FTE 계산'!E$2)</f>
        <v>82.4</v>
      </c>
      <c r="F154">
        <f>SUMIFS(monthly_work_hours!$K:$K,monthly_work_hours!$A:$A,'FTE 계산'!$A154,monthly_work_hours!$F:$F,'FTE 계산'!F$2)</f>
        <v>162.80000000000001</v>
      </c>
      <c r="G154">
        <f>SUMIFS(monthly_work_hours!$K:$K,monthly_work_hours!$A:$A,'FTE 계산'!$A154,monthly_work_hours!$F:$F,'FTE 계산'!G$2)</f>
        <v>123.6</v>
      </c>
      <c r="H154">
        <f>(SUMIFS(monthly_work_hours!$G:$G,monthly_work_hours!$A:$A,'FTE 계산'!$A154,monthly_work_hours!$F:$F,'FTE 계산'!H$2)) - (SUMIFS(monthly_work_hours!$J:$J,monthly_work_hours!$A:$A,'FTE 계산'!$A154,monthly_work_hours!$F:$F,'FTE 계산'!H$2))</f>
        <v>12</v>
      </c>
      <c r="I154">
        <f>(SUMIFS(monthly_work_hours!$G:$G,monthly_work_hours!$A:$A,'FTE 계산'!$A154,monthly_work_hours!$F:$F,'FTE 계산'!I$2)) - (SUMIFS(monthly_work_hours!$J:$J,monthly_work_hours!$A:$A,'FTE 계산'!$A154,monthly_work_hours!$F:$F,'FTE 계산'!I$2))</f>
        <v>18</v>
      </c>
      <c r="J154">
        <f>(SUMIFS(monthly_work_hours!$G:$G,monthly_work_hours!$A:$A,'FTE 계산'!$A154,monthly_work_hours!$F:$F,'FTE 계산'!J$2)) - (SUMIFS(monthly_work_hours!$J:$J,monthly_work_hours!$A:$A,'FTE 계산'!$A154,monthly_work_hours!$F:$F,'FTE 계산'!J$2))</f>
        <v>16</v>
      </c>
    </row>
    <row r="155" spans="1:10">
      <c r="A155">
        <v>1222053</v>
      </c>
      <c r="B155" t="str">
        <f>_xlfn.XLOOKUP(A155,monthly_work_hours!A:A,monthly_work_hours!B:B)</f>
        <v>윤동민</v>
      </c>
      <c r="C155" t="str">
        <f>_xlfn.XLOOKUP(A155,monthly_work_hours!A:A,monthly_work_hours!C:C)</f>
        <v>SL영업팀</v>
      </c>
      <c r="D155" t="str">
        <f>_xlfn.XLOOKUP(A155,monthly_work_hours!A:A,monthly_work_hours!D:D)</f>
        <v>사원</v>
      </c>
      <c r="E155">
        <f>SUMIFS(monthly_work_hours!$K:$K,monthly_work_hours!$A:$A,'FTE 계산'!$A155,monthly_work_hours!$F:$F,'FTE 계산'!E$2)</f>
        <v>141.4</v>
      </c>
      <c r="F155">
        <f>SUMIFS(monthly_work_hours!$K:$K,monthly_work_hours!$A:$A,'FTE 계산'!$A155,monthly_work_hours!$F:$F,'FTE 계산'!F$2)</f>
        <v>158.30000000000001</v>
      </c>
      <c r="G155">
        <f>SUMIFS(monthly_work_hours!$K:$K,monthly_work_hours!$A:$A,'FTE 계산'!$A155,monthly_work_hours!$F:$F,'FTE 계산'!G$2)</f>
        <v>158.6</v>
      </c>
      <c r="H155">
        <f>(SUMIFS(monthly_work_hours!$G:$G,monthly_work_hours!$A:$A,'FTE 계산'!$A155,monthly_work_hours!$F:$F,'FTE 계산'!H$2)) - (SUMIFS(monthly_work_hours!$J:$J,monthly_work_hours!$A:$A,'FTE 계산'!$A155,monthly_work_hours!$F:$F,'FTE 계산'!H$2))</f>
        <v>17</v>
      </c>
      <c r="I155">
        <f>(SUMIFS(monthly_work_hours!$G:$G,monthly_work_hours!$A:$A,'FTE 계산'!$A155,monthly_work_hours!$F:$F,'FTE 계산'!I$2)) - (SUMIFS(monthly_work_hours!$J:$J,monthly_work_hours!$A:$A,'FTE 계산'!$A155,monthly_work_hours!$F:$F,'FTE 계산'!I$2))</f>
        <v>17</v>
      </c>
      <c r="J155">
        <f>(SUMIFS(monthly_work_hours!$G:$G,monthly_work_hours!$A:$A,'FTE 계산'!$A155,monthly_work_hours!$F:$F,'FTE 계산'!J$2)) - (SUMIFS(monthly_work_hours!$J:$J,monthly_work_hours!$A:$A,'FTE 계산'!$A155,monthly_work_hours!$F:$F,'FTE 계산'!J$2))</f>
        <v>15</v>
      </c>
    </row>
    <row r="156" spans="1:10">
      <c r="A156">
        <v>1222055</v>
      </c>
      <c r="B156" t="str">
        <f>_xlfn.XLOOKUP(A156,monthly_work_hours!A:A,monthly_work_hours!B:B)</f>
        <v>이재성</v>
      </c>
      <c r="C156" t="str">
        <f>_xlfn.XLOOKUP(A156,monthly_work_hours!A:A,monthly_work_hours!C:C)</f>
        <v>B/H사업팀</v>
      </c>
      <c r="D156" t="str">
        <f>_xlfn.XLOOKUP(A156,monthly_work_hours!A:A,monthly_work_hours!D:D)</f>
        <v>선임</v>
      </c>
      <c r="E156">
        <f>SUMIFS(monthly_work_hours!$K:$K,monthly_work_hours!$A:$A,'FTE 계산'!$A156,monthly_work_hours!$F:$F,'FTE 계산'!E$2)</f>
        <v>172.9</v>
      </c>
      <c r="F156">
        <f>SUMIFS(monthly_work_hours!$K:$K,monthly_work_hours!$A:$A,'FTE 계산'!$A156,monthly_work_hours!$F:$F,'FTE 계산'!F$2)</f>
        <v>158.30000000000001</v>
      </c>
      <c r="G156">
        <f>SUMIFS(monthly_work_hours!$K:$K,monthly_work_hours!$A:$A,'FTE 계산'!$A156,monthly_work_hours!$F:$F,'FTE 계산'!G$2)</f>
        <v>120.9</v>
      </c>
      <c r="H156">
        <f>(SUMIFS(monthly_work_hours!$G:$G,monthly_work_hours!$A:$A,'FTE 계산'!$A156,monthly_work_hours!$F:$F,'FTE 계산'!H$2)) - (SUMIFS(monthly_work_hours!$J:$J,monthly_work_hours!$A:$A,'FTE 계산'!$A156,monthly_work_hours!$F:$F,'FTE 계산'!H$2))</f>
        <v>18</v>
      </c>
      <c r="I156">
        <f>(SUMIFS(monthly_work_hours!$G:$G,monthly_work_hours!$A:$A,'FTE 계산'!$A156,monthly_work_hours!$F:$F,'FTE 계산'!I$2)) - (SUMIFS(monthly_work_hours!$J:$J,monthly_work_hours!$A:$A,'FTE 계산'!$A156,monthly_work_hours!$F:$F,'FTE 계산'!I$2))</f>
        <v>17</v>
      </c>
      <c r="J156">
        <f>(SUMIFS(monthly_work_hours!$G:$G,monthly_work_hours!$A:$A,'FTE 계산'!$A156,monthly_work_hours!$F:$F,'FTE 계산'!J$2)) - (SUMIFS(monthly_work_hours!$J:$J,monthly_work_hours!$A:$A,'FTE 계산'!$A156,monthly_work_hours!$F:$F,'FTE 계산'!J$2))</f>
        <v>13</v>
      </c>
    </row>
    <row r="157" spans="1:10">
      <c r="A157">
        <v>1223008</v>
      </c>
      <c r="B157" t="str">
        <f>_xlfn.XLOOKUP(A157,monthly_work_hours!A:A,monthly_work_hours!B:B)</f>
        <v>한성연</v>
      </c>
      <c r="C157" t="str">
        <f>_xlfn.XLOOKUP(A157,monthly_work_hours!A:A,monthly_work_hours!C:C)</f>
        <v>SL구매팀</v>
      </c>
      <c r="D157" t="str">
        <f>_xlfn.XLOOKUP(A157,monthly_work_hours!A:A,monthly_work_hours!D:D)</f>
        <v>선임</v>
      </c>
      <c r="E157">
        <f>SUMIFS(monthly_work_hours!$K:$K,monthly_work_hours!$A:$A,'FTE 계산'!$A157,monthly_work_hours!$F:$F,'FTE 계산'!E$2)</f>
        <v>175.6</v>
      </c>
      <c r="F157">
        <f>SUMIFS(monthly_work_hours!$K:$K,monthly_work_hours!$A:$A,'FTE 계산'!$A157,monthly_work_hours!$F:$F,'FTE 계산'!F$2)</f>
        <v>186.4</v>
      </c>
      <c r="G157">
        <f>SUMIFS(monthly_work_hours!$K:$K,monthly_work_hours!$A:$A,'FTE 계산'!$A157,monthly_work_hours!$F:$F,'FTE 계산'!G$2)</f>
        <v>168.3</v>
      </c>
      <c r="H157">
        <f>(SUMIFS(monthly_work_hours!$G:$G,monthly_work_hours!$A:$A,'FTE 계산'!$A157,monthly_work_hours!$F:$F,'FTE 계산'!H$2)) - (SUMIFS(monthly_work_hours!$J:$J,monthly_work_hours!$A:$A,'FTE 계산'!$A157,monthly_work_hours!$F:$F,'FTE 계산'!H$2))</f>
        <v>18</v>
      </c>
      <c r="I157">
        <f>(SUMIFS(monthly_work_hours!$G:$G,monthly_work_hours!$A:$A,'FTE 계산'!$A157,monthly_work_hours!$F:$F,'FTE 계산'!I$2)) - (SUMIFS(monthly_work_hours!$J:$J,monthly_work_hours!$A:$A,'FTE 계산'!$A157,monthly_work_hours!$F:$F,'FTE 계산'!I$2))</f>
        <v>18</v>
      </c>
      <c r="J157">
        <f>(SUMIFS(monthly_work_hours!$G:$G,monthly_work_hours!$A:$A,'FTE 계산'!$A157,monthly_work_hours!$F:$F,'FTE 계산'!J$2)) - (SUMIFS(monthly_work_hours!$J:$J,monthly_work_hours!$A:$A,'FTE 계산'!$A157,monthly_work_hours!$F:$F,'FTE 계산'!J$2))</f>
        <v>16</v>
      </c>
    </row>
    <row r="158" spans="1:10">
      <c r="A158">
        <v>1223009</v>
      </c>
      <c r="B158" t="str">
        <f>_xlfn.XLOOKUP(A158,monthly_work_hours!A:A,monthly_work_hours!B:B)</f>
        <v>박성우</v>
      </c>
      <c r="C158" t="str">
        <f>_xlfn.XLOOKUP(A158,monthly_work_hours!A:A,monthly_work_hours!C:C)</f>
        <v>SL생산팀</v>
      </c>
      <c r="D158" t="str">
        <f>_xlfn.XLOOKUP(A158,monthly_work_hours!A:A,monthly_work_hours!D:D)</f>
        <v>선임</v>
      </c>
      <c r="E158">
        <f>SUMIFS(monthly_work_hours!$K:$K,monthly_work_hours!$A:$A,'FTE 계산'!$A158,monthly_work_hours!$F:$F,'FTE 계산'!E$2)</f>
        <v>140.6</v>
      </c>
      <c r="F158">
        <f>SUMIFS(monthly_work_hours!$K:$K,monthly_work_hours!$A:$A,'FTE 계산'!$A158,monthly_work_hours!$F:$F,'FTE 계산'!F$2)</f>
        <v>144.4</v>
      </c>
      <c r="G158">
        <f>SUMIFS(monthly_work_hours!$K:$K,monthly_work_hours!$A:$A,'FTE 계산'!$A158,monthly_work_hours!$F:$F,'FTE 계산'!G$2)</f>
        <v>78</v>
      </c>
      <c r="H158">
        <f>(SUMIFS(monthly_work_hours!$G:$G,monthly_work_hours!$A:$A,'FTE 계산'!$A158,monthly_work_hours!$F:$F,'FTE 계산'!H$2)) - (SUMIFS(monthly_work_hours!$J:$J,monthly_work_hours!$A:$A,'FTE 계산'!$A158,monthly_work_hours!$F:$F,'FTE 계산'!H$2))</f>
        <v>18</v>
      </c>
      <c r="I158">
        <f>(SUMIFS(monthly_work_hours!$G:$G,monthly_work_hours!$A:$A,'FTE 계산'!$A158,monthly_work_hours!$F:$F,'FTE 계산'!I$2)) - (SUMIFS(monthly_work_hours!$J:$J,monthly_work_hours!$A:$A,'FTE 계산'!$A158,monthly_work_hours!$F:$F,'FTE 계산'!I$2))</f>
        <v>18</v>
      </c>
      <c r="J158">
        <f>(SUMIFS(monthly_work_hours!$G:$G,monthly_work_hours!$A:$A,'FTE 계산'!$A158,monthly_work_hours!$F:$F,'FTE 계산'!J$2)) - (SUMIFS(monthly_work_hours!$J:$J,monthly_work_hours!$A:$A,'FTE 계산'!$A158,monthly_work_hours!$F:$F,'FTE 계산'!J$2))</f>
        <v>15</v>
      </c>
    </row>
    <row r="159" spans="1:10">
      <c r="A159">
        <v>1223010</v>
      </c>
      <c r="B159" t="str">
        <f>_xlfn.XLOOKUP(A159,monthly_work_hours!A:A,monthly_work_hours!B:B)</f>
        <v>류동성</v>
      </c>
      <c r="C159" t="str">
        <f>_xlfn.XLOOKUP(A159,monthly_work_hours!A:A,monthly_work_hours!C:C)</f>
        <v>상생협력팀</v>
      </c>
      <c r="D159" t="str">
        <f>_xlfn.XLOOKUP(A159,monthly_work_hours!A:A,monthly_work_hours!D:D)</f>
        <v>사원</v>
      </c>
      <c r="E159">
        <f>SUMIFS(monthly_work_hours!$K:$K,monthly_work_hours!$A:$A,'FTE 계산'!$A159,monthly_work_hours!$F:$F,'FTE 계산'!E$2)</f>
        <v>211.2</v>
      </c>
      <c r="F159">
        <f>SUMIFS(monthly_work_hours!$K:$K,monthly_work_hours!$A:$A,'FTE 계산'!$A159,monthly_work_hours!$F:$F,'FTE 계산'!F$2)</f>
        <v>212.1</v>
      </c>
      <c r="G159">
        <f>SUMIFS(monthly_work_hours!$K:$K,monthly_work_hours!$A:$A,'FTE 계산'!$A159,monthly_work_hours!$F:$F,'FTE 계산'!G$2)</f>
        <v>164.9</v>
      </c>
      <c r="H159">
        <f>(SUMIFS(monthly_work_hours!$G:$G,monthly_work_hours!$A:$A,'FTE 계산'!$A159,monthly_work_hours!$F:$F,'FTE 계산'!H$2)) - (SUMIFS(monthly_work_hours!$J:$J,monthly_work_hours!$A:$A,'FTE 계산'!$A159,monthly_work_hours!$F:$F,'FTE 계산'!H$2))</f>
        <v>17</v>
      </c>
      <c r="I159">
        <f>(SUMIFS(monthly_work_hours!$G:$G,monthly_work_hours!$A:$A,'FTE 계산'!$A159,monthly_work_hours!$F:$F,'FTE 계산'!I$2)) - (SUMIFS(monthly_work_hours!$J:$J,monthly_work_hours!$A:$A,'FTE 계산'!$A159,monthly_work_hours!$F:$F,'FTE 계산'!I$2))</f>
        <v>19</v>
      </c>
      <c r="J159">
        <f>(SUMIFS(monthly_work_hours!$G:$G,monthly_work_hours!$A:$A,'FTE 계산'!$A159,monthly_work_hours!$F:$F,'FTE 계산'!J$2)) - (SUMIFS(monthly_work_hours!$J:$J,monthly_work_hours!$A:$A,'FTE 계산'!$A159,monthly_work_hours!$F:$F,'FTE 계산'!J$2))</f>
        <v>16</v>
      </c>
    </row>
    <row r="160" spans="1:10">
      <c r="A160">
        <v>1223011</v>
      </c>
      <c r="B160" t="str">
        <f>_xlfn.XLOOKUP(A160,monthly_work_hours!A:A,monthly_work_hours!B:B)</f>
        <v>정현준</v>
      </c>
      <c r="C160" t="str">
        <f>_xlfn.XLOOKUP(A160,monthly_work_hours!A:A,monthly_work_hours!C:C)</f>
        <v>관체사업팀</v>
      </c>
      <c r="D160" t="str">
        <f>_xlfn.XLOOKUP(A160,monthly_work_hours!A:A,monthly_work_hours!D:D)</f>
        <v>선임</v>
      </c>
      <c r="E160">
        <f>SUMIFS(monthly_work_hours!$K:$K,monthly_work_hours!$A:$A,'FTE 계산'!$A160,monthly_work_hours!$F:$F,'FTE 계산'!E$2)</f>
        <v>210.1</v>
      </c>
      <c r="F160">
        <f>SUMIFS(monthly_work_hours!$K:$K,monthly_work_hours!$A:$A,'FTE 계산'!$A160,monthly_work_hours!$F:$F,'FTE 계산'!F$2)</f>
        <v>204.9</v>
      </c>
      <c r="G160">
        <f>SUMIFS(monthly_work_hours!$K:$K,monthly_work_hours!$A:$A,'FTE 계산'!$A160,monthly_work_hours!$F:$F,'FTE 계산'!G$2)</f>
        <v>163.1</v>
      </c>
      <c r="H160">
        <f>(SUMIFS(monthly_work_hours!$G:$G,monthly_work_hours!$A:$A,'FTE 계산'!$A160,monthly_work_hours!$F:$F,'FTE 계산'!H$2)) - (SUMIFS(monthly_work_hours!$J:$J,monthly_work_hours!$A:$A,'FTE 계산'!$A160,monthly_work_hours!$F:$F,'FTE 계산'!H$2))</f>
        <v>18</v>
      </c>
      <c r="I160">
        <f>(SUMIFS(monthly_work_hours!$G:$G,monthly_work_hours!$A:$A,'FTE 계산'!$A160,monthly_work_hours!$F:$F,'FTE 계산'!I$2)) - (SUMIFS(monthly_work_hours!$J:$J,monthly_work_hours!$A:$A,'FTE 계산'!$A160,monthly_work_hours!$F:$F,'FTE 계산'!I$2))</f>
        <v>18</v>
      </c>
      <c r="J160">
        <f>(SUMIFS(monthly_work_hours!$G:$G,monthly_work_hours!$A:$A,'FTE 계산'!$A160,monthly_work_hours!$F:$F,'FTE 계산'!J$2)) - (SUMIFS(monthly_work_hours!$J:$J,monthly_work_hours!$A:$A,'FTE 계산'!$A160,monthly_work_hours!$F:$F,'FTE 계산'!J$2))</f>
        <v>16</v>
      </c>
    </row>
    <row r="161" spans="1:10">
      <c r="A161">
        <v>1223012</v>
      </c>
      <c r="B161" t="str">
        <f>_xlfn.XLOOKUP(A161,monthly_work_hours!A:A,monthly_work_hours!B:B)</f>
        <v>이재혁</v>
      </c>
      <c r="C161" t="str">
        <f>_xlfn.XLOOKUP(A161,monthly_work_hours!A:A,monthly_work_hours!C:C)</f>
        <v>FL품질보증팀</v>
      </c>
      <c r="D161" t="str">
        <f>_xlfn.XLOOKUP(A161,monthly_work_hours!A:A,monthly_work_hours!D:D)</f>
        <v>선임</v>
      </c>
      <c r="E161">
        <f>SUMIFS(monthly_work_hours!$K:$K,monthly_work_hours!$A:$A,'FTE 계산'!$A161,monthly_work_hours!$F:$F,'FTE 계산'!E$2)</f>
        <v>159.80000000000001</v>
      </c>
      <c r="F161">
        <f>SUMIFS(monthly_work_hours!$K:$K,monthly_work_hours!$A:$A,'FTE 계산'!$A161,monthly_work_hours!$F:$F,'FTE 계산'!F$2)</f>
        <v>132.5</v>
      </c>
      <c r="G161">
        <f>SUMIFS(monthly_work_hours!$K:$K,monthly_work_hours!$A:$A,'FTE 계산'!$A161,monthly_work_hours!$F:$F,'FTE 계산'!G$2)</f>
        <v>127.8</v>
      </c>
      <c r="H161">
        <f>(SUMIFS(monthly_work_hours!$G:$G,monthly_work_hours!$A:$A,'FTE 계산'!$A161,monthly_work_hours!$F:$F,'FTE 계산'!H$2)) - (SUMIFS(monthly_work_hours!$J:$J,monthly_work_hours!$A:$A,'FTE 계산'!$A161,monthly_work_hours!$F:$F,'FTE 계산'!H$2))</f>
        <v>18</v>
      </c>
      <c r="I161">
        <f>(SUMIFS(monthly_work_hours!$G:$G,monthly_work_hours!$A:$A,'FTE 계산'!$A161,monthly_work_hours!$F:$F,'FTE 계산'!I$2)) - (SUMIFS(monthly_work_hours!$J:$J,monthly_work_hours!$A:$A,'FTE 계산'!$A161,monthly_work_hours!$F:$F,'FTE 계산'!I$2))</f>
        <v>17</v>
      </c>
      <c r="J161">
        <f>(SUMIFS(monthly_work_hours!$G:$G,monthly_work_hours!$A:$A,'FTE 계산'!$A161,monthly_work_hours!$F:$F,'FTE 계산'!J$2)) - (SUMIFS(monthly_work_hours!$J:$J,monthly_work_hours!$A:$A,'FTE 계산'!$A161,monthly_work_hours!$F:$F,'FTE 계산'!J$2))</f>
        <v>16</v>
      </c>
    </row>
    <row r="162" spans="1:10">
      <c r="A162">
        <v>1223013</v>
      </c>
      <c r="B162" t="str">
        <f>_xlfn.XLOOKUP(A162,monthly_work_hours!A:A,monthly_work_hours!B:B)</f>
        <v>서지연</v>
      </c>
      <c r="C162" t="str">
        <f>_xlfn.XLOOKUP(A162,monthly_work_hours!A:A,monthly_work_hours!C:C)</f>
        <v>SCM팀</v>
      </c>
      <c r="D162" t="str">
        <f>_xlfn.XLOOKUP(A162,monthly_work_hours!A:A,monthly_work_hours!D:D)</f>
        <v>선임</v>
      </c>
      <c r="E162">
        <f>SUMIFS(monthly_work_hours!$K:$K,monthly_work_hours!$A:$A,'FTE 계산'!$A162,monthly_work_hours!$F:$F,'FTE 계산'!E$2)</f>
        <v>166</v>
      </c>
      <c r="F162">
        <f>SUMIFS(monthly_work_hours!$K:$K,monthly_work_hours!$A:$A,'FTE 계산'!$A162,monthly_work_hours!$F:$F,'FTE 계산'!F$2)</f>
        <v>164.4</v>
      </c>
      <c r="G162">
        <f>SUMIFS(monthly_work_hours!$K:$K,monthly_work_hours!$A:$A,'FTE 계산'!$A162,monthly_work_hours!$F:$F,'FTE 계산'!G$2)</f>
        <v>147.80000000000001</v>
      </c>
      <c r="H162">
        <f>(SUMIFS(monthly_work_hours!$G:$G,monthly_work_hours!$A:$A,'FTE 계산'!$A162,monthly_work_hours!$F:$F,'FTE 계산'!H$2)) - (SUMIFS(monthly_work_hours!$J:$J,monthly_work_hours!$A:$A,'FTE 계산'!$A162,monthly_work_hours!$F:$F,'FTE 계산'!H$2))</f>
        <v>18</v>
      </c>
      <c r="I162">
        <f>(SUMIFS(monthly_work_hours!$G:$G,monthly_work_hours!$A:$A,'FTE 계산'!$A162,monthly_work_hours!$F:$F,'FTE 계산'!I$2)) - (SUMIFS(monthly_work_hours!$J:$J,monthly_work_hours!$A:$A,'FTE 계산'!$A162,monthly_work_hours!$F:$F,'FTE 계산'!I$2))</f>
        <v>19</v>
      </c>
      <c r="J162">
        <f>(SUMIFS(monthly_work_hours!$G:$G,monthly_work_hours!$A:$A,'FTE 계산'!$A162,monthly_work_hours!$F:$F,'FTE 계산'!J$2)) - (SUMIFS(monthly_work_hours!$J:$J,monthly_work_hours!$A:$A,'FTE 계산'!$A162,monthly_work_hours!$F:$F,'FTE 계산'!J$2))</f>
        <v>17</v>
      </c>
    </row>
    <row r="163" spans="1:10">
      <c r="A163">
        <v>1223022</v>
      </c>
      <c r="B163" t="str">
        <f>_xlfn.XLOOKUP(A163,monthly_work_hours!A:A,monthly_work_hours!B:B)</f>
        <v>박해남</v>
      </c>
      <c r="C163" t="str">
        <f>_xlfn.XLOOKUP(A163,monthly_work_hours!A:A,monthly_work_hours!C:C)</f>
        <v>FL개발팀</v>
      </c>
      <c r="D163" t="str">
        <f>_xlfn.XLOOKUP(A163,monthly_work_hours!A:A,monthly_work_hours!D:D)</f>
        <v>사원</v>
      </c>
      <c r="E163">
        <f>SUMIFS(monthly_work_hours!$K:$K,monthly_work_hours!$A:$A,'FTE 계산'!$A163,monthly_work_hours!$F:$F,'FTE 계산'!E$2)</f>
        <v>130.30000000000001</v>
      </c>
      <c r="F163">
        <f>SUMIFS(monthly_work_hours!$K:$K,monthly_work_hours!$A:$A,'FTE 계산'!$A163,monthly_work_hours!$F:$F,'FTE 계산'!F$2)</f>
        <v>153.4</v>
      </c>
      <c r="G163">
        <f>SUMIFS(monthly_work_hours!$K:$K,monthly_work_hours!$A:$A,'FTE 계산'!$A163,monthly_work_hours!$F:$F,'FTE 계산'!G$2)</f>
        <v>114</v>
      </c>
      <c r="H163">
        <f>(SUMIFS(monthly_work_hours!$G:$G,monthly_work_hours!$A:$A,'FTE 계산'!$A163,monthly_work_hours!$F:$F,'FTE 계산'!H$2)) - (SUMIFS(monthly_work_hours!$J:$J,monthly_work_hours!$A:$A,'FTE 계산'!$A163,monthly_work_hours!$F:$F,'FTE 계산'!H$2))</f>
        <v>13</v>
      </c>
      <c r="I163">
        <f>(SUMIFS(monthly_work_hours!$G:$G,monthly_work_hours!$A:$A,'FTE 계산'!$A163,monthly_work_hours!$F:$F,'FTE 계산'!I$2)) - (SUMIFS(monthly_work_hours!$J:$J,monthly_work_hours!$A:$A,'FTE 계산'!$A163,monthly_work_hours!$F:$F,'FTE 계산'!I$2))</f>
        <v>16</v>
      </c>
      <c r="J163">
        <f>(SUMIFS(monthly_work_hours!$G:$G,monthly_work_hours!$A:$A,'FTE 계산'!$A163,monthly_work_hours!$F:$F,'FTE 계산'!J$2)) - (SUMIFS(monthly_work_hours!$J:$J,monthly_work_hours!$A:$A,'FTE 계산'!$A163,monthly_work_hours!$F:$F,'FTE 계산'!J$2))</f>
        <v>14</v>
      </c>
    </row>
    <row r="164" spans="1:10">
      <c r="A164">
        <v>1223024</v>
      </c>
      <c r="B164" t="str">
        <f>_xlfn.XLOOKUP(A164,monthly_work_hours!A:A,monthly_work_hours!B:B)</f>
        <v>김경훈</v>
      </c>
      <c r="C164" t="str">
        <f>_xlfn.XLOOKUP(A164,monthly_work_hours!A:A,monthly_work_hours!C:C)</f>
        <v>SL생산기술팀</v>
      </c>
      <c r="D164" t="str">
        <f>_xlfn.XLOOKUP(A164,monthly_work_hours!A:A,monthly_work_hours!D:D)</f>
        <v>사원</v>
      </c>
      <c r="E164">
        <f>SUMIFS(monthly_work_hours!$K:$K,monthly_work_hours!$A:$A,'FTE 계산'!$A164,monthly_work_hours!$F:$F,'FTE 계산'!E$2)</f>
        <v>54.2</v>
      </c>
      <c r="F164">
        <f>SUMIFS(monthly_work_hours!$K:$K,monthly_work_hours!$A:$A,'FTE 계산'!$A164,monthly_work_hours!$F:$F,'FTE 계산'!F$2)</f>
        <v>52.3</v>
      </c>
      <c r="G164">
        <f>SUMIFS(monthly_work_hours!$K:$K,monthly_work_hours!$A:$A,'FTE 계산'!$A164,monthly_work_hours!$F:$F,'FTE 계산'!G$2)</f>
        <v>0</v>
      </c>
      <c r="H164">
        <f>(SUMIFS(monthly_work_hours!$G:$G,monthly_work_hours!$A:$A,'FTE 계산'!$A164,monthly_work_hours!$F:$F,'FTE 계산'!H$2)) - (SUMIFS(monthly_work_hours!$J:$J,monthly_work_hours!$A:$A,'FTE 계산'!$A164,monthly_work_hours!$F:$F,'FTE 계산'!H$2))</f>
        <v>10</v>
      </c>
      <c r="I164">
        <f>(SUMIFS(monthly_work_hours!$G:$G,monthly_work_hours!$A:$A,'FTE 계산'!$A164,monthly_work_hours!$F:$F,'FTE 계산'!I$2)) - (SUMIFS(monthly_work_hours!$J:$J,monthly_work_hours!$A:$A,'FTE 계산'!$A164,monthly_work_hours!$F:$F,'FTE 계산'!I$2))</f>
        <v>8</v>
      </c>
      <c r="J164">
        <f>(SUMIFS(monthly_work_hours!$G:$G,monthly_work_hours!$A:$A,'FTE 계산'!$A164,monthly_work_hours!$F:$F,'FTE 계산'!J$2)) - (SUMIFS(monthly_work_hours!$J:$J,monthly_work_hours!$A:$A,'FTE 계산'!$A164,monthly_work_hours!$F:$F,'FTE 계산'!J$2))</f>
        <v>0</v>
      </c>
    </row>
    <row r="165" spans="1:10">
      <c r="A165">
        <v>1223025</v>
      </c>
      <c r="B165" t="str">
        <f>_xlfn.XLOOKUP(A165,monthly_work_hours!A:A,monthly_work_hours!B:B)</f>
        <v>김현진</v>
      </c>
      <c r="C165" t="str">
        <f>_xlfn.XLOOKUP(A165,monthly_work_hours!A:A,monthly_work_hours!C:C)</f>
        <v>SL설계팀</v>
      </c>
      <c r="D165" t="str">
        <f>_xlfn.XLOOKUP(A165,monthly_work_hours!A:A,monthly_work_hours!D:D)</f>
        <v>사원</v>
      </c>
      <c r="E165">
        <f>SUMIFS(monthly_work_hours!$K:$K,monthly_work_hours!$A:$A,'FTE 계산'!$A165,monthly_work_hours!$F:$F,'FTE 계산'!E$2)</f>
        <v>113.4</v>
      </c>
      <c r="F165">
        <f>SUMIFS(monthly_work_hours!$K:$K,monthly_work_hours!$A:$A,'FTE 계산'!$A165,monthly_work_hours!$F:$F,'FTE 계산'!F$2)</f>
        <v>83.4</v>
      </c>
      <c r="G165">
        <f>SUMIFS(monthly_work_hours!$K:$K,monthly_work_hours!$A:$A,'FTE 계산'!$A165,monthly_work_hours!$F:$F,'FTE 계산'!G$2)</f>
        <v>32.799999999999997</v>
      </c>
      <c r="H165">
        <f>(SUMIFS(monthly_work_hours!$G:$G,monthly_work_hours!$A:$A,'FTE 계산'!$A165,monthly_work_hours!$F:$F,'FTE 계산'!H$2)) - (SUMIFS(monthly_work_hours!$J:$J,monthly_work_hours!$A:$A,'FTE 계산'!$A165,monthly_work_hours!$F:$F,'FTE 계산'!H$2))</f>
        <v>12</v>
      </c>
      <c r="I165">
        <f>(SUMIFS(monthly_work_hours!$G:$G,monthly_work_hours!$A:$A,'FTE 계산'!$A165,monthly_work_hours!$F:$F,'FTE 계산'!I$2)) - (SUMIFS(monthly_work_hours!$J:$J,monthly_work_hours!$A:$A,'FTE 계산'!$A165,monthly_work_hours!$F:$F,'FTE 계산'!I$2))</f>
        <v>10</v>
      </c>
      <c r="J165">
        <f>(SUMIFS(monthly_work_hours!$G:$G,monthly_work_hours!$A:$A,'FTE 계산'!$A165,monthly_work_hours!$F:$F,'FTE 계산'!J$2)) - (SUMIFS(monthly_work_hours!$J:$J,monthly_work_hours!$A:$A,'FTE 계산'!$A165,monthly_work_hours!$F:$F,'FTE 계산'!J$2))</f>
        <v>4</v>
      </c>
    </row>
    <row r="166" spans="1:10">
      <c r="A166">
        <v>1223029</v>
      </c>
      <c r="B166" t="str">
        <f>_xlfn.XLOOKUP(A166,monthly_work_hours!A:A,monthly_work_hours!B:B)</f>
        <v>백지연</v>
      </c>
      <c r="C166" t="str">
        <f>_xlfn.XLOOKUP(A166,monthly_work_hours!A:A,monthly_work_hours!C:C)</f>
        <v>열관리설계팀</v>
      </c>
      <c r="D166" t="str">
        <f>_xlfn.XLOOKUP(A166,monthly_work_hours!A:A,monthly_work_hours!D:D)</f>
        <v>사원</v>
      </c>
      <c r="E166">
        <f>SUMIFS(monthly_work_hours!$K:$K,monthly_work_hours!$A:$A,'FTE 계산'!$A166,monthly_work_hours!$F:$F,'FTE 계산'!E$2)</f>
        <v>172.5</v>
      </c>
      <c r="F166">
        <f>SUMIFS(monthly_work_hours!$K:$K,monthly_work_hours!$A:$A,'FTE 계산'!$A166,monthly_work_hours!$F:$F,'FTE 계산'!F$2)</f>
        <v>171.2</v>
      </c>
      <c r="G166">
        <f>SUMIFS(monthly_work_hours!$K:$K,monthly_work_hours!$A:$A,'FTE 계산'!$A166,monthly_work_hours!$F:$F,'FTE 계산'!G$2)</f>
        <v>131.19999999999999</v>
      </c>
      <c r="H166">
        <f>(SUMIFS(monthly_work_hours!$G:$G,monthly_work_hours!$A:$A,'FTE 계산'!$A166,monthly_work_hours!$F:$F,'FTE 계산'!H$2)) - (SUMIFS(monthly_work_hours!$J:$J,monthly_work_hours!$A:$A,'FTE 계산'!$A166,monthly_work_hours!$F:$F,'FTE 계산'!H$2))</f>
        <v>19</v>
      </c>
      <c r="I166">
        <f>(SUMIFS(monthly_work_hours!$G:$G,monthly_work_hours!$A:$A,'FTE 계산'!$A166,monthly_work_hours!$F:$F,'FTE 계산'!I$2)) - (SUMIFS(monthly_work_hours!$J:$J,monthly_work_hours!$A:$A,'FTE 계산'!$A166,monthly_work_hours!$F:$F,'FTE 계산'!I$2))</f>
        <v>18</v>
      </c>
      <c r="J166">
        <f>(SUMIFS(monthly_work_hours!$G:$G,monthly_work_hours!$A:$A,'FTE 계산'!$A166,monthly_work_hours!$F:$F,'FTE 계산'!J$2)) - (SUMIFS(monthly_work_hours!$J:$J,monthly_work_hours!$A:$A,'FTE 계산'!$A166,monthly_work_hours!$F:$F,'FTE 계산'!J$2))</f>
        <v>15</v>
      </c>
    </row>
    <row r="167" spans="1:10">
      <c r="A167">
        <v>1223031</v>
      </c>
      <c r="B167" t="str">
        <f>_xlfn.XLOOKUP(A167,monthly_work_hours!A:A,monthly_work_hours!B:B)</f>
        <v>심훈섭</v>
      </c>
      <c r="C167" t="str">
        <f>_xlfn.XLOOKUP(A167,monthly_work_hours!A:A,monthly_work_hours!C:C)</f>
        <v>SL개발팀</v>
      </c>
      <c r="D167" t="str">
        <f>_xlfn.XLOOKUP(A167,monthly_work_hours!A:A,monthly_work_hours!D:D)</f>
        <v>선임</v>
      </c>
      <c r="E167">
        <f>SUMIFS(monthly_work_hours!$K:$K,monthly_work_hours!$A:$A,'FTE 계산'!$A167,monthly_work_hours!$F:$F,'FTE 계산'!E$2)</f>
        <v>107.8</v>
      </c>
      <c r="F167">
        <f>SUMIFS(monthly_work_hours!$K:$K,monthly_work_hours!$A:$A,'FTE 계산'!$A167,monthly_work_hours!$F:$F,'FTE 계산'!F$2)</f>
        <v>177.5</v>
      </c>
      <c r="G167">
        <f>SUMIFS(monthly_work_hours!$K:$K,monthly_work_hours!$A:$A,'FTE 계산'!$A167,monthly_work_hours!$F:$F,'FTE 계산'!G$2)</f>
        <v>130.9</v>
      </c>
      <c r="H167">
        <f>(SUMIFS(monthly_work_hours!$G:$G,monthly_work_hours!$A:$A,'FTE 계산'!$A167,monthly_work_hours!$F:$F,'FTE 계산'!H$2)) - (SUMIFS(monthly_work_hours!$J:$J,monthly_work_hours!$A:$A,'FTE 계산'!$A167,monthly_work_hours!$F:$F,'FTE 계산'!H$2))</f>
        <v>12</v>
      </c>
      <c r="I167">
        <f>(SUMIFS(monthly_work_hours!$G:$G,monthly_work_hours!$A:$A,'FTE 계산'!$A167,monthly_work_hours!$F:$F,'FTE 계산'!I$2)) - (SUMIFS(monthly_work_hours!$J:$J,monthly_work_hours!$A:$A,'FTE 계산'!$A167,monthly_work_hours!$F:$F,'FTE 계산'!I$2))</f>
        <v>19</v>
      </c>
      <c r="J167">
        <f>(SUMIFS(monthly_work_hours!$G:$G,monthly_work_hours!$A:$A,'FTE 계산'!$A167,monthly_work_hours!$F:$F,'FTE 계산'!J$2)) - (SUMIFS(monthly_work_hours!$J:$J,monthly_work_hours!$A:$A,'FTE 계산'!$A167,monthly_work_hours!$F:$F,'FTE 계산'!J$2))</f>
        <v>15</v>
      </c>
    </row>
    <row r="168" spans="1:10">
      <c r="A168">
        <v>1223032</v>
      </c>
      <c r="B168" t="str">
        <f>_xlfn.XLOOKUP(A168,monthly_work_hours!A:A,monthly_work_hours!B:B)</f>
        <v>박진표</v>
      </c>
      <c r="C168" t="str">
        <f>_xlfn.XLOOKUP(A168,monthly_work_hours!A:A,monthly_work_hours!C:C)</f>
        <v>SL품질보증팀</v>
      </c>
      <c r="D168" t="str">
        <f>_xlfn.XLOOKUP(A168,monthly_work_hours!A:A,monthly_work_hours!D:D)</f>
        <v>선임</v>
      </c>
      <c r="E168">
        <f>SUMIFS(monthly_work_hours!$K:$K,monthly_work_hours!$A:$A,'FTE 계산'!$A168,monthly_work_hours!$F:$F,'FTE 계산'!E$2)</f>
        <v>104.9</v>
      </c>
      <c r="F168">
        <f>SUMIFS(monthly_work_hours!$K:$K,monthly_work_hours!$A:$A,'FTE 계산'!$A168,monthly_work_hours!$F:$F,'FTE 계산'!F$2)</f>
        <v>88.5</v>
      </c>
      <c r="G168">
        <f>SUMIFS(monthly_work_hours!$K:$K,monthly_work_hours!$A:$A,'FTE 계산'!$A168,monthly_work_hours!$F:$F,'FTE 계산'!G$2)</f>
        <v>97.5</v>
      </c>
      <c r="H168">
        <f>(SUMIFS(monthly_work_hours!$G:$G,monthly_work_hours!$A:$A,'FTE 계산'!$A168,monthly_work_hours!$F:$F,'FTE 계산'!H$2)) - (SUMIFS(monthly_work_hours!$J:$J,monthly_work_hours!$A:$A,'FTE 계산'!$A168,monthly_work_hours!$F:$F,'FTE 계산'!H$2))</f>
        <v>14</v>
      </c>
      <c r="I168">
        <f>(SUMIFS(monthly_work_hours!$G:$G,monthly_work_hours!$A:$A,'FTE 계산'!$A168,monthly_work_hours!$F:$F,'FTE 계산'!I$2)) - (SUMIFS(monthly_work_hours!$J:$J,monthly_work_hours!$A:$A,'FTE 계산'!$A168,monthly_work_hours!$F:$F,'FTE 계산'!I$2))</f>
        <v>13</v>
      </c>
      <c r="J168">
        <f>(SUMIFS(monthly_work_hours!$G:$G,monthly_work_hours!$A:$A,'FTE 계산'!$A168,monthly_work_hours!$F:$F,'FTE 계산'!J$2)) - (SUMIFS(monthly_work_hours!$J:$J,monthly_work_hours!$A:$A,'FTE 계산'!$A168,monthly_work_hours!$F:$F,'FTE 계산'!J$2))</f>
        <v>14</v>
      </c>
    </row>
    <row r="169" spans="1:10">
      <c r="A169">
        <v>1223033</v>
      </c>
      <c r="B169" t="str">
        <f>_xlfn.XLOOKUP(A169,monthly_work_hours!A:A,monthly_work_hours!B:B)</f>
        <v>김태훈</v>
      </c>
      <c r="C169" t="str">
        <f>_xlfn.XLOOKUP(A169,monthly_work_hours!A:A,monthly_work_hours!C:C)</f>
        <v>FL개발팀</v>
      </c>
      <c r="D169" t="str">
        <f>_xlfn.XLOOKUP(A169,monthly_work_hours!A:A,monthly_work_hours!D:D)</f>
        <v>선임</v>
      </c>
      <c r="E169">
        <f>SUMIFS(monthly_work_hours!$K:$K,monthly_work_hours!$A:$A,'FTE 계산'!$A169,monthly_work_hours!$F:$F,'FTE 계산'!E$2)</f>
        <v>171</v>
      </c>
      <c r="F169">
        <f>SUMIFS(monthly_work_hours!$K:$K,monthly_work_hours!$A:$A,'FTE 계산'!$A169,monthly_work_hours!$F:$F,'FTE 계산'!F$2)</f>
        <v>132.4</v>
      </c>
      <c r="G169">
        <f>SUMIFS(monthly_work_hours!$K:$K,monthly_work_hours!$A:$A,'FTE 계산'!$A169,monthly_work_hours!$F:$F,'FTE 계산'!G$2)</f>
        <v>167</v>
      </c>
      <c r="H169">
        <f>(SUMIFS(monthly_work_hours!$G:$G,monthly_work_hours!$A:$A,'FTE 계산'!$A169,monthly_work_hours!$F:$F,'FTE 계산'!H$2)) - (SUMIFS(monthly_work_hours!$J:$J,monthly_work_hours!$A:$A,'FTE 계산'!$A169,monthly_work_hours!$F:$F,'FTE 계산'!H$2))</f>
        <v>18</v>
      </c>
      <c r="I169">
        <f>(SUMIFS(monthly_work_hours!$G:$G,monthly_work_hours!$A:$A,'FTE 계산'!$A169,monthly_work_hours!$F:$F,'FTE 계산'!I$2)) - (SUMIFS(monthly_work_hours!$J:$J,monthly_work_hours!$A:$A,'FTE 계산'!$A169,monthly_work_hours!$F:$F,'FTE 계산'!I$2))</f>
        <v>14</v>
      </c>
      <c r="J169">
        <f>(SUMIFS(monthly_work_hours!$G:$G,monthly_work_hours!$A:$A,'FTE 계산'!$A169,monthly_work_hours!$F:$F,'FTE 계산'!J$2)) - (SUMIFS(monthly_work_hours!$J:$J,monthly_work_hours!$A:$A,'FTE 계산'!$A169,monthly_work_hours!$F:$F,'FTE 계산'!J$2))</f>
        <v>16</v>
      </c>
    </row>
    <row r="170" spans="1:10">
      <c r="A170">
        <v>1223034</v>
      </c>
      <c r="B170" t="str">
        <f>_xlfn.XLOOKUP(A170,monthly_work_hours!A:A,monthly_work_hours!B:B)</f>
        <v>김동우</v>
      </c>
      <c r="C170" t="str">
        <f>_xlfn.XLOOKUP(A170,monthly_work_hours!A:A,monthly_work_hours!C:C)</f>
        <v>SCM팀</v>
      </c>
      <c r="D170" t="str">
        <f>_xlfn.XLOOKUP(A170,monthly_work_hours!A:A,monthly_work_hours!D:D)</f>
        <v>선임</v>
      </c>
      <c r="E170">
        <f>SUMIFS(monthly_work_hours!$K:$K,monthly_work_hours!$A:$A,'FTE 계산'!$A170,monthly_work_hours!$F:$F,'FTE 계산'!E$2)</f>
        <v>185.9</v>
      </c>
      <c r="F170">
        <f>SUMIFS(monthly_work_hours!$K:$K,monthly_work_hours!$A:$A,'FTE 계산'!$A170,monthly_work_hours!$F:$F,'FTE 계산'!F$2)</f>
        <v>203.6</v>
      </c>
      <c r="G170">
        <f>SUMIFS(monthly_work_hours!$K:$K,monthly_work_hours!$A:$A,'FTE 계산'!$A170,monthly_work_hours!$F:$F,'FTE 계산'!G$2)</f>
        <v>158.80000000000001</v>
      </c>
      <c r="H170">
        <f>(SUMIFS(monthly_work_hours!$G:$G,monthly_work_hours!$A:$A,'FTE 계산'!$A170,monthly_work_hours!$F:$F,'FTE 계산'!H$2)) - (SUMIFS(monthly_work_hours!$J:$J,monthly_work_hours!$A:$A,'FTE 계산'!$A170,monthly_work_hours!$F:$F,'FTE 계산'!H$2))</f>
        <v>18</v>
      </c>
      <c r="I170">
        <f>(SUMIFS(monthly_work_hours!$G:$G,monthly_work_hours!$A:$A,'FTE 계산'!$A170,monthly_work_hours!$F:$F,'FTE 계산'!I$2)) - (SUMIFS(monthly_work_hours!$J:$J,monthly_work_hours!$A:$A,'FTE 계산'!$A170,monthly_work_hours!$F:$F,'FTE 계산'!I$2))</f>
        <v>21</v>
      </c>
      <c r="J170">
        <f>(SUMIFS(monthly_work_hours!$G:$G,monthly_work_hours!$A:$A,'FTE 계산'!$A170,monthly_work_hours!$F:$F,'FTE 계산'!J$2)) - (SUMIFS(monthly_work_hours!$J:$J,monthly_work_hours!$A:$A,'FTE 계산'!$A170,monthly_work_hours!$F:$F,'FTE 계산'!J$2))</f>
        <v>15</v>
      </c>
    </row>
    <row r="171" spans="1:10">
      <c r="A171">
        <v>1223035</v>
      </c>
      <c r="B171" t="str">
        <f>_xlfn.XLOOKUP(A171,monthly_work_hours!A:A,monthly_work_hours!B:B)</f>
        <v>김만호</v>
      </c>
      <c r="C171" t="str">
        <f>_xlfn.XLOOKUP(A171,monthly_work_hours!A:A,monthly_work_hours!C:C)</f>
        <v>FL생산기술팀</v>
      </c>
      <c r="D171" t="str">
        <f>_xlfn.XLOOKUP(A171,monthly_work_hours!A:A,monthly_work_hours!D:D)</f>
        <v>선임</v>
      </c>
      <c r="E171">
        <f>SUMIFS(monthly_work_hours!$K:$K,monthly_work_hours!$A:$A,'FTE 계산'!$A171,monthly_work_hours!$F:$F,'FTE 계산'!E$2)</f>
        <v>166.5</v>
      </c>
      <c r="F171">
        <f>SUMIFS(monthly_work_hours!$K:$K,monthly_work_hours!$A:$A,'FTE 계산'!$A171,monthly_work_hours!$F:$F,'FTE 계산'!F$2)</f>
        <v>212.8</v>
      </c>
      <c r="G171">
        <f>SUMIFS(monthly_work_hours!$K:$K,monthly_work_hours!$A:$A,'FTE 계산'!$A171,monthly_work_hours!$F:$F,'FTE 계산'!G$2)</f>
        <v>137.5</v>
      </c>
      <c r="H171">
        <f>(SUMIFS(monthly_work_hours!$G:$G,monthly_work_hours!$A:$A,'FTE 계산'!$A171,monthly_work_hours!$F:$F,'FTE 계산'!H$2)) - (SUMIFS(monthly_work_hours!$J:$J,monthly_work_hours!$A:$A,'FTE 계산'!$A171,monthly_work_hours!$F:$F,'FTE 계산'!H$2))</f>
        <v>17</v>
      </c>
      <c r="I171">
        <f>(SUMIFS(monthly_work_hours!$G:$G,monthly_work_hours!$A:$A,'FTE 계산'!$A171,monthly_work_hours!$F:$F,'FTE 계산'!I$2)) - (SUMIFS(monthly_work_hours!$J:$J,monthly_work_hours!$A:$A,'FTE 계산'!$A171,monthly_work_hours!$F:$F,'FTE 계산'!I$2))</f>
        <v>19</v>
      </c>
      <c r="J171">
        <f>(SUMIFS(monthly_work_hours!$G:$G,monthly_work_hours!$A:$A,'FTE 계산'!$A171,monthly_work_hours!$F:$F,'FTE 계산'!J$2)) - (SUMIFS(monthly_work_hours!$J:$J,monthly_work_hours!$A:$A,'FTE 계산'!$A171,monthly_work_hours!$F:$F,'FTE 계산'!J$2))</f>
        <v>15</v>
      </c>
    </row>
    <row r="172" spans="1:10">
      <c r="A172">
        <v>1223037</v>
      </c>
      <c r="B172" t="str">
        <f>_xlfn.XLOOKUP(A172,monthly_work_hours!A:A,monthly_work_hours!B:B)</f>
        <v>서갑진</v>
      </c>
      <c r="C172" t="str">
        <f>_xlfn.XLOOKUP(A172,monthly_work_hours!A:A,monthly_work_hours!C:C)</f>
        <v>경영지원팀</v>
      </c>
      <c r="D172" t="str">
        <f>_xlfn.XLOOKUP(A172,monthly_work_hours!A:A,monthly_work_hours!D:D)</f>
        <v>책임</v>
      </c>
      <c r="E172">
        <f>SUMIFS(monthly_work_hours!$K:$K,monthly_work_hours!$A:$A,'FTE 계산'!$A172,monthly_work_hours!$F:$F,'FTE 계산'!E$2)</f>
        <v>178.3</v>
      </c>
      <c r="F172">
        <f>SUMIFS(monthly_work_hours!$K:$K,monthly_work_hours!$A:$A,'FTE 계산'!$A172,monthly_work_hours!$F:$F,'FTE 계산'!F$2)</f>
        <v>173.8</v>
      </c>
      <c r="G172">
        <f>SUMIFS(monthly_work_hours!$K:$K,monthly_work_hours!$A:$A,'FTE 계산'!$A172,monthly_work_hours!$F:$F,'FTE 계산'!G$2)</f>
        <v>151.9</v>
      </c>
      <c r="H172">
        <f>(SUMIFS(monthly_work_hours!$G:$G,monthly_work_hours!$A:$A,'FTE 계산'!$A172,monthly_work_hours!$F:$F,'FTE 계산'!H$2)) - (SUMIFS(monthly_work_hours!$J:$J,monthly_work_hours!$A:$A,'FTE 계산'!$A172,monthly_work_hours!$F:$F,'FTE 계산'!H$2))</f>
        <v>19</v>
      </c>
      <c r="I172">
        <f>(SUMIFS(monthly_work_hours!$G:$G,monthly_work_hours!$A:$A,'FTE 계산'!$A172,monthly_work_hours!$F:$F,'FTE 계산'!I$2)) - (SUMIFS(monthly_work_hours!$J:$J,monthly_work_hours!$A:$A,'FTE 계산'!$A172,monthly_work_hours!$F:$F,'FTE 계산'!I$2))</f>
        <v>21</v>
      </c>
      <c r="J172">
        <f>(SUMIFS(monthly_work_hours!$G:$G,monthly_work_hours!$A:$A,'FTE 계산'!$A172,monthly_work_hours!$F:$F,'FTE 계산'!J$2)) - (SUMIFS(monthly_work_hours!$J:$J,monthly_work_hours!$A:$A,'FTE 계산'!$A172,monthly_work_hours!$F:$F,'FTE 계산'!J$2))</f>
        <v>16</v>
      </c>
    </row>
    <row r="173" spans="1:10">
      <c r="A173">
        <v>1223044</v>
      </c>
      <c r="B173" t="str">
        <f>_xlfn.XLOOKUP(A173,monthly_work_hours!A:A,monthly_work_hours!B:B)</f>
        <v>임다혜</v>
      </c>
      <c r="C173" t="str">
        <f>_xlfn.XLOOKUP(A173,monthly_work_hours!A:A,monthly_work_hours!C:C)</f>
        <v>경영지원팀</v>
      </c>
      <c r="D173" t="str">
        <f>_xlfn.XLOOKUP(A173,monthly_work_hours!A:A,monthly_work_hours!D:D)</f>
        <v>선임</v>
      </c>
      <c r="E173">
        <f>SUMIFS(monthly_work_hours!$K:$K,monthly_work_hours!$A:$A,'FTE 계산'!$A173,monthly_work_hours!$F:$F,'FTE 계산'!E$2)</f>
        <v>155.9</v>
      </c>
      <c r="F173">
        <f>SUMIFS(monthly_work_hours!$K:$K,monthly_work_hours!$A:$A,'FTE 계산'!$A173,monthly_work_hours!$F:$F,'FTE 계산'!F$2)</f>
        <v>199.5</v>
      </c>
      <c r="G173">
        <f>SUMIFS(monthly_work_hours!$K:$K,monthly_work_hours!$A:$A,'FTE 계산'!$A173,monthly_work_hours!$F:$F,'FTE 계산'!G$2)</f>
        <v>145.30000000000001</v>
      </c>
      <c r="H173">
        <f>(SUMIFS(monthly_work_hours!$G:$G,monthly_work_hours!$A:$A,'FTE 계산'!$A173,monthly_work_hours!$F:$F,'FTE 계산'!H$2)) - (SUMIFS(monthly_work_hours!$J:$J,monthly_work_hours!$A:$A,'FTE 계산'!$A173,monthly_work_hours!$F:$F,'FTE 계산'!H$2))</f>
        <v>14</v>
      </c>
      <c r="I173">
        <f>(SUMIFS(monthly_work_hours!$G:$G,monthly_work_hours!$A:$A,'FTE 계산'!$A173,monthly_work_hours!$F:$F,'FTE 계산'!I$2)) - (SUMIFS(monthly_work_hours!$J:$J,monthly_work_hours!$A:$A,'FTE 계산'!$A173,monthly_work_hours!$F:$F,'FTE 계산'!I$2))</f>
        <v>19</v>
      </c>
      <c r="J173">
        <f>(SUMIFS(monthly_work_hours!$G:$G,monthly_work_hours!$A:$A,'FTE 계산'!$A173,monthly_work_hours!$F:$F,'FTE 계산'!J$2)) - (SUMIFS(monthly_work_hours!$J:$J,monthly_work_hours!$A:$A,'FTE 계산'!$A173,monthly_work_hours!$F:$F,'FTE 계산'!J$2))</f>
        <v>17</v>
      </c>
    </row>
    <row r="174" spans="1:10">
      <c r="A174">
        <v>1223045</v>
      </c>
      <c r="B174" t="str">
        <f>_xlfn.XLOOKUP(A174,monthly_work_hours!A:A,monthly_work_hours!B:B)</f>
        <v>부성원</v>
      </c>
      <c r="C174" t="str">
        <f>_xlfn.XLOOKUP(A174,monthly_work_hours!A:A,monthly_work_hours!C:C)</f>
        <v>FL품질보증팀</v>
      </c>
      <c r="D174" t="str">
        <f>_xlfn.XLOOKUP(A174,monthly_work_hours!A:A,monthly_work_hours!D:D)</f>
        <v>선임</v>
      </c>
      <c r="E174">
        <f>SUMIFS(monthly_work_hours!$K:$K,monthly_work_hours!$A:$A,'FTE 계산'!$A174,monthly_work_hours!$F:$F,'FTE 계산'!E$2)</f>
        <v>140.1</v>
      </c>
      <c r="F174">
        <f>SUMIFS(monthly_work_hours!$K:$K,monthly_work_hours!$A:$A,'FTE 계산'!$A174,monthly_work_hours!$F:$F,'FTE 계산'!F$2)</f>
        <v>154.19999999999999</v>
      </c>
      <c r="G174">
        <f>SUMIFS(monthly_work_hours!$K:$K,monthly_work_hours!$A:$A,'FTE 계산'!$A174,monthly_work_hours!$F:$F,'FTE 계산'!G$2)</f>
        <v>138.5</v>
      </c>
      <c r="H174">
        <f>(SUMIFS(monthly_work_hours!$G:$G,monthly_work_hours!$A:$A,'FTE 계산'!$A174,monthly_work_hours!$F:$F,'FTE 계산'!H$2)) - (SUMIFS(monthly_work_hours!$J:$J,monthly_work_hours!$A:$A,'FTE 계산'!$A174,monthly_work_hours!$F:$F,'FTE 계산'!H$2))</f>
        <v>16</v>
      </c>
      <c r="I174">
        <f>(SUMIFS(monthly_work_hours!$G:$G,monthly_work_hours!$A:$A,'FTE 계산'!$A174,monthly_work_hours!$F:$F,'FTE 계산'!I$2)) - (SUMIFS(monthly_work_hours!$J:$J,monthly_work_hours!$A:$A,'FTE 계산'!$A174,monthly_work_hours!$F:$F,'FTE 계산'!I$2))</f>
        <v>18</v>
      </c>
      <c r="J174">
        <f>(SUMIFS(monthly_work_hours!$G:$G,monthly_work_hours!$A:$A,'FTE 계산'!$A174,monthly_work_hours!$F:$F,'FTE 계산'!J$2)) - (SUMIFS(monthly_work_hours!$J:$J,monthly_work_hours!$A:$A,'FTE 계산'!$A174,monthly_work_hours!$F:$F,'FTE 계산'!J$2))</f>
        <v>17</v>
      </c>
    </row>
    <row r="175" spans="1:10">
      <c r="A175">
        <v>1223050</v>
      </c>
      <c r="B175" t="str">
        <f>_xlfn.XLOOKUP(A175,monthly_work_hours!A:A,monthly_work_hours!B:B)</f>
        <v>박진형</v>
      </c>
      <c r="C175" t="str">
        <f>_xlfn.XLOOKUP(A175,monthly_work_hours!A:A,monthly_work_hours!C:C)</f>
        <v>SCM팀</v>
      </c>
      <c r="D175" t="str">
        <f>_xlfn.XLOOKUP(A175,monthly_work_hours!A:A,monthly_work_hours!D:D)</f>
        <v>책임</v>
      </c>
      <c r="E175">
        <f>SUMIFS(monthly_work_hours!$K:$K,monthly_work_hours!$A:$A,'FTE 계산'!$A175,monthly_work_hours!$F:$F,'FTE 계산'!E$2)</f>
        <v>187</v>
      </c>
      <c r="F175">
        <f>SUMIFS(monthly_work_hours!$K:$K,monthly_work_hours!$A:$A,'FTE 계산'!$A175,monthly_work_hours!$F:$F,'FTE 계산'!F$2)</f>
        <v>203.5</v>
      </c>
      <c r="G175">
        <f>SUMIFS(monthly_work_hours!$K:$K,monthly_work_hours!$A:$A,'FTE 계산'!$A175,monthly_work_hours!$F:$F,'FTE 계산'!G$2)</f>
        <v>161.4</v>
      </c>
      <c r="H175">
        <f>(SUMIFS(monthly_work_hours!$G:$G,monthly_work_hours!$A:$A,'FTE 계산'!$A175,monthly_work_hours!$F:$F,'FTE 계산'!H$2)) - (SUMIFS(monthly_work_hours!$J:$J,monthly_work_hours!$A:$A,'FTE 계산'!$A175,monthly_work_hours!$F:$F,'FTE 계산'!H$2))</f>
        <v>18</v>
      </c>
      <c r="I175">
        <f>(SUMIFS(monthly_work_hours!$G:$G,monthly_work_hours!$A:$A,'FTE 계산'!$A175,monthly_work_hours!$F:$F,'FTE 계산'!I$2)) - (SUMIFS(monthly_work_hours!$J:$J,monthly_work_hours!$A:$A,'FTE 계산'!$A175,monthly_work_hours!$F:$F,'FTE 계산'!I$2))</f>
        <v>19</v>
      </c>
      <c r="J175">
        <f>(SUMIFS(monthly_work_hours!$G:$G,monthly_work_hours!$A:$A,'FTE 계산'!$A175,monthly_work_hours!$F:$F,'FTE 계산'!J$2)) - (SUMIFS(monthly_work_hours!$J:$J,monthly_work_hours!$A:$A,'FTE 계산'!$A175,monthly_work_hours!$F:$F,'FTE 계산'!J$2))</f>
        <v>16</v>
      </c>
    </row>
    <row r="176" spans="1:10">
      <c r="A176">
        <v>1223053</v>
      </c>
      <c r="B176" t="str">
        <f>_xlfn.XLOOKUP(A176,monthly_work_hours!A:A,monthly_work_hours!B:B)</f>
        <v>이채림</v>
      </c>
      <c r="C176" t="str">
        <f>_xlfn.XLOOKUP(A176,monthly_work_hours!A:A,monthly_work_hours!C:C)</f>
        <v>ESG팀</v>
      </c>
      <c r="D176" t="str">
        <f>_xlfn.XLOOKUP(A176,monthly_work_hours!A:A,monthly_work_hours!D:D)</f>
        <v>사원</v>
      </c>
      <c r="E176">
        <f>SUMIFS(monthly_work_hours!$K:$K,monthly_work_hours!$A:$A,'FTE 계산'!$A176,monthly_work_hours!$F:$F,'FTE 계산'!E$2)</f>
        <v>197.2</v>
      </c>
      <c r="F176">
        <f>SUMIFS(monthly_work_hours!$K:$K,monthly_work_hours!$A:$A,'FTE 계산'!$A176,monthly_work_hours!$F:$F,'FTE 계산'!F$2)</f>
        <v>151.19999999999999</v>
      </c>
      <c r="G176">
        <f>SUMIFS(monthly_work_hours!$K:$K,monthly_work_hours!$A:$A,'FTE 계산'!$A176,monthly_work_hours!$F:$F,'FTE 계산'!G$2)</f>
        <v>144.9</v>
      </c>
      <c r="H176">
        <f>(SUMIFS(monthly_work_hours!$G:$G,monthly_work_hours!$A:$A,'FTE 계산'!$A176,monthly_work_hours!$F:$F,'FTE 계산'!H$2)) - (SUMIFS(monthly_work_hours!$J:$J,monthly_work_hours!$A:$A,'FTE 계산'!$A176,monthly_work_hours!$F:$F,'FTE 계산'!H$2))</f>
        <v>19</v>
      </c>
      <c r="I176">
        <f>(SUMIFS(monthly_work_hours!$G:$G,monthly_work_hours!$A:$A,'FTE 계산'!$A176,monthly_work_hours!$F:$F,'FTE 계산'!I$2)) - (SUMIFS(monthly_work_hours!$J:$J,monthly_work_hours!$A:$A,'FTE 계산'!$A176,monthly_work_hours!$F:$F,'FTE 계산'!I$2))</f>
        <v>17</v>
      </c>
      <c r="J176">
        <f>(SUMIFS(monthly_work_hours!$G:$G,monthly_work_hours!$A:$A,'FTE 계산'!$A176,monthly_work_hours!$F:$F,'FTE 계산'!J$2)) - (SUMIFS(monthly_work_hours!$J:$J,monthly_work_hours!$A:$A,'FTE 계산'!$A176,monthly_work_hours!$F:$F,'FTE 계산'!J$2))</f>
        <v>16</v>
      </c>
    </row>
    <row r="177" spans="1:10">
      <c r="A177">
        <v>1223061</v>
      </c>
      <c r="B177" t="str">
        <f>_xlfn.XLOOKUP(A177,monthly_work_hours!A:A,monthly_work_hours!B:B)</f>
        <v>이현수</v>
      </c>
      <c r="C177" t="str">
        <f>_xlfn.XLOOKUP(A177,monthly_work_hours!A:A,monthly_work_hours!C:C)</f>
        <v>경영지원팀</v>
      </c>
      <c r="D177" t="str">
        <f>_xlfn.XLOOKUP(A177,monthly_work_hours!A:A,monthly_work_hours!D:D)</f>
        <v>사원</v>
      </c>
      <c r="E177">
        <f>SUMIFS(monthly_work_hours!$K:$K,monthly_work_hours!$A:$A,'FTE 계산'!$A177,monthly_work_hours!$F:$F,'FTE 계산'!E$2)</f>
        <v>291.89999999999998</v>
      </c>
      <c r="F177">
        <f>SUMIFS(monthly_work_hours!$K:$K,monthly_work_hours!$A:$A,'FTE 계산'!$A177,monthly_work_hours!$F:$F,'FTE 계산'!F$2)</f>
        <v>240.2</v>
      </c>
      <c r="G177">
        <f>SUMIFS(monthly_work_hours!$K:$K,monthly_work_hours!$A:$A,'FTE 계산'!$A177,monthly_work_hours!$F:$F,'FTE 계산'!G$2)</f>
        <v>152.4</v>
      </c>
      <c r="H177">
        <f>(SUMIFS(monthly_work_hours!$G:$G,monthly_work_hours!$A:$A,'FTE 계산'!$A177,monthly_work_hours!$F:$F,'FTE 계산'!H$2)) - (SUMIFS(monthly_work_hours!$J:$J,monthly_work_hours!$A:$A,'FTE 계산'!$A177,monthly_work_hours!$F:$F,'FTE 계산'!H$2))</f>
        <v>18</v>
      </c>
      <c r="I177">
        <f>(SUMIFS(monthly_work_hours!$G:$G,monthly_work_hours!$A:$A,'FTE 계산'!$A177,monthly_work_hours!$F:$F,'FTE 계산'!I$2)) - (SUMIFS(monthly_work_hours!$J:$J,monthly_work_hours!$A:$A,'FTE 계산'!$A177,monthly_work_hours!$F:$F,'FTE 계산'!I$2))</f>
        <v>21</v>
      </c>
      <c r="J177">
        <f>(SUMIFS(monthly_work_hours!$G:$G,monthly_work_hours!$A:$A,'FTE 계산'!$A177,monthly_work_hours!$F:$F,'FTE 계산'!J$2)) - (SUMIFS(monthly_work_hours!$J:$J,monthly_work_hours!$A:$A,'FTE 계산'!$A177,monthly_work_hours!$F:$F,'FTE 계산'!J$2))</f>
        <v>12</v>
      </c>
    </row>
    <row r="178" spans="1:10">
      <c r="A178">
        <v>1223065</v>
      </c>
      <c r="B178" t="str">
        <f>_xlfn.XLOOKUP(A178,monthly_work_hours!A:A,monthly_work_hours!B:B)</f>
        <v>서정훈</v>
      </c>
      <c r="C178" t="str">
        <f>_xlfn.XLOOKUP(A178,monthly_work_hours!A:A,monthly_work_hours!C:C)</f>
        <v>FL개발팀</v>
      </c>
      <c r="D178" t="str">
        <f>_xlfn.XLOOKUP(A178,monthly_work_hours!A:A,monthly_work_hours!D:D)</f>
        <v>선임</v>
      </c>
      <c r="E178">
        <f>SUMIFS(monthly_work_hours!$K:$K,monthly_work_hours!$A:$A,'FTE 계산'!$A178,monthly_work_hours!$F:$F,'FTE 계산'!E$2)</f>
        <v>148.30000000000001</v>
      </c>
      <c r="F178">
        <f>SUMIFS(monthly_work_hours!$K:$K,monthly_work_hours!$A:$A,'FTE 계산'!$A178,monthly_work_hours!$F:$F,'FTE 계산'!F$2)</f>
        <v>144.69999999999999</v>
      </c>
      <c r="G178">
        <f>SUMIFS(monthly_work_hours!$K:$K,monthly_work_hours!$A:$A,'FTE 계산'!$A178,monthly_work_hours!$F:$F,'FTE 계산'!G$2)</f>
        <v>142.69999999999999</v>
      </c>
      <c r="H178">
        <f>(SUMIFS(monthly_work_hours!$G:$G,monthly_work_hours!$A:$A,'FTE 계산'!$A178,monthly_work_hours!$F:$F,'FTE 계산'!H$2)) - (SUMIFS(monthly_work_hours!$J:$J,monthly_work_hours!$A:$A,'FTE 계산'!$A178,monthly_work_hours!$F:$F,'FTE 계산'!H$2))</f>
        <v>15</v>
      </c>
      <c r="I178">
        <f>(SUMIFS(monthly_work_hours!$G:$G,monthly_work_hours!$A:$A,'FTE 계산'!$A178,monthly_work_hours!$F:$F,'FTE 계산'!I$2)) - (SUMIFS(monthly_work_hours!$J:$J,monthly_work_hours!$A:$A,'FTE 계산'!$A178,monthly_work_hours!$F:$F,'FTE 계산'!I$2))</f>
        <v>16</v>
      </c>
      <c r="J178">
        <f>(SUMIFS(monthly_work_hours!$G:$G,monthly_work_hours!$A:$A,'FTE 계산'!$A178,monthly_work_hours!$F:$F,'FTE 계산'!J$2)) - (SUMIFS(monthly_work_hours!$J:$J,monthly_work_hours!$A:$A,'FTE 계산'!$A178,monthly_work_hours!$F:$F,'FTE 계산'!J$2))</f>
        <v>15</v>
      </c>
    </row>
    <row r="179" spans="1:10">
      <c r="A179">
        <v>1223066</v>
      </c>
      <c r="B179" t="str">
        <f>_xlfn.XLOOKUP(A179,monthly_work_hours!A:A,monthly_work_hours!B:B)</f>
        <v>강권택</v>
      </c>
      <c r="C179" t="str">
        <f>_xlfn.XLOOKUP(A179,monthly_work_hours!A:A,monthly_work_hours!C:C)</f>
        <v>품질경영팀</v>
      </c>
      <c r="D179" t="str">
        <f>_xlfn.XLOOKUP(A179,monthly_work_hours!A:A,monthly_work_hours!D:D)</f>
        <v>선임</v>
      </c>
      <c r="E179">
        <f>SUMIFS(monthly_work_hours!$K:$K,monthly_work_hours!$A:$A,'FTE 계산'!$A179,monthly_work_hours!$F:$F,'FTE 계산'!E$2)</f>
        <v>171.4</v>
      </c>
      <c r="F179">
        <f>SUMIFS(monthly_work_hours!$K:$K,monthly_work_hours!$A:$A,'FTE 계산'!$A179,monthly_work_hours!$F:$F,'FTE 계산'!F$2)</f>
        <v>158.30000000000001</v>
      </c>
      <c r="G179">
        <f>SUMIFS(monthly_work_hours!$K:$K,monthly_work_hours!$A:$A,'FTE 계산'!$A179,monthly_work_hours!$F:$F,'FTE 계산'!G$2)</f>
        <v>126.5</v>
      </c>
      <c r="H179">
        <f>(SUMIFS(monthly_work_hours!$G:$G,monthly_work_hours!$A:$A,'FTE 계산'!$A179,monthly_work_hours!$F:$F,'FTE 계산'!H$2)) - (SUMIFS(monthly_work_hours!$J:$J,monthly_work_hours!$A:$A,'FTE 계산'!$A179,monthly_work_hours!$F:$F,'FTE 계산'!H$2))</f>
        <v>19</v>
      </c>
      <c r="I179">
        <f>(SUMIFS(monthly_work_hours!$G:$G,monthly_work_hours!$A:$A,'FTE 계산'!$A179,monthly_work_hours!$F:$F,'FTE 계산'!I$2)) - (SUMIFS(monthly_work_hours!$J:$J,monthly_work_hours!$A:$A,'FTE 계산'!$A179,monthly_work_hours!$F:$F,'FTE 계산'!I$2))</f>
        <v>18</v>
      </c>
      <c r="J179">
        <f>(SUMIFS(monthly_work_hours!$G:$G,monthly_work_hours!$A:$A,'FTE 계산'!$A179,monthly_work_hours!$F:$F,'FTE 계산'!J$2)) - (SUMIFS(monthly_work_hours!$J:$J,monthly_work_hours!$A:$A,'FTE 계산'!$A179,monthly_work_hours!$F:$F,'FTE 계산'!J$2))</f>
        <v>16</v>
      </c>
    </row>
    <row r="180" spans="1:10">
      <c r="A180">
        <v>1223067</v>
      </c>
      <c r="B180" t="str">
        <f>_xlfn.XLOOKUP(A180,monthly_work_hours!A:A,monthly_work_hours!B:B)</f>
        <v>정석인</v>
      </c>
      <c r="C180" t="str">
        <f>_xlfn.XLOOKUP(A180,monthly_work_hours!A:A,monthly_work_hours!C:C)</f>
        <v>SL영업팀</v>
      </c>
      <c r="D180" t="str">
        <f>_xlfn.XLOOKUP(A180,monthly_work_hours!A:A,monthly_work_hours!D:D)</f>
        <v>선임</v>
      </c>
      <c r="E180">
        <f>SUMIFS(monthly_work_hours!$K:$K,monthly_work_hours!$A:$A,'FTE 계산'!$A180,monthly_work_hours!$F:$F,'FTE 계산'!E$2)</f>
        <v>208</v>
      </c>
      <c r="F180">
        <f>SUMIFS(monthly_work_hours!$K:$K,monthly_work_hours!$A:$A,'FTE 계산'!$A180,monthly_work_hours!$F:$F,'FTE 계산'!F$2)</f>
        <v>247.4</v>
      </c>
      <c r="G180">
        <f>SUMIFS(monthly_work_hours!$K:$K,monthly_work_hours!$A:$A,'FTE 계산'!$A180,monthly_work_hours!$F:$F,'FTE 계산'!G$2)</f>
        <v>173.7</v>
      </c>
      <c r="H180">
        <f>(SUMIFS(monthly_work_hours!$G:$G,monthly_work_hours!$A:$A,'FTE 계산'!$A180,monthly_work_hours!$F:$F,'FTE 계산'!H$2)) - (SUMIFS(monthly_work_hours!$J:$J,monthly_work_hours!$A:$A,'FTE 계산'!$A180,monthly_work_hours!$F:$F,'FTE 계산'!H$2))</f>
        <v>20</v>
      </c>
      <c r="I180">
        <f>(SUMIFS(monthly_work_hours!$G:$G,monthly_work_hours!$A:$A,'FTE 계산'!$A180,monthly_work_hours!$F:$F,'FTE 계산'!I$2)) - (SUMIFS(monthly_work_hours!$J:$J,monthly_work_hours!$A:$A,'FTE 계산'!$A180,monthly_work_hours!$F:$F,'FTE 계산'!I$2))</f>
        <v>19</v>
      </c>
      <c r="J180">
        <f>(SUMIFS(monthly_work_hours!$G:$G,monthly_work_hours!$A:$A,'FTE 계산'!$A180,monthly_work_hours!$F:$F,'FTE 계산'!J$2)) - (SUMIFS(monthly_work_hours!$J:$J,monthly_work_hours!$A:$A,'FTE 계산'!$A180,monthly_work_hours!$F:$F,'FTE 계산'!J$2))</f>
        <v>16</v>
      </c>
    </row>
    <row r="181" spans="1:10">
      <c r="A181">
        <v>1223069</v>
      </c>
      <c r="B181" t="str">
        <f>_xlfn.XLOOKUP(A181,monthly_work_hours!A:A,monthly_work_hours!B:B)</f>
        <v>전민</v>
      </c>
      <c r="C181" t="str">
        <f>_xlfn.XLOOKUP(A181,monthly_work_hours!A:A,monthly_work_hours!C:C)</f>
        <v>SL생산팀</v>
      </c>
      <c r="D181" t="str">
        <f>_xlfn.XLOOKUP(A181,monthly_work_hours!A:A,monthly_work_hours!D:D)</f>
        <v>선임</v>
      </c>
      <c r="E181">
        <f>SUMIFS(monthly_work_hours!$K:$K,monthly_work_hours!$A:$A,'FTE 계산'!$A181,monthly_work_hours!$F:$F,'FTE 계산'!E$2)</f>
        <v>163.30000000000001</v>
      </c>
      <c r="F181">
        <f>SUMIFS(monthly_work_hours!$K:$K,monthly_work_hours!$A:$A,'FTE 계산'!$A181,monthly_work_hours!$F:$F,'FTE 계산'!F$2)</f>
        <v>167.8</v>
      </c>
      <c r="G181">
        <f>SUMIFS(monthly_work_hours!$K:$K,monthly_work_hours!$A:$A,'FTE 계산'!$A181,monthly_work_hours!$F:$F,'FTE 계산'!G$2)</f>
        <v>143.9</v>
      </c>
      <c r="H181">
        <f>(SUMIFS(monthly_work_hours!$G:$G,monthly_work_hours!$A:$A,'FTE 계산'!$A181,monthly_work_hours!$F:$F,'FTE 계산'!H$2)) - (SUMIFS(monthly_work_hours!$J:$J,monthly_work_hours!$A:$A,'FTE 계산'!$A181,monthly_work_hours!$F:$F,'FTE 계산'!H$2))</f>
        <v>18</v>
      </c>
      <c r="I181">
        <f>(SUMIFS(monthly_work_hours!$G:$G,monthly_work_hours!$A:$A,'FTE 계산'!$A181,monthly_work_hours!$F:$F,'FTE 계산'!I$2)) - (SUMIFS(monthly_work_hours!$J:$J,monthly_work_hours!$A:$A,'FTE 계산'!$A181,monthly_work_hours!$F:$F,'FTE 계산'!I$2))</f>
        <v>19</v>
      </c>
      <c r="J181">
        <f>(SUMIFS(monthly_work_hours!$G:$G,monthly_work_hours!$A:$A,'FTE 계산'!$A181,monthly_work_hours!$F:$F,'FTE 계산'!J$2)) - (SUMIFS(monthly_work_hours!$J:$J,monthly_work_hours!$A:$A,'FTE 계산'!$A181,monthly_work_hours!$F:$F,'FTE 계산'!J$2))</f>
        <v>16</v>
      </c>
    </row>
    <row r="182" spans="1:10">
      <c r="A182">
        <v>1223076</v>
      </c>
      <c r="B182" t="str">
        <f>_xlfn.XLOOKUP(A182,monthly_work_hours!A:A,monthly_work_hours!B:B)</f>
        <v>손재홍</v>
      </c>
      <c r="C182" t="str">
        <f>_xlfn.XLOOKUP(A182,monthly_work_hours!A:A,monthly_work_hours!C:C)</f>
        <v>SL운영팀</v>
      </c>
      <c r="D182" t="str">
        <f>_xlfn.XLOOKUP(A182,monthly_work_hours!A:A,monthly_work_hours!D:D)</f>
        <v>선임</v>
      </c>
      <c r="E182">
        <f>SUMIFS(monthly_work_hours!$K:$K,monthly_work_hours!$A:$A,'FTE 계산'!$A182,monthly_work_hours!$F:$F,'FTE 계산'!E$2)</f>
        <v>186.6</v>
      </c>
      <c r="F182">
        <f>SUMIFS(monthly_work_hours!$K:$K,monthly_work_hours!$A:$A,'FTE 계산'!$A182,monthly_work_hours!$F:$F,'FTE 계산'!F$2)</f>
        <v>154.69999999999999</v>
      </c>
      <c r="G182">
        <f>SUMIFS(monthly_work_hours!$K:$K,monthly_work_hours!$A:$A,'FTE 계산'!$A182,monthly_work_hours!$F:$F,'FTE 계산'!G$2)</f>
        <v>150</v>
      </c>
      <c r="H182">
        <f>(SUMIFS(monthly_work_hours!$G:$G,monthly_work_hours!$A:$A,'FTE 계산'!$A182,monthly_work_hours!$F:$F,'FTE 계산'!H$2)) - (SUMIFS(monthly_work_hours!$J:$J,monthly_work_hours!$A:$A,'FTE 계산'!$A182,monthly_work_hours!$F:$F,'FTE 계산'!H$2))</f>
        <v>18</v>
      </c>
      <c r="I182">
        <f>(SUMIFS(monthly_work_hours!$G:$G,monthly_work_hours!$A:$A,'FTE 계산'!$A182,monthly_work_hours!$F:$F,'FTE 계산'!I$2)) - (SUMIFS(monthly_work_hours!$J:$J,monthly_work_hours!$A:$A,'FTE 계산'!$A182,monthly_work_hours!$F:$F,'FTE 계산'!I$2))</f>
        <v>16</v>
      </c>
      <c r="J182">
        <f>(SUMIFS(monthly_work_hours!$G:$G,monthly_work_hours!$A:$A,'FTE 계산'!$A182,monthly_work_hours!$F:$F,'FTE 계산'!J$2)) - (SUMIFS(monthly_work_hours!$J:$J,monthly_work_hours!$A:$A,'FTE 계산'!$A182,monthly_work_hours!$F:$F,'FTE 계산'!J$2))</f>
        <v>16</v>
      </c>
    </row>
    <row r="183" spans="1:10">
      <c r="A183">
        <v>1223077</v>
      </c>
      <c r="B183" t="str">
        <f>_xlfn.XLOOKUP(A183,monthly_work_hours!A:A,monthly_work_hours!B:B)</f>
        <v>정민형</v>
      </c>
      <c r="C183" t="str">
        <f>_xlfn.XLOOKUP(A183,monthly_work_hours!A:A,monthly_work_hours!C:C)</f>
        <v>SL개발팀</v>
      </c>
      <c r="D183" t="str">
        <f>_xlfn.XLOOKUP(A183,monthly_work_hours!A:A,monthly_work_hours!D:D)</f>
        <v>선임</v>
      </c>
      <c r="E183">
        <f>SUMIFS(monthly_work_hours!$K:$K,monthly_work_hours!$A:$A,'FTE 계산'!$A183,monthly_work_hours!$F:$F,'FTE 계산'!E$2)</f>
        <v>122.3</v>
      </c>
      <c r="F183">
        <f>SUMIFS(monthly_work_hours!$K:$K,monthly_work_hours!$A:$A,'FTE 계산'!$A183,monthly_work_hours!$F:$F,'FTE 계산'!F$2)</f>
        <v>123.6</v>
      </c>
      <c r="G183">
        <f>SUMIFS(monthly_work_hours!$K:$K,monthly_work_hours!$A:$A,'FTE 계산'!$A183,monthly_work_hours!$F:$F,'FTE 계산'!G$2)</f>
        <v>122.4</v>
      </c>
      <c r="H183">
        <f>(SUMIFS(monthly_work_hours!$G:$G,monthly_work_hours!$A:$A,'FTE 계산'!$A183,monthly_work_hours!$F:$F,'FTE 계산'!H$2)) - (SUMIFS(monthly_work_hours!$J:$J,monthly_work_hours!$A:$A,'FTE 계산'!$A183,monthly_work_hours!$F:$F,'FTE 계산'!H$2))</f>
        <v>12</v>
      </c>
      <c r="I183">
        <f>(SUMIFS(monthly_work_hours!$G:$G,monthly_work_hours!$A:$A,'FTE 계산'!$A183,monthly_work_hours!$F:$F,'FTE 계산'!I$2)) - (SUMIFS(monthly_work_hours!$J:$J,monthly_work_hours!$A:$A,'FTE 계산'!$A183,monthly_work_hours!$F:$F,'FTE 계산'!I$2))</f>
        <v>13</v>
      </c>
      <c r="J183">
        <f>(SUMIFS(monthly_work_hours!$G:$G,monthly_work_hours!$A:$A,'FTE 계산'!$A183,monthly_work_hours!$F:$F,'FTE 계산'!J$2)) - (SUMIFS(monthly_work_hours!$J:$J,monthly_work_hours!$A:$A,'FTE 계산'!$A183,monthly_work_hours!$F:$F,'FTE 계산'!J$2))</f>
        <v>13</v>
      </c>
    </row>
    <row r="184" spans="1:10">
      <c r="A184">
        <v>1223079</v>
      </c>
      <c r="B184" t="str">
        <f>_xlfn.XLOOKUP(A184,monthly_work_hours!A:A,monthly_work_hours!B:B)</f>
        <v>오이정</v>
      </c>
      <c r="C184" t="str">
        <f>_xlfn.XLOOKUP(A184,monthly_work_hours!A:A,monthly_work_hours!C:C)</f>
        <v>SL운영팀</v>
      </c>
      <c r="D184" t="str">
        <f>_xlfn.XLOOKUP(A184,monthly_work_hours!A:A,monthly_work_hours!D:D)</f>
        <v>사원</v>
      </c>
      <c r="E184">
        <f>SUMIFS(monthly_work_hours!$K:$K,monthly_work_hours!$A:$A,'FTE 계산'!$A184,monthly_work_hours!$F:$F,'FTE 계산'!E$2)</f>
        <v>172.3</v>
      </c>
      <c r="F184">
        <f>SUMIFS(monthly_work_hours!$K:$K,monthly_work_hours!$A:$A,'FTE 계산'!$A184,monthly_work_hours!$F:$F,'FTE 계산'!F$2)</f>
        <v>178.8</v>
      </c>
      <c r="G184">
        <f>SUMIFS(monthly_work_hours!$K:$K,monthly_work_hours!$A:$A,'FTE 계산'!$A184,monthly_work_hours!$F:$F,'FTE 계산'!G$2)</f>
        <v>141.4</v>
      </c>
      <c r="H184">
        <f>(SUMIFS(monthly_work_hours!$G:$G,monthly_work_hours!$A:$A,'FTE 계산'!$A184,monthly_work_hours!$F:$F,'FTE 계산'!H$2)) - (SUMIFS(monthly_work_hours!$J:$J,monthly_work_hours!$A:$A,'FTE 계산'!$A184,monthly_work_hours!$F:$F,'FTE 계산'!H$2))</f>
        <v>18</v>
      </c>
      <c r="I184">
        <f>(SUMIFS(monthly_work_hours!$G:$G,monthly_work_hours!$A:$A,'FTE 계산'!$A184,monthly_work_hours!$F:$F,'FTE 계산'!I$2)) - (SUMIFS(monthly_work_hours!$J:$J,monthly_work_hours!$A:$A,'FTE 계산'!$A184,monthly_work_hours!$F:$F,'FTE 계산'!I$2))</f>
        <v>19</v>
      </c>
      <c r="J184">
        <f>(SUMIFS(monthly_work_hours!$G:$G,monthly_work_hours!$A:$A,'FTE 계산'!$A184,monthly_work_hours!$F:$F,'FTE 계산'!J$2)) - (SUMIFS(monthly_work_hours!$J:$J,monthly_work_hours!$A:$A,'FTE 계산'!$A184,monthly_work_hours!$F:$F,'FTE 계산'!J$2))</f>
        <v>15</v>
      </c>
    </row>
    <row r="185" spans="1:10">
      <c r="A185">
        <v>1223081</v>
      </c>
      <c r="B185" t="str">
        <f>_xlfn.XLOOKUP(A185,monthly_work_hours!A:A,monthly_work_hours!B:B)</f>
        <v>한민규</v>
      </c>
      <c r="C185" t="str">
        <f>_xlfn.XLOOKUP(A185,monthly_work_hours!A:A,monthly_work_hours!C:C)</f>
        <v>SL품질보증팀</v>
      </c>
      <c r="D185" t="str">
        <f>_xlfn.XLOOKUP(A185,monthly_work_hours!A:A,monthly_work_hours!D:D)</f>
        <v>사원</v>
      </c>
      <c r="E185">
        <f>SUMIFS(monthly_work_hours!$K:$K,monthly_work_hours!$A:$A,'FTE 계산'!$A185,monthly_work_hours!$F:$F,'FTE 계산'!E$2)</f>
        <v>73.599999999999994</v>
      </c>
      <c r="F185">
        <f>SUMIFS(monthly_work_hours!$K:$K,monthly_work_hours!$A:$A,'FTE 계산'!$A185,monthly_work_hours!$F:$F,'FTE 계산'!F$2)</f>
        <v>75.7</v>
      </c>
      <c r="G185">
        <f>SUMIFS(monthly_work_hours!$K:$K,monthly_work_hours!$A:$A,'FTE 계산'!$A185,monthly_work_hours!$F:$F,'FTE 계산'!G$2)</f>
        <v>75.400000000000006</v>
      </c>
      <c r="H185">
        <f>(SUMIFS(monthly_work_hours!$G:$G,monthly_work_hours!$A:$A,'FTE 계산'!$A185,monthly_work_hours!$F:$F,'FTE 계산'!H$2)) - (SUMIFS(monthly_work_hours!$J:$J,monthly_work_hours!$A:$A,'FTE 계산'!$A185,monthly_work_hours!$F:$F,'FTE 계산'!H$2))</f>
        <v>10</v>
      </c>
      <c r="I185">
        <f>(SUMIFS(monthly_work_hours!$G:$G,monthly_work_hours!$A:$A,'FTE 계산'!$A185,monthly_work_hours!$F:$F,'FTE 계산'!I$2)) - (SUMIFS(monthly_work_hours!$J:$J,monthly_work_hours!$A:$A,'FTE 계산'!$A185,monthly_work_hours!$F:$F,'FTE 계산'!I$2))</f>
        <v>10</v>
      </c>
      <c r="J185">
        <f>(SUMIFS(monthly_work_hours!$G:$G,monthly_work_hours!$A:$A,'FTE 계산'!$A185,monthly_work_hours!$F:$F,'FTE 계산'!J$2)) - (SUMIFS(monthly_work_hours!$J:$J,monthly_work_hours!$A:$A,'FTE 계산'!$A185,monthly_work_hours!$F:$F,'FTE 계산'!J$2))</f>
        <v>10</v>
      </c>
    </row>
    <row r="186" spans="1:10">
      <c r="A186">
        <v>1223082</v>
      </c>
      <c r="B186" t="str">
        <f>_xlfn.XLOOKUP(A186,monthly_work_hours!A:A,monthly_work_hours!B:B)</f>
        <v>신혜진</v>
      </c>
      <c r="C186" t="str">
        <f>_xlfn.XLOOKUP(A186,monthly_work_hours!A:A,monthly_work_hours!C:C)</f>
        <v>FL품질보증팀</v>
      </c>
      <c r="D186" t="str">
        <f>_xlfn.XLOOKUP(A186,monthly_work_hours!A:A,monthly_work_hours!D:D)</f>
        <v>사원</v>
      </c>
      <c r="E186">
        <f>SUMIFS(monthly_work_hours!$K:$K,monthly_work_hours!$A:$A,'FTE 계산'!$A186,monthly_work_hours!$F:$F,'FTE 계산'!E$2)</f>
        <v>192.3</v>
      </c>
      <c r="F186">
        <f>SUMIFS(monthly_work_hours!$K:$K,monthly_work_hours!$A:$A,'FTE 계산'!$A186,monthly_work_hours!$F:$F,'FTE 계산'!F$2)</f>
        <v>167.8</v>
      </c>
      <c r="G186">
        <f>SUMIFS(monthly_work_hours!$K:$K,monthly_work_hours!$A:$A,'FTE 계산'!$A186,monthly_work_hours!$F:$F,'FTE 계산'!G$2)</f>
        <v>135.9</v>
      </c>
      <c r="H186">
        <f>(SUMIFS(monthly_work_hours!$G:$G,monthly_work_hours!$A:$A,'FTE 계산'!$A186,monthly_work_hours!$F:$F,'FTE 계산'!H$2)) - (SUMIFS(monthly_work_hours!$J:$J,monthly_work_hours!$A:$A,'FTE 계산'!$A186,monthly_work_hours!$F:$F,'FTE 계산'!H$2))</f>
        <v>19</v>
      </c>
      <c r="I186">
        <f>(SUMIFS(monthly_work_hours!$G:$G,monthly_work_hours!$A:$A,'FTE 계산'!$A186,monthly_work_hours!$F:$F,'FTE 계산'!I$2)) - (SUMIFS(monthly_work_hours!$J:$J,monthly_work_hours!$A:$A,'FTE 계산'!$A186,monthly_work_hours!$F:$F,'FTE 계산'!I$2))</f>
        <v>18</v>
      </c>
      <c r="J186">
        <f>(SUMIFS(monthly_work_hours!$G:$G,monthly_work_hours!$A:$A,'FTE 계산'!$A186,monthly_work_hours!$F:$F,'FTE 계산'!J$2)) - (SUMIFS(monthly_work_hours!$J:$J,monthly_work_hours!$A:$A,'FTE 계산'!$A186,monthly_work_hours!$F:$F,'FTE 계산'!J$2))</f>
        <v>15</v>
      </c>
    </row>
    <row r="187" spans="1:10">
      <c r="A187">
        <v>1223083</v>
      </c>
      <c r="B187" t="str">
        <f>_xlfn.XLOOKUP(A187,monthly_work_hours!A:A,monthly_work_hours!B:B)</f>
        <v>김시원</v>
      </c>
      <c r="C187" t="str">
        <f>_xlfn.XLOOKUP(A187,monthly_work_hours!A:A,monthly_work_hours!C:C)</f>
        <v>FL품질보증팀</v>
      </c>
      <c r="D187" t="str">
        <f>_xlfn.XLOOKUP(A187,monthly_work_hours!A:A,monthly_work_hours!D:D)</f>
        <v>사원</v>
      </c>
      <c r="E187">
        <f>SUMIFS(monthly_work_hours!$K:$K,monthly_work_hours!$A:$A,'FTE 계산'!$A187,monthly_work_hours!$F:$F,'FTE 계산'!E$2)</f>
        <v>184.4</v>
      </c>
      <c r="F187">
        <f>SUMIFS(monthly_work_hours!$K:$K,monthly_work_hours!$A:$A,'FTE 계산'!$A187,monthly_work_hours!$F:$F,'FTE 계산'!F$2)</f>
        <v>208.2</v>
      </c>
      <c r="G187">
        <f>SUMIFS(monthly_work_hours!$K:$K,monthly_work_hours!$A:$A,'FTE 계산'!$A187,monthly_work_hours!$F:$F,'FTE 계산'!G$2)</f>
        <v>154.30000000000001</v>
      </c>
      <c r="H187">
        <f>(SUMIFS(monthly_work_hours!$G:$G,monthly_work_hours!$A:$A,'FTE 계산'!$A187,monthly_work_hours!$F:$F,'FTE 계산'!H$2)) - (SUMIFS(monthly_work_hours!$J:$J,monthly_work_hours!$A:$A,'FTE 계산'!$A187,monthly_work_hours!$F:$F,'FTE 계산'!H$2))</f>
        <v>18</v>
      </c>
      <c r="I187">
        <f>(SUMIFS(monthly_work_hours!$G:$G,monthly_work_hours!$A:$A,'FTE 계산'!$A187,monthly_work_hours!$F:$F,'FTE 계산'!I$2)) - (SUMIFS(monthly_work_hours!$J:$J,monthly_work_hours!$A:$A,'FTE 계산'!$A187,monthly_work_hours!$F:$F,'FTE 계산'!I$2))</f>
        <v>19</v>
      </c>
      <c r="J187">
        <f>(SUMIFS(monthly_work_hours!$G:$G,monthly_work_hours!$A:$A,'FTE 계산'!$A187,monthly_work_hours!$F:$F,'FTE 계산'!J$2)) - (SUMIFS(monthly_work_hours!$J:$J,monthly_work_hours!$A:$A,'FTE 계산'!$A187,monthly_work_hours!$F:$F,'FTE 계산'!J$2))</f>
        <v>16</v>
      </c>
    </row>
    <row r="188" spans="1:10">
      <c r="A188">
        <v>1223084</v>
      </c>
      <c r="B188" t="str">
        <f>_xlfn.XLOOKUP(A188,monthly_work_hours!A:A,monthly_work_hours!B:B)</f>
        <v>윤서진</v>
      </c>
      <c r="C188" t="str">
        <f>_xlfn.XLOOKUP(A188,monthly_work_hours!A:A,monthly_work_hours!C:C)</f>
        <v>FL영업팀</v>
      </c>
      <c r="D188" t="str">
        <f>_xlfn.XLOOKUP(A188,monthly_work_hours!A:A,monthly_work_hours!D:D)</f>
        <v>사원</v>
      </c>
      <c r="E188">
        <f>SUMIFS(monthly_work_hours!$K:$K,monthly_work_hours!$A:$A,'FTE 계산'!$A188,monthly_work_hours!$F:$F,'FTE 계산'!E$2)</f>
        <v>175.2</v>
      </c>
      <c r="F188">
        <f>SUMIFS(monthly_work_hours!$K:$K,monthly_work_hours!$A:$A,'FTE 계산'!$A188,monthly_work_hours!$F:$F,'FTE 계산'!F$2)</f>
        <v>106.7</v>
      </c>
      <c r="G188">
        <f>SUMIFS(monthly_work_hours!$K:$K,monthly_work_hours!$A:$A,'FTE 계산'!$A188,monthly_work_hours!$F:$F,'FTE 계산'!G$2)</f>
        <v>0</v>
      </c>
      <c r="H188">
        <f>(SUMIFS(monthly_work_hours!$G:$G,monthly_work_hours!$A:$A,'FTE 계산'!$A188,monthly_work_hours!$F:$F,'FTE 계산'!H$2)) - (SUMIFS(monthly_work_hours!$J:$J,monthly_work_hours!$A:$A,'FTE 계산'!$A188,monthly_work_hours!$F:$F,'FTE 계산'!H$2))</f>
        <v>18</v>
      </c>
      <c r="I188">
        <f>(SUMIFS(monthly_work_hours!$G:$G,monthly_work_hours!$A:$A,'FTE 계산'!$A188,monthly_work_hours!$F:$F,'FTE 계산'!I$2)) - (SUMIFS(monthly_work_hours!$J:$J,monthly_work_hours!$A:$A,'FTE 계산'!$A188,monthly_work_hours!$F:$F,'FTE 계산'!I$2))</f>
        <v>11</v>
      </c>
      <c r="J188">
        <f>(SUMIFS(monthly_work_hours!$G:$G,monthly_work_hours!$A:$A,'FTE 계산'!$A188,monthly_work_hours!$F:$F,'FTE 계산'!J$2)) - (SUMIFS(monthly_work_hours!$J:$J,monthly_work_hours!$A:$A,'FTE 계산'!$A188,monthly_work_hours!$F:$F,'FTE 계산'!J$2))</f>
        <v>0</v>
      </c>
    </row>
    <row r="189" spans="1:10">
      <c r="A189">
        <v>1223085</v>
      </c>
      <c r="B189" t="str">
        <f>_xlfn.XLOOKUP(A189,monthly_work_hours!A:A,monthly_work_hours!B:B)</f>
        <v>이건우</v>
      </c>
      <c r="C189" t="str">
        <f>_xlfn.XLOOKUP(A189,monthly_work_hours!A:A,monthly_work_hours!C:C)</f>
        <v>FL개발팀</v>
      </c>
      <c r="D189" t="str">
        <f>_xlfn.XLOOKUP(A189,monthly_work_hours!A:A,monthly_work_hours!D:D)</f>
        <v>선임</v>
      </c>
      <c r="E189">
        <f>SUMIFS(monthly_work_hours!$K:$K,monthly_work_hours!$A:$A,'FTE 계산'!$A189,monthly_work_hours!$F:$F,'FTE 계산'!E$2)</f>
        <v>146.69999999999999</v>
      </c>
      <c r="F189">
        <f>SUMIFS(monthly_work_hours!$K:$K,monthly_work_hours!$A:$A,'FTE 계산'!$A189,monthly_work_hours!$F:$F,'FTE 계산'!F$2)</f>
        <v>186.8</v>
      </c>
      <c r="G189">
        <f>SUMIFS(monthly_work_hours!$K:$K,monthly_work_hours!$A:$A,'FTE 계산'!$A189,monthly_work_hours!$F:$F,'FTE 계산'!G$2)</f>
        <v>63</v>
      </c>
      <c r="H189">
        <f>(SUMIFS(monthly_work_hours!$G:$G,monthly_work_hours!$A:$A,'FTE 계산'!$A189,monthly_work_hours!$F:$F,'FTE 계산'!H$2)) - (SUMIFS(monthly_work_hours!$J:$J,monthly_work_hours!$A:$A,'FTE 계산'!$A189,monthly_work_hours!$F:$F,'FTE 계산'!H$2))</f>
        <v>16</v>
      </c>
      <c r="I189">
        <f>(SUMIFS(monthly_work_hours!$G:$G,monthly_work_hours!$A:$A,'FTE 계산'!$A189,monthly_work_hours!$F:$F,'FTE 계산'!I$2)) - (SUMIFS(monthly_work_hours!$J:$J,monthly_work_hours!$A:$A,'FTE 계산'!$A189,monthly_work_hours!$F:$F,'FTE 계산'!I$2))</f>
        <v>18</v>
      </c>
      <c r="J189">
        <f>(SUMIFS(monthly_work_hours!$G:$G,monthly_work_hours!$A:$A,'FTE 계산'!$A189,monthly_work_hours!$F:$F,'FTE 계산'!J$2)) - (SUMIFS(monthly_work_hours!$J:$J,monthly_work_hours!$A:$A,'FTE 계산'!$A189,monthly_work_hours!$F:$F,'FTE 계산'!J$2))</f>
        <v>7</v>
      </c>
    </row>
    <row r="190" spans="1:10">
      <c r="A190">
        <v>1223086</v>
      </c>
      <c r="B190" t="str">
        <f>_xlfn.XLOOKUP(A190,monthly_work_hours!A:A,monthly_work_hours!B:B)</f>
        <v>채명길</v>
      </c>
      <c r="C190" t="str">
        <f>_xlfn.XLOOKUP(A190,monthly_work_hours!A:A,monthly_work_hours!C:C)</f>
        <v>B/H사업팀</v>
      </c>
      <c r="D190" t="str">
        <f>_xlfn.XLOOKUP(A190,monthly_work_hours!A:A,monthly_work_hours!D:D)</f>
        <v>선임</v>
      </c>
      <c r="E190">
        <f>SUMIFS(monthly_work_hours!$K:$K,monthly_work_hours!$A:$A,'FTE 계산'!$A190,monthly_work_hours!$F:$F,'FTE 계산'!E$2)</f>
        <v>192.1</v>
      </c>
      <c r="F190">
        <f>SUMIFS(monthly_work_hours!$K:$K,monthly_work_hours!$A:$A,'FTE 계산'!$A190,monthly_work_hours!$F:$F,'FTE 계산'!F$2)</f>
        <v>172.7</v>
      </c>
      <c r="G190">
        <f>SUMIFS(monthly_work_hours!$K:$K,monthly_work_hours!$A:$A,'FTE 계산'!$A190,monthly_work_hours!$F:$F,'FTE 계산'!G$2)</f>
        <v>164.4</v>
      </c>
      <c r="H190">
        <f>(SUMIFS(monthly_work_hours!$G:$G,monthly_work_hours!$A:$A,'FTE 계산'!$A190,monthly_work_hours!$F:$F,'FTE 계산'!H$2)) - (SUMIFS(monthly_work_hours!$J:$J,monthly_work_hours!$A:$A,'FTE 계산'!$A190,monthly_work_hours!$F:$F,'FTE 계산'!H$2))</f>
        <v>19</v>
      </c>
      <c r="I190">
        <f>(SUMIFS(monthly_work_hours!$G:$G,monthly_work_hours!$A:$A,'FTE 계산'!$A190,monthly_work_hours!$F:$F,'FTE 계산'!I$2)) - (SUMIFS(monthly_work_hours!$J:$J,monthly_work_hours!$A:$A,'FTE 계산'!$A190,monthly_work_hours!$F:$F,'FTE 계산'!I$2))</f>
        <v>17</v>
      </c>
      <c r="J190">
        <f>(SUMIFS(monthly_work_hours!$G:$G,monthly_work_hours!$A:$A,'FTE 계산'!$A190,monthly_work_hours!$F:$F,'FTE 계산'!J$2)) - (SUMIFS(monthly_work_hours!$J:$J,monthly_work_hours!$A:$A,'FTE 계산'!$A190,monthly_work_hours!$F:$F,'FTE 계산'!J$2))</f>
        <v>16</v>
      </c>
    </row>
    <row r="191" spans="1:10">
      <c r="A191">
        <v>1223087</v>
      </c>
      <c r="B191" t="str">
        <f>_xlfn.XLOOKUP(A191,monthly_work_hours!A:A,monthly_work_hours!B:B)</f>
        <v>김현민</v>
      </c>
      <c r="C191" t="str">
        <f>_xlfn.XLOOKUP(A191,monthly_work_hours!A:A,monthly_work_hours!C:C)</f>
        <v>FL품질보증팀</v>
      </c>
      <c r="D191" t="str">
        <f>_xlfn.XLOOKUP(A191,monthly_work_hours!A:A,monthly_work_hours!D:D)</f>
        <v>선임</v>
      </c>
      <c r="E191">
        <f>SUMIFS(monthly_work_hours!$K:$K,monthly_work_hours!$A:$A,'FTE 계산'!$A191,monthly_work_hours!$F:$F,'FTE 계산'!E$2)</f>
        <v>148.5</v>
      </c>
      <c r="F191">
        <f>SUMIFS(monthly_work_hours!$K:$K,monthly_work_hours!$A:$A,'FTE 계산'!$A191,monthly_work_hours!$F:$F,'FTE 계산'!F$2)</f>
        <v>160.4</v>
      </c>
      <c r="G191">
        <f>SUMIFS(monthly_work_hours!$K:$K,monthly_work_hours!$A:$A,'FTE 계산'!$A191,monthly_work_hours!$F:$F,'FTE 계산'!G$2)</f>
        <v>102.9</v>
      </c>
      <c r="H191">
        <f>(SUMIFS(monthly_work_hours!$G:$G,monthly_work_hours!$A:$A,'FTE 계산'!$A191,monthly_work_hours!$F:$F,'FTE 계산'!H$2)) - (SUMIFS(monthly_work_hours!$J:$J,monthly_work_hours!$A:$A,'FTE 계산'!$A191,monthly_work_hours!$F:$F,'FTE 계산'!H$2))</f>
        <v>16</v>
      </c>
      <c r="I191">
        <f>(SUMIFS(monthly_work_hours!$G:$G,monthly_work_hours!$A:$A,'FTE 계산'!$A191,monthly_work_hours!$F:$F,'FTE 계산'!I$2)) - (SUMIFS(monthly_work_hours!$J:$J,monthly_work_hours!$A:$A,'FTE 계산'!$A191,monthly_work_hours!$F:$F,'FTE 계산'!I$2))</f>
        <v>17</v>
      </c>
      <c r="J191">
        <f>(SUMIFS(monthly_work_hours!$G:$G,monthly_work_hours!$A:$A,'FTE 계산'!$A191,monthly_work_hours!$F:$F,'FTE 계산'!J$2)) - (SUMIFS(monthly_work_hours!$J:$J,monthly_work_hours!$A:$A,'FTE 계산'!$A191,monthly_work_hours!$F:$F,'FTE 계산'!J$2))</f>
        <v>13</v>
      </c>
    </row>
    <row r="192" spans="1:10">
      <c r="A192">
        <v>1223094</v>
      </c>
      <c r="B192" t="str">
        <f>_xlfn.XLOOKUP(A192,monthly_work_hours!A:A,monthly_work_hours!B:B)</f>
        <v>류지훈</v>
      </c>
      <c r="C192" t="str">
        <f>_xlfn.XLOOKUP(A192,monthly_work_hours!A:A,monthly_work_hours!C:C)</f>
        <v>구매원가팀</v>
      </c>
      <c r="D192" t="str">
        <f>_xlfn.XLOOKUP(A192,monthly_work_hours!A:A,monthly_work_hours!D:D)</f>
        <v>사원</v>
      </c>
      <c r="E192">
        <f>SUMIFS(monthly_work_hours!$K:$K,monthly_work_hours!$A:$A,'FTE 계산'!$A192,monthly_work_hours!$F:$F,'FTE 계산'!E$2)</f>
        <v>172</v>
      </c>
      <c r="F192">
        <f>SUMIFS(monthly_work_hours!$K:$K,monthly_work_hours!$A:$A,'FTE 계산'!$A192,monthly_work_hours!$F:$F,'FTE 계산'!F$2)</f>
        <v>179</v>
      </c>
      <c r="G192">
        <f>SUMIFS(monthly_work_hours!$K:$K,monthly_work_hours!$A:$A,'FTE 계산'!$A192,monthly_work_hours!$F:$F,'FTE 계산'!G$2)</f>
        <v>140.80000000000001</v>
      </c>
      <c r="H192">
        <f>(SUMIFS(monthly_work_hours!$G:$G,monthly_work_hours!$A:$A,'FTE 계산'!$A192,monthly_work_hours!$F:$F,'FTE 계산'!H$2)) - (SUMIFS(monthly_work_hours!$J:$J,monthly_work_hours!$A:$A,'FTE 계산'!$A192,monthly_work_hours!$F:$F,'FTE 계산'!H$2))</f>
        <v>17</v>
      </c>
      <c r="I192">
        <f>(SUMIFS(monthly_work_hours!$G:$G,monthly_work_hours!$A:$A,'FTE 계산'!$A192,monthly_work_hours!$F:$F,'FTE 계산'!I$2)) - (SUMIFS(monthly_work_hours!$J:$J,monthly_work_hours!$A:$A,'FTE 계산'!$A192,monthly_work_hours!$F:$F,'FTE 계산'!I$2))</f>
        <v>18</v>
      </c>
      <c r="J192">
        <f>(SUMIFS(monthly_work_hours!$G:$G,monthly_work_hours!$A:$A,'FTE 계산'!$A192,monthly_work_hours!$F:$F,'FTE 계산'!J$2)) - (SUMIFS(monthly_work_hours!$J:$J,monthly_work_hours!$A:$A,'FTE 계산'!$A192,monthly_work_hours!$F:$F,'FTE 계산'!J$2))</f>
        <v>15</v>
      </c>
    </row>
    <row r="193" spans="1:10">
      <c r="A193">
        <v>1223095</v>
      </c>
      <c r="B193" t="str">
        <f>_xlfn.XLOOKUP(A193,monthly_work_hours!A:A,monthly_work_hours!B:B)</f>
        <v>최규빈</v>
      </c>
      <c r="C193" t="str">
        <f>_xlfn.XLOOKUP(A193,monthly_work_hours!A:A,monthly_work_hours!C:C)</f>
        <v>SL품질보증팀</v>
      </c>
      <c r="D193" t="str">
        <f>_xlfn.XLOOKUP(A193,monthly_work_hours!A:A,monthly_work_hours!D:D)</f>
        <v>선임</v>
      </c>
      <c r="E193">
        <f>SUMIFS(monthly_work_hours!$K:$K,monthly_work_hours!$A:$A,'FTE 계산'!$A193,monthly_work_hours!$F:$F,'FTE 계산'!E$2)</f>
        <v>77.099999999999994</v>
      </c>
      <c r="F193">
        <f>SUMIFS(monthly_work_hours!$K:$K,monthly_work_hours!$A:$A,'FTE 계산'!$A193,monthly_work_hours!$F:$F,'FTE 계산'!F$2)</f>
        <v>120</v>
      </c>
      <c r="G193">
        <f>SUMIFS(monthly_work_hours!$K:$K,monthly_work_hours!$A:$A,'FTE 계산'!$A193,monthly_work_hours!$F:$F,'FTE 계산'!G$2)</f>
        <v>74.400000000000006</v>
      </c>
      <c r="H193">
        <f>(SUMIFS(monthly_work_hours!$G:$G,monthly_work_hours!$A:$A,'FTE 계산'!$A193,monthly_work_hours!$F:$F,'FTE 계산'!H$2)) - (SUMIFS(monthly_work_hours!$J:$J,monthly_work_hours!$A:$A,'FTE 계산'!$A193,monthly_work_hours!$F:$F,'FTE 계산'!H$2))</f>
        <v>11</v>
      </c>
      <c r="I193">
        <f>(SUMIFS(monthly_work_hours!$G:$G,monthly_work_hours!$A:$A,'FTE 계산'!$A193,monthly_work_hours!$F:$F,'FTE 계산'!I$2)) - (SUMIFS(monthly_work_hours!$J:$J,monthly_work_hours!$A:$A,'FTE 계산'!$A193,monthly_work_hours!$F:$F,'FTE 계산'!I$2))</f>
        <v>14</v>
      </c>
      <c r="J193">
        <f>(SUMIFS(monthly_work_hours!$G:$G,monthly_work_hours!$A:$A,'FTE 계산'!$A193,monthly_work_hours!$F:$F,'FTE 계산'!J$2)) - (SUMIFS(monthly_work_hours!$J:$J,monthly_work_hours!$A:$A,'FTE 계산'!$A193,monthly_work_hours!$F:$F,'FTE 계산'!J$2))</f>
        <v>11</v>
      </c>
    </row>
    <row r="194" spans="1:10">
      <c r="A194">
        <v>1223096</v>
      </c>
      <c r="B194" t="str">
        <f>_xlfn.XLOOKUP(A194,monthly_work_hours!A:A,monthly_work_hours!B:B)</f>
        <v>김종완</v>
      </c>
      <c r="C194" t="str">
        <f>_xlfn.XLOOKUP(A194,monthly_work_hours!A:A,monthly_work_hours!C:C)</f>
        <v>SL품질보증팀</v>
      </c>
      <c r="D194" t="str">
        <f>_xlfn.XLOOKUP(A194,monthly_work_hours!A:A,monthly_work_hours!D:D)</f>
        <v>선임</v>
      </c>
      <c r="E194">
        <f>SUMIFS(monthly_work_hours!$K:$K,monthly_work_hours!$A:$A,'FTE 계산'!$A194,monthly_work_hours!$F:$F,'FTE 계산'!E$2)</f>
        <v>17.8</v>
      </c>
      <c r="F194">
        <f>SUMIFS(monthly_work_hours!$K:$K,monthly_work_hours!$A:$A,'FTE 계산'!$A194,monthly_work_hours!$F:$F,'FTE 계산'!F$2)</f>
        <v>17.600000000000001</v>
      </c>
      <c r="G194">
        <f>SUMIFS(monthly_work_hours!$K:$K,monthly_work_hours!$A:$A,'FTE 계산'!$A194,monthly_work_hours!$F:$F,'FTE 계산'!G$2)</f>
        <v>13.3</v>
      </c>
      <c r="H194">
        <f>(SUMIFS(monthly_work_hours!$G:$G,monthly_work_hours!$A:$A,'FTE 계산'!$A194,monthly_work_hours!$F:$F,'FTE 계산'!H$2)) - (SUMIFS(monthly_work_hours!$J:$J,monthly_work_hours!$A:$A,'FTE 계산'!$A194,monthly_work_hours!$F:$F,'FTE 계산'!H$2))</f>
        <v>4</v>
      </c>
      <c r="I194">
        <f>(SUMIFS(monthly_work_hours!$G:$G,monthly_work_hours!$A:$A,'FTE 계산'!$A194,monthly_work_hours!$F:$F,'FTE 계산'!I$2)) - (SUMIFS(monthly_work_hours!$J:$J,monthly_work_hours!$A:$A,'FTE 계산'!$A194,monthly_work_hours!$F:$F,'FTE 계산'!I$2))</f>
        <v>2</v>
      </c>
      <c r="J194">
        <f>(SUMIFS(monthly_work_hours!$G:$G,monthly_work_hours!$A:$A,'FTE 계산'!$A194,monthly_work_hours!$F:$F,'FTE 계산'!J$2)) - (SUMIFS(monthly_work_hours!$J:$J,monthly_work_hours!$A:$A,'FTE 계산'!$A194,monthly_work_hours!$F:$F,'FTE 계산'!J$2))</f>
        <v>3</v>
      </c>
    </row>
    <row r="195" spans="1:10">
      <c r="A195">
        <v>1223097</v>
      </c>
      <c r="B195" t="str">
        <f>_xlfn.XLOOKUP(A195,monthly_work_hours!A:A,monthly_work_hours!B:B)</f>
        <v>박세환</v>
      </c>
      <c r="C195" t="str">
        <f>_xlfn.XLOOKUP(A195,monthly_work_hours!A:A,monthly_work_hours!C:C)</f>
        <v>열관리사업팀</v>
      </c>
      <c r="D195" t="str">
        <f>_xlfn.XLOOKUP(A195,monthly_work_hours!A:A,monthly_work_hours!D:D)</f>
        <v>선임</v>
      </c>
      <c r="E195">
        <f>SUMIFS(monthly_work_hours!$K:$K,monthly_work_hours!$A:$A,'FTE 계산'!$A195,monthly_work_hours!$F:$F,'FTE 계산'!E$2)</f>
        <v>174.8</v>
      </c>
      <c r="F195">
        <f>SUMIFS(monthly_work_hours!$K:$K,monthly_work_hours!$A:$A,'FTE 계산'!$A195,monthly_work_hours!$F:$F,'FTE 계산'!F$2)</f>
        <v>197.2</v>
      </c>
      <c r="G195">
        <f>SUMIFS(monthly_work_hours!$K:$K,monthly_work_hours!$A:$A,'FTE 계산'!$A195,monthly_work_hours!$F:$F,'FTE 계산'!G$2)</f>
        <v>180.4</v>
      </c>
      <c r="H195">
        <f>(SUMIFS(monthly_work_hours!$G:$G,monthly_work_hours!$A:$A,'FTE 계산'!$A195,monthly_work_hours!$F:$F,'FTE 계산'!H$2)) - (SUMIFS(monthly_work_hours!$J:$J,monthly_work_hours!$A:$A,'FTE 계산'!$A195,monthly_work_hours!$F:$F,'FTE 계산'!H$2))</f>
        <v>18</v>
      </c>
      <c r="I195">
        <f>(SUMIFS(monthly_work_hours!$G:$G,monthly_work_hours!$A:$A,'FTE 계산'!$A195,monthly_work_hours!$F:$F,'FTE 계산'!I$2)) - (SUMIFS(monthly_work_hours!$J:$J,monthly_work_hours!$A:$A,'FTE 계산'!$A195,monthly_work_hours!$F:$F,'FTE 계산'!I$2))</f>
        <v>20</v>
      </c>
      <c r="J195">
        <f>(SUMIFS(monthly_work_hours!$G:$G,monthly_work_hours!$A:$A,'FTE 계산'!$A195,monthly_work_hours!$F:$F,'FTE 계산'!J$2)) - (SUMIFS(monthly_work_hours!$J:$J,monthly_work_hours!$A:$A,'FTE 계산'!$A195,monthly_work_hours!$F:$F,'FTE 계산'!J$2))</f>
        <v>16</v>
      </c>
    </row>
    <row r="196" spans="1:10">
      <c r="A196">
        <v>1223098</v>
      </c>
      <c r="B196" t="str">
        <f>_xlfn.XLOOKUP(A196,monthly_work_hours!A:A,monthly_work_hours!B:B)</f>
        <v>이준호</v>
      </c>
      <c r="C196" t="str">
        <f>_xlfn.XLOOKUP(A196,monthly_work_hours!A:A,monthly_work_hours!C:C)</f>
        <v>관체사업팀</v>
      </c>
      <c r="D196" t="str">
        <f>_xlfn.XLOOKUP(A196,monthly_work_hours!A:A,monthly_work_hours!D:D)</f>
        <v>선임</v>
      </c>
      <c r="E196">
        <f>SUMIFS(monthly_work_hours!$K:$K,monthly_work_hours!$A:$A,'FTE 계산'!$A196,monthly_work_hours!$F:$F,'FTE 계산'!E$2)</f>
        <v>175.3</v>
      </c>
      <c r="F196">
        <f>SUMIFS(monthly_work_hours!$K:$K,monthly_work_hours!$A:$A,'FTE 계산'!$A196,monthly_work_hours!$F:$F,'FTE 계산'!F$2)</f>
        <v>171.3</v>
      </c>
      <c r="G196">
        <f>SUMIFS(monthly_work_hours!$K:$K,monthly_work_hours!$A:$A,'FTE 계산'!$A196,monthly_work_hours!$F:$F,'FTE 계산'!G$2)</f>
        <v>154</v>
      </c>
      <c r="H196">
        <f>(SUMIFS(monthly_work_hours!$G:$G,monthly_work_hours!$A:$A,'FTE 계산'!$A196,monthly_work_hours!$F:$F,'FTE 계산'!H$2)) - (SUMIFS(monthly_work_hours!$J:$J,monthly_work_hours!$A:$A,'FTE 계산'!$A196,monthly_work_hours!$F:$F,'FTE 계산'!H$2))</f>
        <v>18</v>
      </c>
      <c r="I196">
        <f>(SUMIFS(monthly_work_hours!$G:$G,monthly_work_hours!$A:$A,'FTE 계산'!$A196,monthly_work_hours!$F:$F,'FTE 계산'!I$2)) - (SUMIFS(monthly_work_hours!$J:$J,monthly_work_hours!$A:$A,'FTE 계산'!$A196,monthly_work_hours!$F:$F,'FTE 계산'!I$2))</f>
        <v>18</v>
      </c>
      <c r="J196">
        <f>(SUMIFS(monthly_work_hours!$G:$G,monthly_work_hours!$A:$A,'FTE 계산'!$A196,monthly_work_hours!$F:$F,'FTE 계산'!J$2)) - (SUMIFS(monthly_work_hours!$J:$J,monthly_work_hours!$A:$A,'FTE 계산'!$A196,monthly_work_hours!$F:$F,'FTE 계산'!J$2))</f>
        <v>16</v>
      </c>
    </row>
    <row r="197" spans="1:10">
      <c r="A197">
        <v>1223099</v>
      </c>
      <c r="B197" t="str">
        <f>_xlfn.XLOOKUP(A197,monthly_work_hours!A:A,monthly_work_hours!B:B)</f>
        <v>이원재</v>
      </c>
      <c r="C197" t="str">
        <f>_xlfn.XLOOKUP(A197,monthly_work_hours!A:A,monthly_work_hours!C:C)</f>
        <v>FL품질보증팀</v>
      </c>
      <c r="D197" t="str">
        <f>_xlfn.XLOOKUP(A197,monthly_work_hours!A:A,monthly_work_hours!D:D)</f>
        <v>선임</v>
      </c>
      <c r="E197">
        <f>SUMIFS(monthly_work_hours!$K:$K,monthly_work_hours!$A:$A,'FTE 계산'!$A197,monthly_work_hours!$F:$F,'FTE 계산'!E$2)</f>
        <v>221.7</v>
      </c>
      <c r="F197">
        <f>SUMIFS(monthly_work_hours!$K:$K,monthly_work_hours!$A:$A,'FTE 계산'!$A197,monthly_work_hours!$F:$F,'FTE 계산'!F$2)</f>
        <v>194.6</v>
      </c>
      <c r="G197">
        <f>SUMIFS(monthly_work_hours!$K:$K,monthly_work_hours!$A:$A,'FTE 계산'!$A197,monthly_work_hours!$F:$F,'FTE 계산'!G$2)</f>
        <v>165.8</v>
      </c>
      <c r="H197">
        <f>(SUMIFS(monthly_work_hours!$G:$G,monthly_work_hours!$A:$A,'FTE 계산'!$A197,monthly_work_hours!$F:$F,'FTE 계산'!H$2)) - (SUMIFS(monthly_work_hours!$J:$J,monthly_work_hours!$A:$A,'FTE 계산'!$A197,monthly_work_hours!$F:$F,'FTE 계산'!H$2))</f>
        <v>19</v>
      </c>
      <c r="I197">
        <f>(SUMIFS(monthly_work_hours!$G:$G,monthly_work_hours!$A:$A,'FTE 계산'!$A197,monthly_work_hours!$F:$F,'FTE 계산'!I$2)) - (SUMIFS(monthly_work_hours!$J:$J,monthly_work_hours!$A:$A,'FTE 계산'!$A197,monthly_work_hours!$F:$F,'FTE 계산'!I$2))</f>
        <v>21</v>
      </c>
      <c r="J197">
        <f>(SUMIFS(monthly_work_hours!$G:$G,monthly_work_hours!$A:$A,'FTE 계산'!$A197,monthly_work_hours!$F:$F,'FTE 계산'!J$2)) - (SUMIFS(monthly_work_hours!$J:$J,monthly_work_hours!$A:$A,'FTE 계산'!$A197,monthly_work_hours!$F:$F,'FTE 계산'!J$2))</f>
        <v>16</v>
      </c>
    </row>
    <row r="198" spans="1:10">
      <c r="A198">
        <v>1223104</v>
      </c>
      <c r="B198" t="str">
        <f>_xlfn.XLOOKUP(A198,monthly_work_hours!A:A,monthly_work_hours!B:B)</f>
        <v>이승현</v>
      </c>
      <c r="C198" t="str">
        <f>_xlfn.XLOOKUP(A198,monthly_work_hours!A:A,monthly_work_hours!C:C)</f>
        <v>Brake설계팀</v>
      </c>
      <c r="D198" t="str">
        <f>_xlfn.XLOOKUP(A198,monthly_work_hours!A:A,monthly_work_hours!D:D)</f>
        <v>사원</v>
      </c>
      <c r="E198">
        <f>SUMIFS(monthly_work_hours!$K:$K,monthly_work_hours!$A:$A,'FTE 계산'!$A198,monthly_work_hours!$F:$F,'FTE 계산'!E$2)</f>
        <v>137.5</v>
      </c>
      <c r="F198">
        <f>SUMIFS(monthly_work_hours!$K:$K,monthly_work_hours!$A:$A,'FTE 계산'!$A198,monthly_work_hours!$F:$F,'FTE 계산'!F$2)</f>
        <v>127.5</v>
      </c>
      <c r="G198">
        <f>SUMIFS(monthly_work_hours!$K:$K,monthly_work_hours!$A:$A,'FTE 계산'!$A198,monthly_work_hours!$F:$F,'FTE 계산'!G$2)</f>
        <v>127.7</v>
      </c>
      <c r="H198">
        <f>(SUMIFS(monthly_work_hours!$G:$G,monthly_work_hours!$A:$A,'FTE 계산'!$A198,monthly_work_hours!$F:$F,'FTE 계산'!H$2)) - (SUMIFS(monthly_work_hours!$J:$J,monthly_work_hours!$A:$A,'FTE 계산'!$A198,monthly_work_hours!$F:$F,'FTE 계산'!H$2))</f>
        <v>16</v>
      </c>
      <c r="I198">
        <f>(SUMIFS(monthly_work_hours!$G:$G,monthly_work_hours!$A:$A,'FTE 계산'!$A198,monthly_work_hours!$F:$F,'FTE 계산'!I$2)) - (SUMIFS(monthly_work_hours!$J:$J,monthly_work_hours!$A:$A,'FTE 계산'!$A198,monthly_work_hours!$F:$F,'FTE 계산'!I$2))</f>
        <v>14</v>
      </c>
      <c r="J198">
        <f>(SUMIFS(monthly_work_hours!$G:$G,monthly_work_hours!$A:$A,'FTE 계산'!$A198,monthly_work_hours!$F:$F,'FTE 계산'!J$2)) - (SUMIFS(monthly_work_hours!$J:$J,monthly_work_hours!$A:$A,'FTE 계산'!$A198,monthly_work_hours!$F:$F,'FTE 계산'!J$2))</f>
        <v>15</v>
      </c>
    </row>
    <row r="199" spans="1:10">
      <c r="A199">
        <v>1223105</v>
      </c>
      <c r="B199" t="str">
        <f>_xlfn.XLOOKUP(A199,monthly_work_hours!A:A,monthly_work_hours!B:B)</f>
        <v>이호준</v>
      </c>
      <c r="C199" t="str">
        <f>_xlfn.XLOOKUP(A199,monthly_work_hours!A:A,monthly_work_hours!C:C)</f>
        <v>FL생산기술팀</v>
      </c>
      <c r="D199" t="str">
        <f>_xlfn.XLOOKUP(A199,monthly_work_hours!A:A,monthly_work_hours!D:D)</f>
        <v>사원</v>
      </c>
      <c r="E199">
        <f>SUMIFS(monthly_work_hours!$K:$K,monthly_work_hours!$A:$A,'FTE 계산'!$A199,monthly_work_hours!$F:$F,'FTE 계산'!E$2)</f>
        <v>192</v>
      </c>
      <c r="F199">
        <f>SUMIFS(monthly_work_hours!$K:$K,monthly_work_hours!$A:$A,'FTE 계산'!$A199,monthly_work_hours!$F:$F,'FTE 계산'!F$2)</f>
        <v>217.2</v>
      </c>
      <c r="G199">
        <f>SUMIFS(monthly_work_hours!$K:$K,monthly_work_hours!$A:$A,'FTE 계산'!$A199,monthly_work_hours!$F:$F,'FTE 계산'!G$2)</f>
        <v>171.7</v>
      </c>
      <c r="H199">
        <f>(SUMIFS(monthly_work_hours!$G:$G,monthly_work_hours!$A:$A,'FTE 계산'!$A199,monthly_work_hours!$F:$F,'FTE 계산'!H$2)) - (SUMIFS(monthly_work_hours!$J:$J,monthly_work_hours!$A:$A,'FTE 계산'!$A199,monthly_work_hours!$F:$F,'FTE 계산'!H$2))</f>
        <v>18</v>
      </c>
      <c r="I199">
        <f>(SUMIFS(monthly_work_hours!$G:$G,monthly_work_hours!$A:$A,'FTE 계산'!$A199,monthly_work_hours!$F:$F,'FTE 계산'!I$2)) - (SUMIFS(monthly_work_hours!$J:$J,monthly_work_hours!$A:$A,'FTE 계산'!$A199,monthly_work_hours!$F:$F,'FTE 계산'!I$2))</f>
        <v>18</v>
      </c>
      <c r="J199">
        <f>(SUMIFS(monthly_work_hours!$G:$G,monthly_work_hours!$A:$A,'FTE 계산'!$A199,monthly_work_hours!$F:$F,'FTE 계산'!J$2)) - (SUMIFS(monthly_work_hours!$J:$J,monthly_work_hours!$A:$A,'FTE 계산'!$A199,monthly_work_hours!$F:$F,'FTE 계산'!J$2))</f>
        <v>16</v>
      </c>
    </row>
    <row r="200" spans="1:10">
      <c r="A200">
        <v>1223106</v>
      </c>
      <c r="B200" t="str">
        <f>_xlfn.XLOOKUP(A200,monthly_work_hours!A:A,monthly_work_hours!B:B)</f>
        <v>유나경</v>
      </c>
      <c r="C200" t="str">
        <f>_xlfn.XLOOKUP(A200,monthly_work_hours!A:A,monthly_work_hours!C:C)</f>
        <v>FL생산기술팀</v>
      </c>
      <c r="D200" t="str">
        <f>_xlfn.XLOOKUP(A200,monthly_work_hours!A:A,monthly_work_hours!D:D)</f>
        <v>사원</v>
      </c>
      <c r="E200">
        <f>SUMIFS(monthly_work_hours!$K:$K,monthly_work_hours!$A:$A,'FTE 계산'!$A200,monthly_work_hours!$F:$F,'FTE 계산'!E$2)</f>
        <v>150.4</v>
      </c>
      <c r="F200">
        <f>SUMIFS(monthly_work_hours!$K:$K,monthly_work_hours!$A:$A,'FTE 계산'!$A200,monthly_work_hours!$F:$F,'FTE 계산'!F$2)</f>
        <v>173.6</v>
      </c>
      <c r="G200">
        <f>SUMIFS(monthly_work_hours!$K:$K,monthly_work_hours!$A:$A,'FTE 계산'!$A200,monthly_work_hours!$F:$F,'FTE 계산'!G$2)</f>
        <v>105.2</v>
      </c>
      <c r="H200">
        <f>(SUMIFS(monthly_work_hours!$G:$G,monthly_work_hours!$A:$A,'FTE 계산'!$A200,monthly_work_hours!$F:$F,'FTE 계산'!H$2)) - (SUMIFS(monthly_work_hours!$J:$J,monthly_work_hours!$A:$A,'FTE 계산'!$A200,monthly_work_hours!$F:$F,'FTE 계산'!H$2))</f>
        <v>16</v>
      </c>
      <c r="I200">
        <f>(SUMIFS(monthly_work_hours!$G:$G,monthly_work_hours!$A:$A,'FTE 계산'!$A200,monthly_work_hours!$F:$F,'FTE 계산'!I$2)) - (SUMIFS(monthly_work_hours!$J:$J,monthly_work_hours!$A:$A,'FTE 계산'!$A200,monthly_work_hours!$F:$F,'FTE 계산'!I$2))</f>
        <v>18</v>
      </c>
      <c r="J200">
        <f>(SUMIFS(monthly_work_hours!$G:$G,monthly_work_hours!$A:$A,'FTE 계산'!$A200,monthly_work_hours!$F:$F,'FTE 계산'!J$2)) - (SUMIFS(monthly_work_hours!$J:$J,monthly_work_hours!$A:$A,'FTE 계산'!$A200,monthly_work_hours!$F:$F,'FTE 계산'!J$2))</f>
        <v>14</v>
      </c>
    </row>
    <row r="201" spans="1:10">
      <c r="A201">
        <v>1223108</v>
      </c>
      <c r="B201" t="str">
        <f>_xlfn.XLOOKUP(A201,monthly_work_hours!A:A,monthly_work_hours!B:B)</f>
        <v>고민정</v>
      </c>
      <c r="C201" t="str">
        <f>_xlfn.XLOOKUP(A201,monthly_work_hours!A:A,monthly_work_hours!C:C)</f>
        <v>열관리설계팀</v>
      </c>
      <c r="D201" t="str">
        <f>_xlfn.XLOOKUP(A201,monthly_work_hours!A:A,monthly_work_hours!D:D)</f>
        <v>사원</v>
      </c>
      <c r="E201">
        <f>SUMIFS(monthly_work_hours!$K:$K,monthly_work_hours!$A:$A,'FTE 계산'!$A201,monthly_work_hours!$F:$F,'FTE 계산'!E$2)</f>
        <v>145.30000000000001</v>
      </c>
      <c r="F201">
        <f>SUMIFS(monthly_work_hours!$K:$K,monthly_work_hours!$A:$A,'FTE 계산'!$A201,monthly_work_hours!$F:$F,'FTE 계산'!F$2)</f>
        <v>145.9</v>
      </c>
      <c r="G201">
        <f>SUMIFS(monthly_work_hours!$K:$K,monthly_work_hours!$A:$A,'FTE 계산'!$A201,monthly_work_hours!$F:$F,'FTE 계산'!G$2)</f>
        <v>137.80000000000001</v>
      </c>
      <c r="H201">
        <f>(SUMIFS(monthly_work_hours!$G:$G,monthly_work_hours!$A:$A,'FTE 계산'!$A201,monthly_work_hours!$F:$F,'FTE 계산'!H$2)) - (SUMIFS(monthly_work_hours!$J:$J,monthly_work_hours!$A:$A,'FTE 계산'!$A201,monthly_work_hours!$F:$F,'FTE 계산'!H$2))</f>
        <v>17</v>
      </c>
      <c r="I201">
        <f>(SUMIFS(monthly_work_hours!$G:$G,monthly_work_hours!$A:$A,'FTE 계산'!$A201,monthly_work_hours!$F:$F,'FTE 계산'!I$2)) - (SUMIFS(monthly_work_hours!$J:$J,monthly_work_hours!$A:$A,'FTE 계산'!$A201,monthly_work_hours!$F:$F,'FTE 계산'!I$2))</f>
        <v>17</v>
      </c>
      <c r="J201">
        <f>(SUMIFS(monthly_work_hours!$G:$G,monthly_work_hours!$A:$A,'FTE 계산'!$A201,monthly_work_hours!$F:$F,'FTE 계산'!J$2)) - (SUMIFS(monthly_work_hours!$J:$J,monthly_work_hours!$A:$A,'FTE 계산'!$A201,monthly_work_hours!$F:$F,'FTE 계산'!J$2))</f>
        <v>16</v>
      </c>
    </row>
    <row r="202" spans="1:10">
      <c r="A202">
        <v>1224008</v>
      </c>
      <c r="B202" t="str">
        <f>_xlfn.XLOOKUP(A202,monthly_work_hours!A:A,monthly_work_hours!B:B)</f>
        <v>김성민</v>
      </c>
      <c r="C202" t="str">
        <f>_xlfn.XLOOKUP(A202,monthly_work_hours!A:A,monthly_work_hours!C:C)</f>
        <v>SL상생협력팀</v>
      </c>
      <c r="D202" t="str">
        <f>_xlfn.XLOOKUP(A202,monthly_work_hours!A:A,monthly_work_hours!D:D)</f>
        <v>책임</v>
      </c>
      <c r="E202">
        <f>SUMIFS(monthly_work_hours!$K:$K,monthly_work_hours!$A:$A,'FTE 계산'!$A202,monthly_work_hours!$F:$F,'FTE 계산'!E$2)</f>
        <v>161.4</v>
      </c>
      <c r="F202">
        <f>SUMIFS(monthly_work_hours!$K:$K,monthly_work_hours!$A:$A,'FTE 계산'!$A202,monthly_work_hours!$F:$F,'FTE 계산'!F$2)</f>
        <v>165.8</v>
      </c>
      <c r="G202">
        <f>SUMIFS(monthly_work_hours!$K:$K,monthly_work_hours!$A:$A,'FTE 계산'!$A202,monthly_work_hours!$F:$F,'FTE 계산'!G$2)</f>
        <v>125.8</v>
      </c>
      <c r="H202">
        <f>(SUMIFS(monthly_work_hours!$G:$G,monthly_work_hours!$A:$A,'FTE 계산'!$A202,monthly_work_hours!$F:$F,'FTE 계산'!H$2)) - (SUMIFS(monthly_work_hours!$J:$J,monthly_work_hours!$A:$A,'FTE 계산'!$A202,monthly_work_hours!$F:$F,'FTE 계산'!H$2))</f>
        <v>18</v>
      </c>
      <c r="I202">
        <f>(SUMIFS(monthly_work_hours!$G:$G,monthly_work_hours!$A:$A,'FTE 계산'!$A202,monthly_work_hours!$F:$F,'FTE 계산'!I$2)) - (SUMIFS(monthly_work_hours!$J:$J,monthly_work_hours!$A:$A,'FTE 계산'!$A202,monthly_work_hours!$F:$F,'FTE 계산'!I$2))</f>
        <v>18</v>
      </c>
      <c r="J202">
        <f>(SUMIFS(monthly_work_hours!$G:$G,monthly_work_hours!$A:$A,'FTE 계산'!$A202,monthly_work_hours!$F:$F,'FTE 계산'!J$2)) - (SUMIFS(monthly_work_hours!$J:$J,monthly_work_hours!$A:$A,'FTE 계산'!$A202,monthly_work_hours!$F:$F,'FTE 계산'!J$2))</f>
        <v>14</v>
      </c>
    </row>
    <row r="203" spans="1:10">
      <c r="A203">
        <v>1224009</v>
      </c>
      <c r="B203" t="str">
        <f>_xlfn.XLOOKUP(A203,monthly_work_hours!A:A,monthly_work_hours!B:B)</f>
        <v>임창헌</v>
      </c>
      <c r="C203" t="str">
        <f>_xlfn.XLOOKUP(A203,monthly_work_hours!A:A,monthly_work_hours!C:C)</f>
        <v>SL생산팀</v>
      </c>
      <c r="D203" t="str">
        <f>_xlfn.XLOOKUP(A203,monthly_work_hours!A:A,monthly_work_hours!D:D)</f>
        <v>선임</v>
      </c>
      <c r="E203">
        <f>SUMIFS(monthly_work_hours!$K:$K,monthly_work_hours!$A:$A,'FTE 계산'!$A203,monthly_work_hours!$F:$F,'FTE 계산'!E$2)</f>
        <v>158.80000000000001</v>
      </c>
      <c r="F203">
        <f>SUMIFS(monthly_work_hours!$K:$K,monthly_work_hours!$A:$A,'FTE 계산'!$A203,monthly_work_hours!$F:$F,'FTE 계산'!F$2)</f>
        <v>150</v>
      </c>
      <c r="G203">
        <f>SUMIFS(monthly_work_hours!$K:$K,monthly_work_hours!$A:$A,'FTE 계산'!$A203,monthly_work_hours!$F:$F,'FTE 계산'!G$2)</f>
        <v>140.9</v>
      </c>
      <c r="H203">
        <f>(SUMIFS(monthly_work_hours!$G:$G,monthly_work_hours!$A:$A,'FTE 계산'!$A203,monthly_work_hours!$F:$F,'FTE 계산'!H$2)) - (SUMIFS(monthly_work_hours!$J:$J,monthly_work_hours!$A:$A,'FTE 계산'!$A203,monthly_work_hours!$F:$F,'FTE 계산'!H$2))</f>
        <v>18</v>
      </c>
      <c r="I203">
        <f>(SUMIFS(monthly_work_hours!$G:$G,monthly_work_hours!$A:$A,'FTE 계산'!$A203,monthly_work_hours!$F:$F,'FTE 계산'!I$2)) - (SUMIFS(monthly_work_hours!$J:$J,monthly_work_hours!$A:$A,'FTE 계산'!$A203,monthly_work_hours!$F:$F,'FTE 계산'!I$2))</f>
        <v>19</v>
      </c>
      <c r="J203">
        <f>(SUMIFS(monthly_work_hours!$G:$G,monthly_work_hours!$A:$A,'FTE 계산'!$A203,monthly_work_hours!$F:$F,'FTE 계산'!J$2)) - (SUMIFS(monthly_work_hours!$J:$J,monthly_work_hours!$A:$A,'FTE 계산'!$A203,monthly_work_hours!$F:$F,'FTE 계산'!J$2))</f>
        <v>16</v>
      </c>
    </row>
    <row r="204" spans="1:10">
      <c r="A204">
        <v>1224012</v>
      </c>
      <c r="B204" t="str">
        <f>_xlfn.XLOOKUP(A204,monthly_work_hours!A:A,monthly_work_hours!B:B)</f>
        <v>문성철</v>
      </c>
      <c r="C204" t="str">
        <f>_xlfn.XLOOKUP(A204,monthly_work_hours!A:A,monthly_work_hours!C:C)</f>
        <v>관체사업팀</v>
      </c>
      <c r="D204" t="str">
        <f>_xlfn.XLOOKUP(A204,monthly_work_hours!A:A,monthly_work_hours!D:D)</f>
        <v>책임</v>
      </c>
      <c r="E204">
        <f>SUMIFS(monthly_work_hours!$K:$K,monthly_work_hours!$A:$A,'FTE 계산'!$A204,monthly_work_hours!$F:$F,'FTE 계산'!E$2)</f>
        <v>211.6</v>
      </c>
      <c r="F204">
        <f>SUMIFS(monthly_work_hours!$K:$K,monthly_work_hours!$A:$A,'FTE 계산'!$A204,monthly_work_hours!$F:$F,'FTE 계산'!F$2)</f>
        <v>201.1</v>
      </c>
      <c r="G204">
        <f>SUMIFS(monthly_work_hours!$K:$K,monthly_work_hours!$A:$A,'FTE 계산'!$A204,monthly_work_hours!$F:$F,'FTE 계산'!G$2)</f>
        <v>183.7</v>
      </c>
      <c r="H204">
        <f>(SUMIFS(monthly_work_hours!$G:$G,monthly_work_hours!$A:$A,'FTE 계산'!$A204,monthly_work_hours!$F:$F,'FTE 계산'!H$2)) - (SUMIFS(monthly_work_hours!$J:$J,monthly_work_hours!$A:$A,'FTE 계산'!$A204,monthly_work_hours!$F:$F,'FTE 계산'!H$2))</f>
        <v>19</v>
      </c>
      <c r="I204">
        <f>(SUMIFS(monthly_work_hours!$G:$G,monthly_work_hours!$A:$A,'FTE 계산'!$A204,monthly_work_hours!$F:$F,'FTE 계산'!I$2)) - (SUMIFS(monthly_work_hours!$J:$J,monthly_work_hours!$A:$A,'FTE 계산'!$A204,monthly_work_hours!$F:$F,'FTE 계산'!I$2))</f>
        <v>19</v>
      </c>
      <c r="J204">
        <f>(SUMIFS(monthly_work_hours!$G:$G,monthly_work_hours!$A:$A,'FTE 계산'!$A204,monthly_work_hours!$F:$F,'FTE 계산'!J$2)) - (SUMIFS(monthly_work_hours!$J:$J,monthly_work_hours!$A:$A,'FTE 계산'!$A204,monthly_work_hours!$F:$F,'FTE 계산'!J$2))</f>
        <v>16</v>
      </c>
    </row>
    <row r="205" spans="1:10">
      <c r="A205">
        <v>1224020</v>
      </c>
      <c r="B205" t="str">
        <f>_xlfn.XLOOKUP(A205,monthly_work_hours!A:A,monthly_work_hours!B:B)</f>
        <v>심지빈</v>
      </c>
      <c r="C205" t="str">
        <f>_xlfn.XLOOKUP(A205,monthly_work_hours!A:A,monthly_work_hours!C:C)</f>
        <v>SL영업팀</v>
      </c>
      <c r="D205" t="str">
        <f>_xlfn.XLOOKUP(A205,monthly_work_hours!A:A,monthly_work_hours!D:D)</f>
        <v>사원</v>
      </c>
      <c r="E205">
        <f>SUMIFS(monthly_work_hours!$K:$K,monthly_work_hours!$A:$A,'FTE 계산'!$A205,monthly_work_hours!$F:$F,'FTE 계산'!E$2)</f>
        <v>118.1</v>
      </c>
      <c r="F205">
        <f>SUMIFS(monthly_work_hours!$K:$K,monthly_work_hours!$A:$A,'FTE 계산'!$A205,monthly_work_hours!$F:$F,'FTE 계산'!F$2)</f>
        <v>148.6</v>
      </c>
      <c r="G205">
        <f>SUMIFS(monthly_work_hours!$K:$K,monthly_work_hours!$A:$A,'FTE 계산'!$A205,monthly_work_hours!$F:$F,'FTE 계산'!G$2)</f>
        <v>142.5</v>
      </c>
      <c r="H205">
        <f>(SUMIFS(monthly_work_hours!$G:$G,monthly_work_hours!$A:$A,'FTE 계산'!$A205,monthly_work_hours!$F:$F,'FTE 계산'!H$2)) - (SUMIFS(monthly_work_hours!$J:$J,monthly_work_hours!$A:$A,'FTE 계산'!$A205,monthly_work_hours!$F:$F,'FTE 계산'!H$2))</f>
        <v>15</v>
      </c>
      <c r="I205">
        <f>(SUMIFS(monthly_work_hours!$G:$G,monthly_work_hours!$A:$A,'FTE 계산'!$A205,monthly_work_hours!$F:$F,'FTE 계산'!I$2)) - (SUMIFS(monthly_work_hours!$J:$J,monthly_work_hours!$A:$A,'FTE 계산'!$A205,monthly_work_hours!$F:$F,'FTE 계산'!I$2))</f>
        <v>17</v>
      </c>
      <c r="J205">
        <f>(SUMIFS(monthly_work_hours!$G:$G,monthly_work_hours!$A:$A,'FTE 계산'!$A205,monthly_work_hours!$F:$F,'FTE 계산'!J$2)) - (SUMIFS(monthly_work_hours!$J:$J,monthly_work_hours!$A:$A,'FTE 계산'!$A205,monthly_work_hours!$F:$F,'FTE 계산'!J$2))</f>
        <v>16</v>
      </c>
    </row>
    <row r="206" spans="1:10">
      <c r="A206">
        <v>1224021</v>
      </c>
      <c r="B206" t="str">
        <f>_xlfn.XLOOKUP(A206,monthly_work_hours!A:A,monthly_work_hours!B:B)</f>
        <v>정주영</v>
      </c>
      <c r="C206" t="str">
        <f>_xlfn.XLOOKUP(A206,monthly_work_hours!A:A,monthly_work_hours!C:C)</f>
        <v>FL영업팀</v>
      </c>
      <c r="D206" t="str">
        <f>_xlfn.XLOOKUP(A206,monthly_work_hours!A:A,monthly_work_hours!D:D)</f>
        <v>사원</v>
      </c>
      <c r="E206">
        <f>SUMIFS(monthly_work_hours!$K:$K,monthly_work_hours!$A:$A,'FTE 계산'!$A206,monthly_work_hours!$F:$F,'FTE 계산'!E$2)</f>
        <v>234.7</v>
      </c>
      <c r="F206">
        <f>SUMIFS(monthly_work_hours!$K:$K,monthly_work_hours!$A:$A,'FTE 계산'!$A206,monthly_work_hours!$F:$F,'FTE 계산'!F$2)</f>
        <v>178.4</v>
      </c>
      <c r="G206">
        <f>SUMIFS(monthly_work_hours!$K:$K,monthly_work_hours!$A:$A,'FTE 계산'!$A206,monthly_work_hours!$F:$F,'FTE 계산'!G$2)</f>
        <v>173.5</v>
      </c>
      <c r="H206">
        <f>(SUMIFS(monthly_work_hours!$G:$G,monthly_work_hours!$A:$A,'FTE 계산'!$A206,monthly_work_hours!$F:$F,'FTE 계산'!H$2)) - (SUMIFS(monthly_work_hours!$J:$J,monthly_work_hours!$A:$A,'FTE 계산'!$A206,monthly_work_hours!$F:$F,'FTE 계산'!H$2))</f>
        <v>19</v>
      </c>
      <c r="I206">
        <f>(SUMIFS(monthly_work_hours!$G:$G,monthly_work_hours!$A:$A,'FTE 계산'!$A206,monthly_work_hours!$F:$F,'FTE 계산'!I$2)) - (SUMIFS(monthly_work_hours!$J:$J,monthly_work_hours!$A:$A,'FTE 계산'!$A206,monthly_work_hours!$F:$F,'FTE 계산'!I$2))</f>
        <v>17</v>
      </c>
      <c r="J206">
        <f>(SUMIFS(monthly_work_hours!$G:$G,monthly_work_hours!$A:$A,'FTE 계산'!$A206,monthly_work_hours!$F:$F,'FTE 계산'!J$2)) - (SUMIFS(monthly_work_hours!$J:$J,monthly_work_hours!$A:$A,'FTE 계산'!$A206,monthly_work_hours!$F:$F,'FTE 계산'!J$2))</f>
        <v>16</v>
      </c>
    </row>
    <row r="207" spans="1:10">
      <c r="A207">
        <v>1224024</v>
      </c>
      <c r="B207" t="str">
        <f>_xlfn.XLOOKUP(A207,monthly_work_hours!A:A,monthly_work_hours!B:B)</f>
        <v>박세정</v>
      </c>
      <c r="C207" t="str">
        <f>_xlfn.XLOOKUP(A207,monthly_work_hours!A:A,monthly_work_hours!C:C)</f>
        <v>FL개발팀</v>
      </c>
      <c r="D207" t="str">
        <f>_xlfn.XLOOKUP(A207,monthly_work_hours!A:A,monthly_work_hours!D:D)</f>
        <v>사원</v>
      </c>
      <c r="E207">
        <f>SUMIFS(monthly_work_hours!$K:$K,monthly_work_hours!$A:$A,'FTE 계산'!$A207,monthly_work_hours!$F:$F,'FTE 계산'!E$2)</f>
        <v>157</v>
      </c>
      <c r="F207">
        <f>SUMIFS(monthly_work_hours!$K:$K,monthly_work_hours!$A:$A,'FTE 계산'!$A207,monthly_work_hours!$F:$F,'FTE 계산'!F$2)</f>
        <v>171</v>
      </c>
      <c r="G207">
        <f>SUMIFS(monthly_work_hours!$K:$K,monthly_work_hours!$A:$A,'FTE 계산'!$A207,monthly_work_hours!$F:$F,'FTE 계산'!G$2)</f>
        <v>121.7</v>
      </c>
      <c r="H207">
        <f>(SUMIFS(monthly_work_hours!$G:$G,monthly_work_hours!$A:$A,'FTE 계산'!$A207,monthly_work_hours!$F:$F,'FTE 계산'!H$2)) - (SUMIFS(monthly_work_hours!$J:$J,monthly_work_hours!$A:$A,'FTE 계산'!$A207,monthly_work_hours!$F:$F,'FTE 계산'!H$2))</f>
        <v>18</v>
      </c>
      <c r="I207">
        <f>(SUMIFS(monthly_work_hours!$G:$G,monthly_work_hours!$A:$A,'FTE 계산'!$A207,monthly_work_hours!$F:$F,'FTE 계산'!I$2)) - (SUMIFS(monthly_work_hours!$J:$J,monthly_work_hours!$A:$A,'FTE 계산'!$A207,monthly_work_hours!$F:$F,'FTE 계산'!I$2))</f>
        <v>19</v>
      </c>
      <c r="J207">
        <f>(SUMIFS(monthly_work_hours!$G:$G,monthly_work_hours!$A:$A,'FTE 계산'!$A207,monthly_work_hours!$F:$F,'FTE 계산'!J$2)) - (SUMIFS(monthly_work_hours!$J:$J,monthly_work_hours!$A:$A,'FTE 계산'!$A207,monthly_work_hours!$F:$F,'FTE 계산'!J$2))</f>
        <v>15</v>
      </c>
    </row>
    <row r="208" spans="1:10">
      <c r="A208">
        <v>1224025</v>
      </c>
      <c r="B208" t="str">
        <f>_xlfn.XLOOKUP(A208,monthly_work_hours!A:A,monthly_work_hours!B:B)</f>
        <v>김찬호</v>
      </c>
      <c r="C208" t="str">
        <f>_xlfn.XLOOKUP(A208,monthly_work_hours!A:A,monthly_work_hours!C:C)</f>
        <v>SL개발팀</v>
      </c>
      <c r="D208" t="str">
        <f>_xlfn.XLOOKUP(A208,monthly_work_hours!A:A,monthly_work_hours!D:D)</f>
        <v>선임</v>
      </c>
      <c r="E208">
        <f>SUMIFS(monthly_work_hours!$K:$K,monthly_work_hours!$A:$A,'FTE 계산'!$A208,monthly_work_hours!$F:$F,'FTE 계산'!E$2)</f>
        <v>141.80000000000001</v>
      </c>
      <c r="F208">
        <f>SUMIFS(monthly_work_hours!$K:$K,monthly_work_hours!$A:$A,'FTE 계산'!$A208,monthly_work_hours!$F:$F,'FTE 계산'!F$2)</f>
        <v>184.6</v>
      </c>
      <c r="G208">
        <f>SUMIFS(monthly_work_hours!$K:$K,monthly_work_hours!$A:$A,'FTE 계산'!$A208,monthly_work_hours!$F:$F,'FTE 계산'!G$2)</f>
        <v>135.1</v>
      </c>
      <c r="H208">
        <f>(SUMIFS(monthly_work_hours!$G:$G,monthly_work_hours!$A:$A,'FTE 계산'!$A208,monthly_work_hours!$F:$F,'FTE 계산'!H$2)) - (SUMIFS(monthly_work_hours!$J:$J,monthly_work_hours!$A:$A,'FTE 계산'!$A208,monthly_work_hours!$F:$F,'FTE 계산'!H$2))</f>
        <v>17</v>
      </c>
      <c r="I208">
        <f>(SUMIFS(monthly_work_hours!$G:$G,monthly_work_hours!$A:$A,'FTE 계산'!$A208,monthly_work_hours!$F:$F,'FTE 계산'!I$2)) - (SUMIFS(monthly_work_hours!$J:$J,monthly_work_hours!$A:$A,'FTE 계산'!$A208,monthly_work_hours!$F:$F,'FTE 계산'!I$2))</f>
        <v>17</v>
      </c>
      <c r="J208">
        <f>(SUMIFS(monthly_work_hours!$G:$G,monthly_work_hours!$A:$A,'FTE 계산'!$A208,monthly_work_hours!$F:$F,'FTE 계산'!J$2)) - (SUMIFS(monthly_work_hours!$J:$J,monthly_work_hours!$A:$A,'FTE 계산'!$A208,monthly_work_hours!$F:$F,'FTE 계산'!J$2))</f>
        <v>14</v>
      </c>
    </row>
    <row r="209" spans="1:10">
      <c r="A209">
        <v>1224027</v>
      </c>
      <c r="B209" t="str">
        <f>_xlfn.XLOOKUP(A209,monthly_work_hours!A:A,monthly_work_hours!B:B)</f>
        <v>정인영</v>
      </c>
      <c r="C209" t="str">
        <f>_xlfn.XLOOKUP(A209,monthly_work_hours!A:A,monthly_work_hours!C:C)</f>
        <v>기획팀</v>
      </c>
      <c r="D209" t="str">
        <f>_xlfn.XLOOKUP(A209,monthly_work_hours!A:A,monthly_work_hours!D:D)</f>
        <v>선임</v>
      </c>
      <c r="E209">
        <f>SUMIFS(monthly_work_hours!$K:$K,monthly_work_hours!$A:$A,'FTE 계산'!$A209,monthly_work_hours!$F:$F,'FTE 계산'!E$2)</f>
        <v>160.4</v>
      </c>
      <c r="F209">
        <f>SUMIFS(monthly_work_hours!$K:$K,monthly_work_hours!$A:$A,'FTE 계산'!$A209,monthly_work_hours!$F:$F,'FTE 계산'!F$2)</f>
        <v>219.2</v>
      </c>
      <c r="G209">
        <f>SUMIFS(monthly_work_hours!$K:$K,monthly_work_hours!$A:$A,'FTE 계산'!$A209,monthly_work_hours!$F:$F,'FTE 계산'!G$2)</f>
        <v>140.80000000000001</v>
      </c>
      <c r="H209">
        <f>(SUMIFS(monthly_work_hours!$G:$G,monthly_work_hours!$A:$A,'FTE 계산'!$A209,monthly_work_hours!$F:$F,'FTE 계산'!H$2)) - (SUMIFS(monthly_work_hours!$J:$J,monthly_work_hours!$A:$A,'FTE 계산'!$A209,monthly_work_hours!$F:$F,'FTE 계산'!H$2))</f>
        <v>19</v>
      </c>
      <c r="I209">
        <f>(SUMIFS(monthly_work_hours!$G:$G,monthly_work_hours!$A:$A,'FTE 계산'!$A209,monthly_work_hours!$F:$F,'FTE 계산'!I$2)) - (SUMIFS(monthly_work_hours!$J:$J,monthly_work_hours!$A:$A,'FTE 계산'!$A209,monthly_work_hours!$F:$F,'FTE 계산'!I$2))</f>
        <v>19</v>
      </c>
      <c r="J209">
        <f>(SUMIFS(monthly_work_hours!$G:$G,monthly_work_hours!$A:$A,'FTE 계산'!$A209,monthly_work_hours!$F:$F,'FTE 계산'!J$2)) - (SUMIFS(monthly_work_hours!$J:$J,monthly_work_hours!$A:$A,'FTE 계산'!$A209,monthly_work_hours!$F:$F,'FTE 계산'!J$2))</f>
        <v>16</v>
      </c>
    </row>
    <row r="210" spans="1:10">
      <c r="A210">
        <v>1224028</v>
      </c>
      <c r="B210" t="str">
        <f>_xlfn.XLOOKUP(A210,monthly_work_hours!A:A,monthly_work_hours!B:B)</f>
        <v>황준수</v>
      </c>
      <c r="C210" t="str">
        <f>_xlfn.XLOOKUP(A210,monthly_work_hours!A:A,monthly_work_hours!C:C)</f>
        <v>경영지원팀</v>
      </c>
      <c r="D210" t="str">
        <f>_xlfn.XLOOKUP(A210,monthly_work_hours!A:A,monthly_work_hours!D:D)</f>
        <v>선임</v>
      </c>
      <c r="E210">
        <f>SUMIFS(monthly_work_hours!$K:$K,monthly_work_hours!$A:$A,'FTE 계산'!$A210,monthly_work_hours!$F:$F,'FTE 계산'!E$2)</f>
        <v>175.3</v>
      </c>
      <c r="F210">
        <f>SUMIFS(monthly_work_hours!$K:$K,monthly_work_hours!$A:$A,'FTE 계산'!$A210,monthly_work_hours!$F:$F,'FTE 계산'!F$2)</f>
        <v>176.2</v>
      </c>
      <c r="G210">
        <f>SUMIFS(monthly_work_hours!$K:$K,monthly_work_hours!$A:$A,'FTE 계산'!$A210,monthly_work_hours!$F:$F,'FTE 계산'!G$2)</f>
        <v>117.7</v>
      </c>
      <c r="H210">
        <f>(SUMIFS(monthly_work_hours!$G:$G,monthly_work_hours!$A:$A,'FTE 계산'!$A210,monthly_work_hours!$F:$F,'FTE 계산'!H$2)) - (SUMIFS(monthly_work_hours!$J:$J,monthly_work_hours!$A:$A,'FTE 계산'!$A210,monthly_work_hours!$F:$F,'FTE 계산'!H$2))</f>
        <v>19</v>
      </c>
      <c r="I210">
        <f>(SUMIFS(monthly_work_hours!$G:$G,monthly_work_hours!$A:$A,'FTE 계산'!$A210,monthly_work_hours!$F:$F,'FTE 계산'!I$2)) - (SUMIFS(monthly_work_hours!$J:$J,monthly_work_hours!$A:$A,'FTE 계산'!$A210,monthly_work_hours!$F:$F,'FTE 계산'!I$2))</f>
        <v>18</v>
      </c>
      <c r="J210">
        <f>(SUMIFS(monthly_work_hours!$G:$G,monthly_work_hours!$A:$A,'FTE 계산'!$A210,monthly_work_hours!$F:$F,'FTE 계산'!J$2)) - (SUMIFS(monthly_work_hours!$J:$J,monthly_work_hours!$A:$A,'FTE 계산'!$A210,monthly_work_hours!$F:$F,'FTE 계산'!J$2))</f>
        <v>13</v>
      </c>
    </row>
    <row r="211" spans="1:10">
      <c r="A211">
        <v>1224032</v>
      </c>
      <c r="B211" t="str">
        <f>_xlfn.XLOOKUP(A211,monthly_work_hours!A:A,monthly_work_hours!B:B)</f>
        <v>안상준</v>
      </c>
      <c r="C211" t="str">
        <f>_xlfn.XLOOKUP(A211,monthly_work_hours!A:A,monthly_work_hours!C:C)</f>
        <v>안전보안팀</v>
      </c>
      <c r="D211" t="str">
        <f>_xlfn.XLOOKUP(A211,monthly_work_hours!A:A,monthly_work_hours!D:D)</f>
        <v>사원</v>
      </c>
      <c r="E211">
        <f>SUMIFS(monthly_work_hours!$K:$K,monthly_work_hours!$A:$A,'FTE 계산'!$A211,monthly_work_hours!$F:$F,'FTE 계산'!E$2)</f>
        <v>144</v>
      </c>
      <c r="F211">
        <f>SUMIFS(monthly_work_hours!$K:$K,monthly_work_hours!$A:$A,'FTE 계산'!$A211,monthly_work_hours!$F:$F,'FTE 계산'!F$2)</f>
        <v>164.5</v>
      </c>
      <c r="G211">
        <f>SUMIFS(monthly_work_hours!$K:$K,monthly_work_hours!$A:$A,'FTE 계산'!$A211,monthly_work_hours!$F:$F,'FTE 계산'!G$2)</f>
        <v>105.7</v>
      </c>
      <c r="H211">
        <f>(SUMIFS(monthly_work_hours!$G:$G,monthly_work_hours!$A:$A,'FTE 계산'!$A211,monthly_work_hours!$F:$F,'FTE 계산'!H$2)) - (SUMIFS(monthly_work_hours!$J:$J,monthly_work_hours!$A:$A,'FTE 계산'!$A211,monthly_work_hours!$F:$F,'FTE 계산'!H$2))</f>
        <v>15</v>
      </c>
      <c r="I211">
        <f>(SUMIFS(monthly_work_hours!$G:$G,monthly_work_hours!$A:$A,'FTE 계산'!$A211,monthly_work_hours!$F:$F,'FTE 계산'!I$2)) - (SUMIFS(monthly_work_hours!$J:$J,monthly_work_hours!$A:$A,'FTE 계산'!$A211,monthly_work_hours!$F:$F,'FTE 계산'!I$2))</f>
        <v>18</v>
      </c>
      <c r="J211">
        <f>(SUMIFS(monthly_work_hours!$G:$G,monthly_work_hours!$A:$A,'FTE 계산'!$A211,monthly_work_hours!$F:$F,'FTE 계산'!J$2)) - (SUMIFS(monthly_work_hours!$J:$J,monthly_work_hours!$A:$A,'FTE 계산'!$A211,monthly_work_hours!$F:$F,'FTE 계산'!J$2))</f>
        <v>13</v>
      </c>
    </row>
    <row r="212" spans="1:10">
      <c r="A212">
        <v>1224045</v>
      </c>
      <c r="B212" t="str">
        <f>_xlfn.XLOOKUP(A212,monthly_work_hours!A:A,monthly_work_hours!B:B)</f>
        <v>김환</v>
      </c>
      <c r="C212" t="str">
        <f>_xlfn.XLOOKUP(A212,monthly_work_hours!A:A,monthly_work_hours!C:C)</f>
        <v>설비기획팀</v>
      </c>
      <c r="D212" t="str">
        <f>_xlfn.XLOOKUP(A212,monthly_work_hours!A:A,monthly_work_hours!D:D)</f>
        <v>선임</v>
      </c>
      <c r="E212">
        <f>SUMIFS(monthly_work_hours!$K:$K,monthly_work_hours!$A:$A,'FTE 계산'!$A212,monthly_work_hours!$F:$F,'FTE 계산'!E$2)</f>
        <v>185.2</v>
      </c>
      <c r="F212">
        <f>SUMIFS(monthly_work_hours!$K:$K,monthly_work_hours!$A:$A,'FTE 계산'!$A212,monthly_work_hours!$F:$F,'FTE 계산'!F$2)</f>
        <v>201.1</v>
      </c>
      <c r="G212">
        <f>SUMIFS(monthly_work_hours!$K:$K,monthly_work_hours!$A:$A,'FTE 계산'!$A212,monthly_work_hours!$F:$F,'FTE 계산'!G$2)</f>
        <v>143.30000000000001</v>
      </c>
      <c r="H212">
        <f>(SUMIFS(monthly_work_hours!$G:$G,monthly_work_hours!$A:$A,'FTE 계산'!$A212,monthly_work_hours!$F:$F,'FTE 계산'!H$2)) - (SUMIFS(monthly_work_hours!$J:$J,monthly_work_hours!$A:$A,'FTE 계산'!$A212,monthly_work_hours!$F:$F,'FTE 계산'!H$2))</f>
        <v>18</v>
      </c>
      <c r="I212">
        <f>(SUMIFS(monthly_work_hours!$G:$G,monthly_work_hours!$A:$A,'FTE 계산'!$A212,monthly_work_hours!$F:$F,'FTE 계산'!I$2)) - (SUMIFS(monthly_work_hours!$J:$J,monthly_work_hours!$A:$A,'FTE 계산'!$A212,monthly_work_hours!$F:$F,'FTE 계산'!I$2))</f>
        <v>18</v>
      </c>
      <c r="J212">
        <f>(SUMIFS(monthly_work_hours!$G:$G,monthly_work_hours!$A:$A,'FTE 계산'!$A212,monthly_work_hours!$F:$F,'FTE 계산'!J$2)) - (SUMIFS(monthly_work_hours!$J:$J,monthly_work_hours!$A:$A,'FTE 계산'!$A212,monthly_work_hours!$F:$F,'FTE 계산'!J$2))</f>
        <v>15</v>
      </c>
    </row>
    <row r="213" spans="1:10">
      <c r="A213">
        <v>1224047</v>
      </c>
      <c r="B213" t="str">
        <f>_xlfn.XLOOKUP(A213,monthly_work_hours!A:A,monthly_work_hours!B:B)</f>
        <v>김경영</v>
      </c>
      <c r="C213" t="str">
        <f>_xlfn.XLOOKUP(A213,monthly_work_hours!A:A,monthly_work_hours!C:C)</f>
        <v>재무팀</v>
      </c>
      <c r="D213" t="str">
        <f>_xlfn.XLOOKUP(A213,monthly_work_hours!A:A,monthly_work_hours!D:D)</f>
        <v>사원</v>
      </c>
      <c r="E213">
        <f>SUMIFS(monthly_work_hours!$K:$K,monthly_work_hours!$A:$A,'FTE 계산'!$A213,monthly_work_hours!$F:$F,'FTE 계산'!E$2)</f>
        <v>192</v>
      </c>
      <c r="F213">
        <f>SUMIFS(monthly_work_hours!$K:$K,monthly_work_hours!$A:$A,'FTE 계산'!$A213,monthly_work_hours!$F:$F,'FTE 계산'!F$2)</f>
        <v>206.6</v>
      </c>
      <c r="G213">
        <f>SUMIFS(monthly_work_hours!$K:$K,monthly_work_hours!$A:$A,'FTE 계산'!$A213,monthly_work_hours!$F:$F,'FTE 계산'!G$2)</f>
        <v>154.4</v>
      </c>
      <c r="H213">
        <f>(SUMIFS(monthly_work_hours!$G:$G,monthly_work_hours!$A:$A,'FTE 계산'!$A213,monthly_work_hours!$F:$F,'FTE 계산'!H$2)) - (SUMIFS(monthly_work_hours!$J:$J,monthly_work_hours!$A:$A,'FTE 계산'!$A213,monthly_work_hours!$F:$F,'FTE 계산'!H$2))</f>
        <v>19</v>
      </c>
      <c r="I213">
        <f>(SUMIFS(monthly_work_hours!$G:$G,monthly_work_hours!$A:$A,'FTE 계산'!$A213,monthly_work_hours!$F:$F,'FTE 계산'!I$2)) - (SUMIFS(monthly_work_hours!$J:$J,monthly_work_hours!$A:$A,'FTE 계산'!$A213,monthly_work_hours!$F:$F,'FTE 계산'!I$2))</f>
        <v>19</v>
      </c>
      <c r="J213">
        <f>(SUMIFS(monthly_work_hours!$G:$G,monthly_work_hours!$A:$A,'FTE 계산'!$A213,monthly_work_hours!$F:$F,'FTE 계산'!J$2)) - (SUMIFS(monthly_work_hours!$J:$J,monthly_work_hours!$A:$A,'FTE 계산'!$A213,monthly_work_hours!$F:$F,'FTE 계산'!J$2))</f>
        <v>17</v>
      </c>
    </row>
    <row r="214" spans="1:10">
      <c r="A214">
        <v>1224048</v>
      </c>
      <c r="B214" t="str">
        <f>_xlfn.XLOOKUP(A214,monthly_work_hours!A:A,monthly_work_hours!B:B)</f>
        <v>이창화</v>
      </c>
      <c r="C214" t="str">
        <f>_xlfn.XLOOKUP(A214,monthly_work_hours!A:A,monthly_work_hours!C:C)</f>
        <v>경영지원팀</v>
      </c>
      <c r="D214" t="str">
        <f>_xlfn.XLOOKUP(A214,monthly_work_hours!A:A,monthly_work_hours!D:D)</f>
        <v>선임</v>
      </c>
      <c r="E214">
        <f>SUMIFS(monthly_work_hours!$K:$K,monthly_work_hours!$A:$A,'FTE 계산'!$A214,monthly_work_hours!$F:$F,'FTE 계산'!E$2)</f>
        <v>184.8</v>
      </c>
      <c r="F214">
        <f>SUMIFS(monthly_work_hours!$K:$K,monthly_work_hours!$A:$A,'FTE 계산'!$A214,monthly_work_hours!$F:$F,'FTE 계산'!F$2)</f>
        <v>184.2</v>
      </c>
      <c r="G214">
        <f>SUMIFS(monthly_work_hours!$K:$K,monthly_work_hours!$A:$A,'FTE 계산'!$A214,monthly_work_hours!$F:$F,'FTE 계산'!G$2)</f>
        <v>143.30000000000001</v>
      </c>
      <c r="H214">
        <f>(SUMIFS(monthly_work_hours!$G:$G,monthly_work_hours!$A:$A,'FTE 계산'!$A214,monthly_work_hours!$F:$F,'FTE 계산'!H$2)) - (SUMIFS(monthly_work_hours!$J:$J,monthly_work_hours!$A:$A,'FTE 계산'!$A214,monthly_work_hours!$F:$F,'FTE 계산'!H$2))</f>
        <v>19</v>
      </c>
      <c r="I214">
        <f>(SUMIFS(monthly_work_hours!$G:$G,monthly_work_hours!$A:$A,'FTE 계산'!$A214,monthly_work_hours!$F:$F,'FTE 계산'!I$2)) - (SUMIFS(monthly_work_hours!$J:$J,monthly_work_hours!$A:$A,'FTE 계산'!$A214,monthly_work_hours!$F:$F,'FTE 계산'!I$2))</f>
        <v>19</v>
      </c>
      <c r="J214">
        <f>(SUMIFS(monthly_work_hours!$G:$G,monthly_work_hours!$A:$A,'FTE 계산'!$A214,monthly_work_hours!$F:$F,'FTE 계산'!J$2)) - (SUMIFS(monthly_work_hours!$J:$J,monthly_work_hours!$A:$A,'FTE 계산'!$A214,monthly_work_hours!$F:$F,'FTE 계산'!J$2))</f>
        <v>15</v>
      </c>
    </row>
    <row r="215" spans="1:10">
      <c r="A215">
        <v>1224049</v>
      </c>
      <c r="B215" t="str">
        <f>_xlfn.XLOOKUP(A215,monthly_work_hours!A:A,monthly_work_hours!B:B)</f>
        <v>정부용</v>
      </c>
      <c r="C215" t="str">
        <f>_xlfn.XLOOKUP(A215,monthly_work_hours!A:A,monthly_work_hours!C:C)</f>
        <v>경영지원팀</v>
      </c>
      <c r="D215" t="str">
        <f>_xlfn.XLOOKUP(A215,monthly_work_hours!A:A,monthly_work_hours!D:D)</f>
        <v>사원</v>
      </c>
      <c r="E215">
        <f>SUMIFS(monthly_work_hours!$K:$K,monthly_work_hours!$A:$A,'FTE 계산'!$A215,monthly_work_hours!$F:$F,'FTE 계산'!E$2)</f>
        <v>194.4</v>
      </c>
      <c r="F215">
        <f>SUMIFS(monthly_work_hours!$K:$K,monthly_work_hours!$A:$A,'FTE 계산'!$A215,monthly_work_hours!$F:$F,'FTE 계산'!F$2)</f>
        <v>235.2</v>
      </c>
      <c r="G215">
        <f>SUMIFS(monthly_work_hours!$K:$K,monthly_work_hours!$A:$A,'FTE 계산'!$A215,monthly_work_hours!$F:$F,'FTE 계산'!G$2)</f>
        <v>132.4</v>
      </c>
      <c r="H215">
        <f>(SUMIFS(monthly_work_hours!$G:$G,monthly_work_hours!$A:$A,'FTE 계산'!$A215,monthly_work_hours!$F:$F,'FTE 계산'!H$2)) - (SUMIFS(monthly_work_hours!$J:$J,monthly_work_hours!$A:$A,'FTE 계산'!$A215,monthly_work_hours!$F:$F,'FTE 계산'!H$2))</f>
        <v>18</v>
      </c>
      <c r="I215">
        <f>(SUMIFS(monthly_work_hours!$G:$G,monthly_work_hours!$A:$A,'FTE 계산'!$A215,monthly_work_hours!$F:$F,'FTE 계산'!I$2)) - (SUMIFS(monthly_work_hours!$J:$J,monthly_work_hours!$A:$A,'FTE 계산'!$A215,monthly_work_hours!$F:$F,'FTE 계산'!I$2))</f>
        <v>21</v>
      </c>
      <c r="J215">
        <f>(SUMIFS(monthly_work_hours!$G:$G,monthly_work_hours!$A:$A,'FTE 계산'!$A215,monthly_work_hours!$F:$F,'FTE 계산'!J$2)) - (SUMIFS(monthly_work_hours!$J:$J,monthly_work_hours!$A:$A,'FTE 계산'!$A215,monthly_work_hours!$F:$F,'FTE 계산'!J$2))</f>
        <v>14</v>
      </c>
    </row>
    <row r="216" spans="1:10">
      <c r="A216">
        <v>1224050</v>
      </c>
      <c r="B216" t="str">
        <f>_xlfn.XLOOKUP(A216,monthly_work_hours!A:A,monthly_work_hours!B:B)</f>
        <v>권민정</v>
      </c>
      <c r="C216" t="str">
        <f>_xlfn.XLOOKUP(A216,monthly_work_hours!A:A,monthly_work_hours!C:C)</f>
        <v>SL구매팀</v>
      </c>
      <c r="D216" t="str">
        <f>_xlfn.XLOOKUP(A216,monthly_work_hours!A:A,monthly_work_hours!D:D)</f>
        <v>사원</v>
      </c>
      <c r="E216">
        <f>SUMIFS(monthly_work_hours!$K:$K,monthly_work_hours!$A:$A,'FTE 계산'!$A216,monthly_work_hours!$F:$F,'FTE 계산'!E$2)</f>
        <v>159.30000000000001</v>
      </c>
      <c r="F216">
        <f>SUMIFS(monthly_work_hours!$K:$K,monthly_work_hours!$A:$A,'FTE 계산'!$A216,monthly_work_hours!$F:$F,'FTE 계산'!F$2)</f>
        <v>141.80000000000001</v>
      </c>
      <c r="G216">
        <f>SUMIFS(monthly_work_hours!$K:$K,monthly_work_hours!$A:$A,'FTE 계산'!$A216,monthly_work_hours!$F:$F,'FTE 계산'!G$2)</f>
        <v>125.8</v>
      </c>
      <c r="H216">
        <f>(SUMIFS(monthly_work_hours!$G:$G,monthly_work_hours!$A:$A,'FTE 계산'!$A216,monthly_work_hours!$F:$F,'FTE 계산'!H$2)) - (SUMIFS(monthly_work_hours!$J:$J,monthly_work_hours!$A:$A,'FTE 계산'!$A216,monthly_work_hours!$F:$F,'FTE 계산'!H$2))</f>
        <v>16</v>
      </c>
      <c r="I216">
        <f>(SUMIFS(monthly_work_hours!$G:$G,monthly_work_hours!$A:$A,'FTE 계산'!$A216,monthly_work_hours!$F:$F,'FTE 계산'!I$2)) - (SUMIFS(monthly_work_hours!$J:$J,monthly_work_hours!$A:$A,'FTE 계산'!$A216,monthly_work_hours!$F:$F,'FTE 계산'!I$2))</f>
        <v>14</v>
      </c>
      <c r="J216">
        <f>(SUMIFS(monthly_work_hours!$G:$G,monthly_work_hours!$A:$A,'FTE 계산'!$A216,monthly_work_hours!$F:$F,'FTE 계산'!J$2)) - (SUMIFS(monthly_work_hours!$J:$J,monthly_work_hours!$A:$A,'FTE 계산'!$A216,monthly_work_hours!$F:$F,'FTE 계산'!J$2))</f>
        <v>14</v>
      </c>
    </row>
    <row r="217" spans="1:10">
      <c r="A217">
        <v>1224051</v>
      </c>
      <c r="B217" t="str">
        <f>_xlfn.XLOOKUP(A217,monthly_work_hours!A:A,monthly_work_hours!B:B)</f>
        <v>최민석</v>
      </c>
      <c r="C217" t="str">
        <f>_xlfn.XLOOKUP(A217,monthly_work_hours!A:A,monthly_work_hours!C:C)</f>
        <v>FL개발팀</v>
      </c>
      <c r="D217" t="str">
        <f>_xlfn.XLOOKUP(A217,monthly_work_hours!A:A,monthly_work_hours!D:D)</f>
        <v>사원</v>
      </c>
      <c r="E217">
        <f>SUMIFS(monthly_work_hours!$K:$K,monthly_work_hours!$A:$A,'FTE 계산'!$A217,monthly_work_hours!$F:$F,'FTE 계산'!E$2)</f>
        <v>98.5</v>
      </c>
      <c r="F217">
        <f>SUMIFS(monthly_work_hours!$K:$K,monthly_work_hours!$A:$A,'FTE 계산'!$A217,monthly_work_hours!$F:$F,'FTE 계산'!F$2)</f>
        <v>72.5</v>
      </c>
      <c r="G217">
        <f>SUMIFS(monthly_work_hours!$K:$K,monthly_work_hours!$A:$A,'FTE 계산'!$A217,monthly_work_hours!$F:$F,'FTE 계산'!G$2)</f>
        <v>77.599999999999994</v>
      </c>
      <c r="H217">
        <f>(SUMIFS(monthly_work_hours!$G:$G,monthly_work_hours!$A:$A,'FTE 계산'!$A217,monthly_work_hours!$F:$F,'FTE 계산'!H$2)) - (SUMIFS(monthly_work_hours!$J:$J,monthly_work_hours!$A:$A,'FTE 계산'!$A217,monthly_work_hours!$F:$F,'FTE 계산'!H$2))</f>
        <v>11</v>
      </c>
      <c r="I217">
        <f>(SUMIFS(monthly_work_hours!$G:$G,monthly_work_hours!$A:$A,'FTE 계산'!$A217,monthly_work_hours!$F:$F,'FTE 계산'!I$2)) - (SUMIFS(monthly_work_hours!$J:$J,monthly_work_hours!$A:$A,'FTE 계산'!$A217,monthly_work_hours!$F:$F,'FTE 계산'!I$2))</f>
        <v>11</v>
      </c>
      <c r="J217">
        <f>(SUMIFS(monthly_work_hours!$G:$G,monthly_work_hours!$A:$A,'FTE 계산'!$A217,monthly_work_hours!$F:$F,'FTE 계산'!J$2)) - (SUMIFS(monthly_work_hours!$J:$J,monthly_work_hours!$A:$A,'FTE 계산'!$A217,monthly_work_hours!$F:$F,'FTE 계산'!J$2))</f>
        <v>11</v>
      </c>
    </row>
    <row r="218" spans="1:10">
      <c r="A218">
        <v>1224052</v>
      </c>
      <c r="B218" t="str">
        <f>_xlfn.XLOOKUP(A218,monthly_work_hours!A:A,monthly_work_hours!B:B)</f>
        <v>박소희</v>
      </c>
      <c r="C218" t="str">
        <f>_xlfn.XLOOKUP(A218,monthly_work_hours!A:A,monthly_work_hours!C:C)</f>
        <v>SL상생협력팀</v>
      </c>
      <c r="D218" t="str">
        <f>_xlfn.XLOOKUP(A218,monthly_work_hours!A:A,monthly_work_hours!D:D)</f>
        <v>사원</v>
      </c>
      <c r="E218">
        <f>SUMIFS(monthly_work_hours!$K:$K,monthly_work_hours!$A:$A,'FTE 계산'!$A218,monthly_work_hours!$F:$F,'FTE 계산'!E$2)</f>
        <v>155.5</v>
      </c>
      <c r="F218">
        <f>SUMIFS(monthly_work_hours!$K:$K,monthly_work_hours!$A:$A,'FTE 계산'!$A218,monthly_work_hours!$F:$F,'FTE 계산'!F$2)</f>
        <v>178.6</v>
      </c>
      <c r="G218">
        <f>SUMIFS(monthly_work_hours!$K:$K,monthly_work_hours!$A:$A,'FTE 계산'!$A218,monthly_work_hours!$F:$F,'FTE 계산'!G$2)</f>
        <v>140.30000000000001</v>
      </c>
      <c r="H218">
        <f>(SUMIFS(monthly_work_hours!$G:$G,monthly_work_hours!$A:$A,'FTE 계산'!$A218,monthly_work_hours!$F:$F,'FTE 계산'!H$2)) - (SUMIFS(monthly_work_hours!$J:$J,monthly_work_hours!$A:$A,'FTE 계산'!$A218,monthly_work_hours!$F:$F,'FTE 계산'!H$2))</f>
        <v>17</v>
      </c>
      <c r="I218">
        <f>(SUMIFS(monthly_work_hours!$G:$G,monthly_work_hours!$A:$A,'FTE 계산'!$A218,monthly_work_hours!$F:$F,'FTE 계산'!I$2)) - (SUMIFS(monthly_work_hours!$J:$J,monthly_work_hours!$A:$A,'FTE 계산'!$A218,monthly_work_hours!$F:$F,'FTE 계산'!I$2))</f>
        <v>19</v>
      </c>
      <c r="J218">
        <f>(SUMIFS(monthly_work_hours!$G:$G,monthly_work_hours!$A:$A,'FTE 계산'!$A218,monthly_work_hours!$F:$F,'FTE 계산'!J$2)) - (SUMIFS(monthly_work_hours!$J:$J,monthly_work_hours!$A:$A,'FTE 계산'!$A218,monthly_work_hours!$F:$F,'FTE 계산'!J$2))</f>
        <v>16</v>
      </c>
    </row>
    <row r="219" spans="1:10">
      <c r="A219">
        <v>1224055</v>
      </c>
      <c r="B219" t="str">
        <f>_xlfn.XLOOKUP(A219,monthly_work_hours!A:A,monthly_work_hours!B:B)</f>
        <v>최성용</v>
      </c>
      <c r="C219" t="str">
        <f>_xlfn.XLOOKUP(A219,monthly_work_hours!A:A,monthly_work_hours!C:C)</f>
        <v>SCM팀</v>
      </c>
      <c r="D219" t="str">
        <f>_xlfn.XLOOKUP(A219,monthly_work_hours!A:A,monthly_work_hours!D:D)</f>
        <v>사원</v>
      </c>
      <c r="E219">
        <f>SUMIFS(monthly_work_hours!$K:$K,monthly_work_hours!$A:$A,'FTE 계산'!$A219,monthly_work_hours!$F:$F,'FTE 계산'!E$2)</f>
        <v>158</v>
      </c>
      <c r="F219">
        <f>SUMIFS(monthly_work_hours!$K:$K,monthly_work_hours!$A:$A,'FTE 계산'!$A219,monthly_work_hours!$F:$F,'FTE 계산'!F$2)</f>
        <v>177.6</v>
      </c>
      <c r="G219">
        <f>SUMIFS(monthly_work_hours!$K:$K,monthly_work_hours!$A:$A,'FTE 계산'!$A219,monthly_work_hours!$F:$F,'FTE 계산'!G$2)</f>
        <v>144.69999999999999</v>
      </c>
      <c r="H219">
        <f>(SUMIFS(monthly_work_hours!$G:$G,monthly_work_hours!$A:$A,'FTE 계산'!$A219,monthly_work_hours!$F:$F,'FTE 계산'!H$2)) - (SUMIFS(monthly_work_hours!$J:$J,monthly_work_hours!$A:$A,'FTE 계산'!$A219,monthly_work_hours!$F:$F,'FTE 계산'!H$2))</f>
        <v>18</v>
      </c>
      <c r="I219">
        <f>(SUMIFS(monthly_work_hours!$G:$G,monthly_work_hours!$A:$A,'FTE 계산'!$A219,monthly_work_hours!$F:$F,'FTE 계산'!I$2)) - (SUMIFS(monthly_work_hours!$J:$J,monthly_work_hours!$A:$A,'FTE 계산'!$A219,monthly_work_hours!$F:$F,'FTE 계산'!I$2))</f>
        <v>19</v>
      </c>
      <c r="J219">
        <f>(SUMIFS(monthly_work_hours!$G:$G,monthly_work_hours!$A:$A,'FTE 계산'!$A219,monthly_work_hours!$F:$F,'FTE 계산'!J$2)) - (SUMIFS(monthly_work_hours!$J:$J,monthly_work_hours!$A:$A,'FTE 계산'!$A219,monthly_work_hours!$F:$F,'FTE 계산'!J$2))</f>
        <v>17</v>
      </c>
    </row>
    <row r="220" spans="1:10">
      <c r="A220">
        <v>1224056</v>
      </c>
      <c r="B220" t="str">
        <f>_xlfn.XLOOKUP(A220,monthly_work_hours!A:A,monthly_work_hours!B:B)</f>
        <v>신디</v>
      </c>
      <c r="C220" t="str">
        <f>_xlfn.XLOOKUP(A220,monthly_work_hours!A:A,monthly_work_hours!C:C)</f>
        <v>B/H사업팀</v>
      </c>
      <c r="D220" t="str">
        <f>_xlfn.XLOOKUP(A220,monthly_work_hours!A:A,monthly_work_hours!D:D)</f>
        <v>사원</v>
      </c>
      <c r="E220">
        <f>SUMIFS(monthly_work_hours!$K:$K,monthly_work_hours!$A:$A,'FTE 계산'!$A220,monthly_work_hours!$F:$F,'FTE 계산'!E$2)</f>
        <v>183.9</v>
      </c>
      <c r="F220">
        <f>SUMIFS(monthly_work_hours!$K:$K,monthly_work_hours!$A:$A,'FTE 계산'!$A220,monthly_work_hours!$F:$F,'FTE 계산'!F$2)</f>
        <v>177.3</v>
      </c>
      <c r="G220">
        <f>SUMIFS(monthly_work_hours!$K:$K,monthly_work_hours!$A:$A,'FTE 계산'!$A220,monthly_work_hours!$F:$F,'FTE 계산'!G$2)</f>
        <v>146.69999999999999</v>
      </c>
      <c r="H220">
        <f>(SUMIFS(monthly_work_hours!$G:$G,monthly_work_hours!$A:$A,'FTE 계산'!$A220,monthly_work_hours!$F:$F,'FTE 계산'!H$2)) - (SUMIFS(monthly_work_hours!$J:$J,monthly_work_hours!$A:$A,'FTE 계산'!$A220,monthly_work_hours!$F:$F,'FTE 계산'!H$2))</f>
        <v>19</v>
      </c>
      <c r="I220">
        <f>(SUMIFS(monthly_work_hours!$G:$G,monthly_work_hours!$A:$A,'FTE 계산'!$A220,monthly_work_hours!$F:$F,'FTE 계산'!I$2)) - (SUMIFS(monthly_work_hours!$J:$J,monthly_work_hours!$A:$A,'FTE 계산'!$A220,monthly_work_hours!$F:$F,'FTE 계산'!I$2))</f>
        <v>19</v>
      </c>
      <c r="J220">
        <f>(SUMIFS(monthly_work_hours!$G:$G,monthly_work_hours!$A:$A,'FTE 계산'!$A220,monthly_work_hours!$F:$F,'FTE 계산'!J$2)) - (SUMIFS(monthly_work_hours!$J:$J,monthly_work_hours!$A:$A,'FTE 계산'!$A220,monthly_work_hours!$F:$F,'FTE 계산'!J$2))</f>
        <v>16</v>
      </c>
    </row>
    <row r="221" spans="1:10">
      <c r="A221">
        <v>1224057</v>
      </c>
      <c r="B221" t="str">
        <f>_xlfn.XLOOKUP(A221,monthly_work_hours!A:A,monthly_work_hours!B:B)</f>
        <v>자보히르</v>
      </c>
      <c r="C221" t="str">
        <f>_xlfn.XLOOKUP(A221,monthly_work_hours!A:A,monthly_work_hours!C:C)</f>
        <v>SL개발팀</v>
      </c>
      <c r="D221" t="str">
        <f>_xlfn.XLOOKUP(A221,monthly_work_hours!A:A,monthly_work_hours!D:D)</f>
        <v>사원</v>
      </c>
      <c r="E221">
        <f>SUMIFS(monthly_work_hours!$K:$K,monthly_work_hours!$A:$A,'FTE 계산'!$A221,monthly_work_hours!$F:$F,'FTE 계산'!E$2)</f>
        <v>162.4</v>
      </c>
      <c r="F221">
        <f>SUMIFS(monthly_work_hours!$K:$K,monthly_work_hours!$A:$A,'FTE 계산'!$A221,monthly_work_hours!$F:$F,'FTE 계산'!F$2)</f>
        <v>139.19999999999999</v>
      </c>
      <c r="G221">
        <f>SUMIFS(monthly_work_hours!$K:$K,monthly_work_hours!$A:$A,'FTE 계산'!$A221,monthly_work_hours!$F:$F,'FTE 계산'!G$2)</f>
        <v>124.5</v>
      </c>
      <c r="H221">
        <f>(SUMIFS(monthly_work_hours!$G:$G,monthly_work_hours!$A:$A,'FTE 계산'!$A221,monthly_work_hours!$F:$F,'FTE 계산'!H$2)) - (SUMIFS(monthly_work_hours!$J:$J,monthly_work_hours!$A:$A,'FTE 계산'!$A221,monthly_work_hours!$F:$F,'FTE 계산'!H$2))</f>
        <v>17</v>
      </c>
      <c r="I221">
        <f>(SUMIFS(monthly_work_hours!$G:$G,monthly_work_hours!$A:$A,'FTE 계산'!$A221,monthly_work_hours!$F:$F,'FTE 계산'!I$2)) - (SUMIFS(monthly_work_hours!$J:$J,monthly_work_hours!$A:$A,'FTE 계산'!$A221,monthly_work_hours!$F:$F,'FTE 계산'!I$2))</f>
        <v>15</v>
      </c>
      <c r="J221">
        <f>(SUMIFS(monthly_work_hours!$G:$G,monthly_work_hours!$A:$A,'FTE 계산'!$A221,monthly_work_hours!$F:$F,'FTE 계산'!J$2)) - (SUMIFS(monthly_work_hours!$J:$J,monthly_work_hours!$A:$A,'FTE 계산'!$A221,monthly_work_hours!$F:$F,'FTE 계산'!J$2))</f>
        <v>14</v>
      </c>
    </row>
    <row r="222" spans="1:10">
      <c r="A222">
        <v>1225001</v>
      </c>
      <c r="B222" t="str">
        <f>_xlfn.XLOOKUP(A222,monthly_work_hours!A:A,monthly_work_hours!B:B)</f>
        <v>허세린</v>
      </c>
      <c r="C222" t="str">
        <f>_xlfn.XLOOKUP(A222,monthly_work_hours!A:A,monthly_work_hours!C:C)</f>
        <v>SL상생협력팀</v>
      </c>
      <c r="D222" t="str">
        <f>_xlfn.XLOOKUP(A222,monthly_work_hours!A:A,monthly_work_hours!D:D)</f>
        <v>사원</v>
      </c>
      <c r="E222">
        <f>SUMIFS(monthly_work_hours!$K:$K,monthly_work_hours!$A:$A,'FTE 계산'!$A222,monthly_work_hours!$F:$F,'FTE 계산'!E$2)</f>
        <v>180.7</v>
      </c>
      <c r="F222">
        <f>SUMIFS(monthly_work_hours!$K:$K,monthly_work_hours!$A:$A,'FTE 계산'!$A222,monthly_work_hours!$F:$F,'FTE 계산'!F$2)</f>
        <v>166.6</v>
      </c>
      <c r="G222">
        <f>SUMIFS(monthly_work_hours!$K:$K,monthly_work_hours!$A:$A,'FTE 계산'!$A222,monthly_work_hours!$F:$F,'FTE 계산'!G$2)</f>
        <v>143.19999999999999</v>
      </c>
      <c r="H222">
        <f>(SUMIFS(monthly_work_hours!$G:$G,monthly_work_hours!$A:$A,'FTE 계산'!$A222,monthly_work_hours!$F:$F,'FTE 계산'!H$2)) - (SUMIFS(monthly_work_hours!$J:$J,monthly_work_hours!$A:$A,'FTE 계산'!$A222,monthly_work_hours!$F:$F,'FTE 계산'!H$2))</f>
        <v>18</v>
      </c>
      <c r="I222">
        <f>(SUMIFS(monthly_work_hours!$G:$G,monthly_work_hours!$A:$A,'FTE 계산'!$A222,monthly_work_hours!$F:$F,'FTE 계산'!I$2)) - (SUMIFS(monthly_work_hours!$J:$J,monthly_work_hours!$A:$A,'FTE 계산'!$A222,monthly_work_hours!$F:$F,'FTE 계산'!I$2))</f>
        <v>18</v>
      </c>
      <c r="J222">
        <f>(SUMIFS(monthly_work_hours!$G:$G,monthly_work_hours!$A:$A,'FTE 계산'!$A222,monthly_work_hours!$F:$F,'FTE 계산'!J$2)) - (SUMIFS(monthly_work_hours!$J:$J,monthly_work_hours!$A:$A,'FTE 계산'!$A222,monthly_work_hours!$F:$F,'FTE 계산'!J$2))</f>
        <v>16</v>
      </c>
    </row>
    <row r="223" spans="1:10">
      <c r="A223">
        <v>1225002</v>
      </c>
      <c r="B223" t="str">
        <f>_xlfn.XLOOKUP(A223,monthly_work_hours!A:A,monthly_work_hours!B:B)</f>
        <v>민경록</v>
      </c>
      <c r="C223" t="str">
        <f>_xlfn.XLOOKUP(A223,monthly_work_hours!A:A,monthly_work_hours!C:C)</f>
        <v>SL운영팀</v>
      </c>
      <c r="D223" t="str">
        <f>_xlfn.XLOOKUP(A223,monthly_work_hours!A:A,monthly_work_hours!D:D)</f>
        <v>사원</v>
      </c>
      <c r="E223">
        <f>SUMIFS(monthly_work_hours!$K:$K,monthly_work_hours!$A:$A,'FTE 계산'!$A223,monthly_work_hours!$F:$F,'FTE 계산'!E$2)</f>
        <v>106.1</v>
      </c>
      <c r="F223">
        <f>SUMIFS(monthly_work_hours!$K:$K,monthly_work_hours!$A:$A,'FTE 계산'!$A223,monthly_work_hours!$F:$F,'FTE 계산'!F$2)</f>
        <v>175.6</v>
      </c>
      <c r="G223">
        <f>SUMIFS(monthly_work_hours!$K:$K,monthly_work_hours!$A:$A,'FTE 계산'!$A223,monthly_work_hours!$F:$F,'FTE 계산'!G$2)</f>
        <v>138.5</v>
      </c>
      <c r="H223">
        <f>(SUMIFS(monthly_work_hours!$G:$G,monthly_work_hours!$A:$A,'FTE 계산'!$A223,monthly_work_hours!$F:$F,'FTE 계산'!H$2)) - (SUMIFS(monthly_work_hours!$J:$J,monthly_work_hours!$A:$A,'FTE 계산'!$A223,monthly_work_hours!$F:$F,'FTE 계산'!H$2))</f>
        <v>10</v>
      </c>
      <c r="I223">
        <f>(SUMIFS(monthly_work_hours!$G:$G,monthly_work_hours!$A:$A,'FTE 계산'!$A223,monthly_work_hours!$F:$F,'FTE 계산'!I$2)) - (SUMIFS(monthly_work_hours!$J:$J,monthly_work_hours!$A:$A,'FTE 계산'!$A223,monthly_work_hours!$F:$F,'FTE 계산'!I$2))</f>
        <v>18</v>
      </c>
      <c r="J223">
        <f>(SUMIFS(monthly_work_hours!$G:$G,monthly_work_hours!$A:$A,'FTE 계산'!$A223,monthly_work_hours!$F:$F,'FTE 계산'!J$2)) - (SUMIFS(monthly_work_hours!$J:$J,monthly_work_hours!$A:$A,'FTE 계산'!$A223,monthly_work_hours!$F:$F,'FTE 계산'!J$2))</f>
        <v>16</v>
      </c>
    </row>
    <row r="224" spans="1:10">
      <c r="A224">
        <v>1225003</v>
      </c>
      <c r="B224" t="str">
        <f>_xlfn.XLOOKUP(A224,monthly_work_hours!A:A,monthly_work_hours!B:B)</f>
        <v>박준호</v>
      </c>
      <c r="C224" t="str">
        <f>_xlfn.XLOOKUP(A224,monthly_work_hours!A:A,monthly_work_hours!C:C)</f>
        <v>FL영업팀</v>
      </c>
      <c r="D224" t="str">
        <f>_xlfn.XLOOKUP(A224,monthly_work_hours!A:A,monthly_work_hours!D:D)</f>
        <v>사원</v>
      </c>
      <c r="E224">
        <f>SUMIFS(monthly_work_hours!$K:$K,monthly_work_hours!$A:$A,'FTE 계산'!$A224,monthly_work_hours!$F:$F,'FTE 계산'!E$2)</f>
        <v>179.9</v>
      </c>
      <c r="F224">
        <f>SUMIFS(monthly_work_hours!$K:$K,monthly_work_hours!$A:$A,'FTE 계산'!$A224,monthly_work_hours!$F:$F,'FTE 계산'!F$2)</f>
        <v>212</v>
      </c>
      <c r="G224">
        <f>SUMIFS(monthly_work_hours!$K:$K,monthly_work_hours!$A:$A,'FTE 계산'!$A224,monthly_work_hours!$F:$F,'FTE 계산'!G$2)</f>
        <v>185.9</v>
      </c>
      <c r="H224">
        <f>(SUMIFS(monthly_work_hours!$G:$G,monthly_work_hours!$A:$A,'FTE 계산'!$A224,monthly_work_hours!$F:$F,'FTE 계산'!H$2)) - (SUMIFS(monthly_work_hours!$J:$J,monthly_work_hours!$A:$A,'FTE 계산'!$A224,monthly_work_hours!$F:$F,'FTE 계산'!H$2))</f>
        <v>17</v>
      </c>
      <c r="I224">
        <f>(SUMIFS(monthly_work_hours!$G:$G,monthly_work_hours!$A:$A,'FTE 계산'!$A224,monthly_work_hours!$F:$F,'FTE 계산'!I$2)) - (SUMIFS(monthly_work_hours!$J:$J,monthly_work_hours!$A:$A,'FTE 계산'!$A224,monthly_work_hours!$F:$F,'FTE 계산'!I$2))</f>
        <v>19</v>
      </c>
      <c r="J224">
        <f>(SUMIFS(monthly_work_hours!$G:$G,monthly_work_hours!$A:$A,'FTE 계산'!$A224,monthly_work_hours!$F:$F,'FTE 계산'!J$2)) - (SUMIFS(monthly_work_hours!$J:$J,monthly_work_hours!$A:$A,'FTE 계산'!$A224,monthly_work_hours!$F:$F,'FTE 계산'!J$2))</f>
        <v>16</v>
      </c>
    </row>
    <row r="225" spans="1:10">
      <c r="A225">
        <v>1225004</v>
      </c>
      <c r="B225" t="str">
        <f>_xlfn.XLOOKUP(A225,monthly_work_hours!A:A,monthly_work_hours!B:B)</f>
        <v>박성원</v>
      </c>
      <c r="C225" t="str">
        <f>_xlfn.XLOOKUP(A225,monthly_work_hours!A:A,monthly_work_hours!C:C)</f>
        <v>SCM팀</v>
      </c>
      <c r="D225" t="str">
        <f>_xlfn.XLOOKUP(A225,monthly_work_hours!A:A,monthly_work_hours!D:D)</f>
        <v>사원</v>
      </c>
      <c r="E225">
        <f>SUMIFS(monthly_work_hours!$K:$K,monthly_work_hours!$A:$A,'FTE 계산'!$A225,monthly_work_hours!$F:$F,'FTE 계산'!E$2)</f>
        <v>210.2</v>
      </c>
      <c r="F225">
        <f>SUMIFS(monthly_work_hours!$K:$K,monthly_work_hours!$A:$A,'FTE 계산'!$A225,monthly_work_hours!$F:$F,'FTE 계산'!F$2)</f>
        <v>251.2</v>
      </c>
      <c r="G225">
        <f>SUMIFS(monthly_work_hours!$K:$K,monthly_work_hours!$A:$A,'FTE 계산'!$A225,monthly_work_hours!$F:$F,'FTE 계산'!G$2)</f>
        <v>182.3</v>
      </c>
      <c r="H225">
        <f>(SUMIFS(monthly_work_hours!$G:$G,monthly_work_hours!$A:$A,'FTE 계산'!$A225,monthly_work_hours!$F:$F,'FTE 계산'!H$2)) - (SUMIFS(monthly_work_hours!$J:$J,monthly_work_hours!$A:$A,'FTE 계산'!$A225,monthly_work_hours!$F:$F,'FTE 계산'!H$2))</f>
        <v>19</v>
      </c>
      <c r="I225">
        <f>(SUMIFS(monthly_work_hours!$G:$G,monthly_work_hours!$A:$A,'FTE 계산'!$A225,monthly_work_hours!$F:$F,'FTE 계산'!I$2)) - (SUMIFS(monthly_work_hours!$J:$J,monthly_work_hours!$A:$A,'FTE 계산'!$A225,monthly_work_hours!$F:$F,'FTE 계산'!I$2))</f>
        <v>22</v>
      </c>
      <c r="J225">
        <f>(SUMIFS(monthly_work_hours!$G:$G,monthly_work_hours!$A:$A,'FTE 계산'!$A225,monthly_work_hours!$F:$F,'FTE 계산'!J$2)) - (SUMIFS(monthly_work_hours!$J:$J,monthly_work_hours!$A:$A,'FTE 계산'!$A225,monthly_work_hours!$F:$F,'FTE 계산'!J$2))</f>
        <v>17</v>
      </c>
    </row>
    <row r="226" spans="1:10">
      <c r="A226">
        <v>1225005</v>
      </c>
      <c r="B226" t="str">
        <f>_xlfn.XLOOKUP(A226,monthly_work_hours!A:A,monthly_work_hours!B:B)</f>
        <v>양은혜</v>
      </c>
      <c r="C226" t="str">
        <f>_xlfn.XLOOKUP(A226,monthly_work_hours!A:A,monthly_work_hours!C:C)</f>
        <v>SL설계팀</v>
      </c>
      <c r="D226" t="str">
        <f>_xlfn.XLOOKUP(A226,monthly_work_hours!A:A,monthly_work_hours!D:D)</f>
        <v>사원</v>
      </c>
      <c r="E226">
        <f>SUMIFS(monthly_work_hours!$K:$K,monthly_work_hours!$A:$A,'FTE 계산'!$A226,monthly_work_hours!$F:$F,'FTE 계산'!E$2)</f>
        <v>170.3</v>
      </c>
      <c r="F226">
        <f>SUMIFS(monthly_work_hours!$K:$K,monthly_work_hours!$A:$A,'FTE 계산'!$A226,monthly_work_hours!$F:$F,'FTE 계산'!F$2)</f>
        <v>166</v>
      </c>
      <c r="G226">
        <f>SUMIFS(monthly_work_hours!$K:$K,monthly_work_hours!$A:$A,'FTE 계산'!$A226,monthly_work_hours!$F:$F,'FTE 계산'!G$2)</f>
        <v>137.5</v>
      </c>
      <c r="H226">
        <f>(SUMIFS(monthly_work_hours!$G:$G,monthly_work_hours!$A:$A,'FTE 계산'!$A226,monthly_work_hours!$F:$F,'FTE 계산'!H$2)) - (SUMIFS(monthly_work_hours!$J:$J,monthly_work_hours!$A:$A,'FTE 계산'!$A226,monthly_work_hours!$F:$F,'FTE 계산'!H$2))</f>
        <v>18</v>
      </c>
      <c r="I226">
        <f>(SUMIFS(monthly_work_hours!$G:$G,monthly_work_hours!$A:$A,'FTE 계산'!$A226,monthly_work_hours!$F:$F,'FTE 계산'!I$2)) - (SUMIFS(monthly_work_hours!$J:$J,monthly_work_hours!$A:$A,'FTE 계산'!$A226,monthly_work_hours!$F:$F,'FTE 계산'!I$2))</f>
        <v>18</v>
      </c>
      <c r="J226">
        <f>(SUMIFS(monthly_work_hours!$G:$G,monthly_work_hours!$A:$A,'FTE 계산'!$A226,monthly_work_hours!$F:$F,'FTE 계산'!J$2)) - (SUMIFS(monthly_work_hours!$J:$J,monthly_work_hours!$A:$A,'FTE 계산'!$A226,monthly_work_hours!$F:$F,'FTE 계산'!J$2))</f>
        <v>16</v>
      </c>
    </row>
    <row r="227" spans="1:10">
      <c r="A227">
        <v>1225007</v>
      </c>
      <c r="B227" t="str">
        <f>_xlfn.XLOOKUP(A227,monthly_work_hours!A:A,monthly_work_hours!B:B)</f>
        <v>김정현</v>
      </c>
      <c r="C227" t="str">
        <f>_xlfn.XLOOKUP(A227,monthly_work_hours!A:A,monthly_work_hours!C:C)</f>
        <v>Brake설계팀</v>
      </c>
      <c r="D227" t="str">
        <f>_xlfn.XLOOKUP(A227,monthly_work_hours!A:A,monthly_work_hours!D:D)</f>
        <v>사원</v>
      </c>
      <c r="E227">
        <f>SUMIFS(monthly_work_hours!$K:$K,monthly_work_hours!$A:$A,'FTE 계산'!$A227,monthly_work_hours!$F:$F,'FTE 계산'!E$2)</f>
        <v>168.4</v>
      </c>
      <c r="F227">
        <f>SUMIFS(monthly_work_hours!$K:$K,monthly_work_hours!$A:$A,'FTE 계산'!$A227,monthly_work_hours!$F:$F,'FTE 계산'!F$2)</f>
        <v>176</v>
      </c>
      <c r="G227">
        <f>SUMIFS(monthly_work_hours!$K:$K,monthly_work_hours!$A:$A,'FTE 계산'!$A227,monthly_work_hours!$F:$F,'FTE 계산'!G$2)</f>
        <v>114.8</v>
      </c>
      <c r="H227">
        <f>(SUMIFS(monthly_work_hours!$G:$G,monthly_work_hours!$A:$A,'FTE 계산'!$A227,monthly_work_hours!$F:$F,'FTE 계산'!H$2)) - (SUMIFS(monthly_work_hours!$J:$J,monthly_work_hours!$A:$A,'FTE 계산'!$A227,monthly_work_hours!$F:$F,'FTE 계산'!H$2))</f>
        <v>18</v>
      </c>
      <c r="I227">
        <f>(SUMIFS(monthly_work_hours!$G:$G,monthly_work_hours!$A:$A,'FTE 계산'!$A227,monthly_work_hours!$F:$F,'FTE 계산'!I$2)) - (SUMIFS(monthly_work_hours!$J:$J,monthly_work_hours!$A:$A,'FTE 계산'!$A227,monthly_work_hours!$F:$F,'FTE 계산'!I$2))</f>
        <v>19</v>
      </c>
      <c r="J227">
        <f>(SUMIFS(monthly_work_hours!$G:$G,monthly_work_hours!$A:$A,'FTE 계산'!$A227,monthly_work_hours!$F:$F,'FTE 계산'!J$2)) - (SUMIFS(monthly_work_hours!$J:$J,monthly_work_hours!$A:$A,'FTE 계산'!$A227,monthly_work_hours!$F:$F,'FTE 계산'!J$2))</f>
        <v>13</v>
      </c>
    </row>
    <row r="228" spans="1:10">
      <c r="A228">
        <v>1225008</v>
      </c>
      <c r="B228" t="str">
        <f>_xlfn.XLOOKUP(A228,monthly_work_hours!A:A,monthly_work_hours!B:B)</f>
        <v>조해정</v>
      </c>
      <c r="C228" t="str">
        <f>_xlfn.XLOOKUP(A228,monthly_work_hours!A:A,monthly_work_hours!C:C)</f>
        <v>Brake설계팀</v>
      </c>
      <c r="D228" t="str">
        <f>_xlfn.XLOOKUP(A228,monthly_work_hours!A:A,monthly_work_hours!D:D)</f>
        <v>사원</v>
      </c>
      <c r="E228">
        <f>SUMIFS(monthly_work_hours!$K:$K,monthly_work_hours!$A:$A,'FTE 계산'!$A228,monthly_work_hours!$F:$F,'FTE 계산'!E$2)</f>
        <v>200.2</v>
      </c>
      <c r="F228">
        <f>SUMIFS(monthly_work_hours!$K:$K,monthly_work_hours!$A:$A,'FTE 계산'!$A228,monthly_work_hours!$F:$F,'FTE 계산'!F$2)</f>
        <v>184.3</v>
      </c>
      <c r="G228">
        <f>SUMIFS(monthly_work_hours!$K:$K,monthly_work_hours!$A:$A,'FTE 계산'!$A228,monthly_work_hours!$F:$F,'FTE 계산'!G$2)</f>
        <v>157</v>
      </c>
      <c r="H228">
        <f>(SUMIFS(monthly_work_hours!$G:$G,monthly_work_hours!$A:$A,'FTE 계산'!$A228,monthly_work_hours!$F:$F,'FTE 계산'!H$2)) - (SUMIFS(monthly_work_hours!$J:$J,monthly_work_hours!$A:$A,'FTE 계산'!$A228,monthly_work_hours!$F:$F,'FTE 계산'!H$2))</f>
        <v>19</v>
      </c>
      <c r="I228">
        <f>(SUMIFS(monthly_work_hours!$G:$G,monthly_work_hours!$A:$A,'FTE 계산'!$A228,monthly_work_hours!$F:$F,'FTE 계산'!I$2)) - (SUMIFS(monthly_work_hours!$J:$J,monthly_work_hours!$A:$A,'FTE 계산'!$A228,monthly_work_hours!$F:$F,'FTE 계산'!I$2))</f>
        <v>18</v>
      </c>
      <c r="J228">
        <f>(SUMIFS(monthly_work_hours!$G:$G,monthly_work_hours!$A:$A,'FTE 계산'!$A228,monthly_work_hours!$F:$F,'FTE 계산'!J$2)) - (SUMIFS(monthly_work_hours!$J:$J,monthly_work_hours!$A:$A,'FTE 계산'!$A228,monthly_work_hours!$F:$F,'FTE 계산'!J$2))</f>
        <v>16</v>
      </c>
    </row>
    <row r="229" spans="1:10">
      <c r="A229">
        <v>1225009</v>
      </c>
      <c r="B229" t="str">
        <f>_xlfn.XLOOKUP(A229,monthly_work_hours!A:A,monthly_work_hours!B:B)</f>
        <v>최재원</v>
      </c>
      <c r="C229" t="str">
        <f>_xlfn.XLOOKUP(A229,monthly_work_hours!A:A,monthly_work_hours!C:C)</f>
        <v>HR팀</v>
      </c>
      <c r="D229" t="str">
        <f>_xlfn.XLOOKUP(A229,monthly_work_hours!A:A,monthly_work_hours!D:D)</f>
        <v>선임</v>
      </c>
      <c r="E229">
        <f>SUMIFS(monthly_work_hours!$K:$K,monthly_work_hours!$A:$A,'FTE 계산'!$A229,monthly_work_hours!$F:$F,'FTE 계산'!E$2)</f>
        <v>169</v>
      </c>
      <c r="F229">
        <f>SUMIFS(monthly_work_hours!$K:$K,monthly_work_hours!$A:$A,'FTE 계산'!$A229,monthly_work_hours!$F:$F,'FTE 계산'!F$2)</f>
        <v>170.9</v>
      </c>
      <c r="G229">
        <f>SUMIFS(monthly_work_hours!$K:$K,monthly_work_hours!$A:$A,'FTE 계산'!$A229,monthly_work_hours!$F:$F,'FTE 계산'!G$2)</f>
        <v>131.69999999999999</v>
      </c>
      <c r="H229">
        <f>(SUMIFS(monthly_work_hours!$G:$G,monthly_work_hours!$A:$A,'FTE 계산'!$A229,monthly_work_hours!$F:$F,'FTE 계산'!H$2)) - (SUMIFS(monthly_work_hours!$J:$J,monthly_work_hours!$A:$A,'FTE 계산'!$A229,monthly_work_hours!$F:$F,'FTE 계산'!H$2))</f>
        <v>18</v>
      </c>
      <c r="I229">
        <f>(SUMIFS(monthly_work_hours!$G:$G,monthly_work_hours!$A:$A,'FTE 계산'!$A229,monthly_work_hours!$F:$F,'FTE 계산'!I$2)) - (SUMIFS(monthly_work_hours!$J:$J,monthly_work_hours!$A:$A,'FTE 계산'!$A229,monthly_work_hours!$F:$F,'FTE 계산'!I$2))</f>
        <v>18</v>
      </c>
      <c r="J229">
        <f>(SUMIFS(monthly_work_hours!$G:$G,monthly_work_hours!$A:$A,'FTE 계산'!$A229,monthly_work_hours!$F:$F,'FTE 계산'!J$2)) - (SUMIFS(monthly_work_hours!$J:$J,monthly_work_hours!$A:$A,'FTE 계산'!$A229,monthly_work_hours!$F:$F,'FTE 계산'!J$2))</f>
        <v>16</v>
      </c>
    </row>
    <row r="230" spans="1:10">
      <c r="A230">
        <v>1225010</v>
      </c>
      <c r="B230" t="str">
        <f>_xlfn.XLOOKUP(A230,monthly_work_hours!A:A,monthly_work_hours!B:B)</f>
        <v>정연우</v>
      </c>
      <c r="C230" t="str">
        <f>_xlfn.XLOOKUP(A230,monthly_work_hours!A:A,monthly_work_hours!C:C)</f>
        <v>SL품질보증팀</v>
      </c>
      <c r="D230" t="str">
        <f>_xlfn.XLOOKUP(A230,monthly_work_hours!A:A,monthly_work_hours!D:D)</f>
        <v>사원</v>
      </c>
      <c r="E230">
        <f>SUMIFS(monthly_work_hours!$K:$K,monthly_work_hours!$A:$A,'FTE 계산'!$A230,monthly_work_hours!$F:$F,'FTE 계산'!E$2)</f>
        <v>168.2</v>
      </c>
      <c r="F230">
        <f>SUMIFS(monthly_work_hours!$K:$K,monthly_work_hours!$A:$A,'FTE 계산'!$A230,monthly_work_hours!$F:$F,'FTE 계산'!F$2)</f>
        <v>183.8</v>
      </c>
      <c r="G230">
        <f>SUMIFS(monthly_work_hours!$K:$K,monthly_work_hours!$A:$A,'FTE 계산'!$A230,monthly_work_hours!$F:$F,'FTE 계산'!G$2)</f>
        <v>146.4</v>
      </c>
      <c r="H230">
        <f>(SUMIFS(monthly_work_hours!$G:$G,monthly_work_hours!$A:$A,'FTE 계산'!$A230,monthly_work_hours!$F:$F,'FTE 계산'!H$2)) - (SUMIFS(monthly_work_hours!$J:$J,monthly_work_hours!$A:$A,'FTE 계산'!$A230,monthly_work_hours!$F:$F,'FTE 계산'!H$2))</f>
        <v>18</v>
      </c>
      <c r="I230">
        <f>(SUMIFS(monthly_work_hours!$G:$G,monthly_work_hours!$A:$A,'FTE 계산'!$A230,monthly_work_hours!$F:$F,'FTE 계산'!I$2)) - (SUMIFS(monthly_work_hours!$J:$J,monthly_work_hours!$A:$A,'FTE 계산'!$A230,monthly_work_hours!$F:$F,'FTE 계산'!I$2))</f>
        <v>19</v>
      </c>
      <c r="J230">
        <f>(SUMIFS(monthly_work_hours!$G:$G,monthly_work_hours!$A:$A,'FTE 계산'!$A230,monthly_work_hours!$F:$F,'FTE 계산'!J$2)) - (SUMIFS(monthly_work_hours!$J:$J,monthly_work_hours!$A:$A,'FTE 계산'!$A230,monthly_work_hours!$F:$F,'FTE 계산'!J$2))</f>
        <v>16</v>
      </c>
    </row>
    <row r="231" spans="1:10">
      <c r="A231">
        <v>1225011</v>
      </c>
      <c r="B231" t="str">
        <f>_xlfn.XLOOKUP(A231,monthly_work_hours!A:A,monthly_work_hours!B:B)</f>
        <v>임지은</v>
      </c>
      <c r="C231" t="str">
        <f>_xlfn.XLOOKUP(A231,monthly_work_hours!A:A,monthly_work_hours!C:C)</f>
        <v>SL품질보증팀</v>
      </c>
      <c r="D231" t="str">
        <f>_xlfn.XLOOKUP(A231,monthly_work_hours!A:A,monthly_work_hours!D:D)</f>
        <v>선임</v>
      </c>
      <c r="E231">
        <f>SUMIFS(monthly_work_hours!$K:$K,monthly_work_hours!$A:$A,'FTE 계산'!$A231,monthly_work_hours!$F:$F,'FTE 계산'!E$2)</f>
        <v>66.8</v>
      </c>
      <c r="F231">
        <f>SUMIFS(monthly_work_hours!$K:$K,monthly_work_hours!$A:$A,'FTE 계산'!$A231,monthly_work_hours!$F:$F,'FTE 계산'!F$2)</f>
        <v>71.099999999999994</v>
      </c>
      <c r="G231">
        <f>SUMIFS(monthly_work_hours!$K:$K,monthly_work_hours!$A:$A,'FTE 계산'!$A231,monthly_work_hours!$F:$F,'FTE 계산'!G$2)</f>
        <v>43.4</v>
      </c>
      <c r="H231">
        <f>(SUMIFS(monthly_work_hours!$G:$G,monthly_work_hours!$A:$A,'FTE 계산'!$A231,monthly_work_hours!$F:$F,'FTE 계산'!H$2)) - (SUMIFS(monthly_work_hours!$J:$J,monthly_work_hours!$A:$A,'FTE 계산'!$A231,monthly_work_hours!$F:$F,'FTE 계산'!H$2))</f>
        <v>17</v>
      </c>
      <c r="I231">
        <f>(SUMIFS(monthly_work_hours!$G:$G,monthly_work_hours!$A:$A,'FTE 계산'!$A231,monthly_work_hours!$F:$F,'FTE 계산'!I$2)) - (SUMIFS(monthly_work_hours!$J:$J,monthly_work_hours!$A:$A,'FTE 계산'!$A231,monthly_work_hours!$F:$F,'FTE 계산'!I$2))</f>
        <v>16</v>
      </c>
      <c r="J231">
        <f>(SUMIFS(monthly_work_hours!$G:$G,monthly_work_hours!$A:$A,'FTE 계산'!$A231,monthly_work_hours!$F:$F,'FTE 계산'!J$2)) - (SUMIFS(monthly_work_hours!$J:$J,monthly_work_hours!$A:$A,'FTE 계산'!$A231,monthly_work_hours!$F:$F,'FTE 계산'!J$2))</f>
        <v>11</v>
      </c>
    </row>
    <row r="232" spans="1:10">
      <c r="A232">
        <v>1225012</v>
      </c>
      <c r="B232" t="str">
        <f>_xlfn.XLOOKUP(A232,monthly_work_hours!A:A,monthly_work_hours!B:B)</f>
        <v>김종민</v>
      </c>
      <c r="C232" t="str">
        <f>_xlfn.XLOOKUP(A232,monthly_work_hours!A:A,monthly_work_hours!C:C)</f>
        <v>B/H사업팀</v>
      </c>
      <c r="D232" t="str">
        <f>_xlfn.XLOOKUP(A232,monthly_work_hours!A:A,monthly_work_hours!D:D)</f>
        <v>선임</v>
      </c>
      <c r="E232">
        <f>SUMIFS(monthly_work_hours!$K:$K,monthly_work_hours!$A:$A,'FTE 계산'!$A232,monthly_work_hours!$F:$F,'FTE 계산'!E$2)</f>
        <v>142.6</v>
      </c>
      <c r="F232">
        <f>SUMIFS(monthly_work_hours!$K:$K,monthly_work_hours!$A:$A,'FTE 계산'!$A232,monthly_work_hours!$F:$F,'FTE 계산'!F$2)</f>
        <v>175.8</v>
      </c>
      <c r="G232">
        <f>SUMIFS(monthly_work_hours!$K:$K,monthly_work_hours!$A:$A,'FTE 계산'!$A232,monthly_work_hours!$F:$F,'FTE 계산'!G$2)</f>
        <v>157.1</v>
      </c>
      <c r="H232">
        <f>(SUMIFS(monthly_work_hours!$G:$G,monthly_work_hours!$A:$A,'FTE 계산'!$A232,monthly_work_hours!$F:$F,'FTE 계산'!H$2)) - (SUMIFS(monthly_work_hours!$J:$J,monthly_work_hours!$A:$A,'FTE 계산'!$A232,monthly_work_hours!$F:$F,'FTE 계산'!H$2))</f>
        <v>17</v>
      </c>
      <c r="I232">
        <f>(SUMIFS(monthly_work_hours!$G:$G,monthly_work_hours!$A:$A,'FTE 계산'!$A232,monthly_work_hours!$F:$F,'FTE 계산'!I$2)) - (SUMIFS(monthly_work_hours!$J:$J,monthly_work_hours!$A:$A,'FTE 계산'!$A232,monthly_work_hours!$F:$F,'FTE 계산'!I$2))</f>
        <v>18</v>
      </c>
      <c r="J232">
        <f>(SUMIFS(monthly_work_hours!$G:$G,monthly_work_hours!$A:$A,'FTE 계산'!$A232,monthly_work_hours!$F:$F,'FTE 계산'!J$2)) - (SUMIFS(monthly_work_hours!$J:$J,monthly_work_hours!$A:$A,'FTE 계산'!$A232,monthly_work_hours!$F:$F,'FTE 계산'!J$2))</f>
        <v>16</v>
      </c>
    </row>
    <row r="233" spans="1:10">
      <c r="A233">
        <v>1225013</v>
      </c>
      <c r="B233" t="str">
        <f>_xlfn.XLOOKUP(A233,monthly_work_hours!A:A,monthly_work_hours!B:B)</f>
        <v>이승철</v>
      </c>
      <c r="C233" t="str">
        <f>_xlfn.XLOOKUP(A233,monthly_work_hours!A:A,monthly_work_hours!C:C)</f>
        <v>SCM팀</v>
      </c>
      <c r="D233" t="str">
        <f>_xlfn.XLOOKUP(A233,monthly_work_hours!A:A,monthly_work_hours!D:D)</f>
        <v>선임</v>
      </c>
      <c r="E233">
        <f>SUMIFS(monthly_work_hours!$K:$K,monthly_work_hours!$A:$A,'FTE 계산'!$A233,monthly_work_hours!$F:$F,'FTE 계산'!E$2)</f>
        <v>214.1</v>
      </c>
      <c r="F233">
        <f>SUMIFS(monthly_work_hours!$K:$K,monthly_work_hours!$A:$A,'FTE 계산'!$A233,monthly_work_hours!$F:$F,'FTE 계산'!F$2)</f>
        <v>164.6</v>
      </c>
      <c r="G233">
        <f>SUMIFS(monthly_work_hours!$K:$K,monthly_work_hours!$A:$A,'FTE 계산'!$A233,monthly_work_hours!$F:$F,'FTE 계산'!G$2)</f>
        <v>138.6</v>
      </c>
      <c r="H233">
        <f>(SUMIFS(monthly_work_hours!$G:$G,monthly_work_hours!$A:$A,'FTE 계산'!$A233,monthly_work_hours!$F:$F,'FTE 계산'!H$2)) - (SUMIFS(monthly_work_hours!$J:$J,monthly_work_hours!$A:$A,'FTE 계산'!$A233,monthly_work_hours!$F:$F,'FTE 계산'!H$2))</f>
        <v>20</v>
      </c>
      <c r="I233">
        <f>(SUMIFS(monthly_work_hours!$G:$G,monthly_work_hours!$A:$A,'FTE 계산'!$A233,monthly_work_hours!$F:$F,'FTE 계산'!I$2)) - (SUMIFS(monthly_work_hours!$J:$J,monthly_work_hours!$A:$A,'FTE 계산'!$A233,monthly_work_hours!$F:$F,'FTE 계산'!I$2))</f>
        <v>19</v>
      </c>
      <c r="J233">
        <f>(SUMIFS(monthly_work_hours!$G:$G,monthly_work_hours!$A:$A,'FTE 계산'!$A233,monthly_work_hours!$F:$F,'FTE 계산'!J$2)) - (SUMIFS(monthly_work_hours!$J:$J,monthly_work_hours!$A:$A,'FTE 계산'!$A233,monthly_work_hours!$F:$F,'FTE 계산'!J$2))</f>
        <v>16</v>
      </c>
    </row>
    <row r="234" spans="1:10">
      <c r="A234">
        <v>1225014</v>
      </c>
      <c r="B234" t="str">
        <f>_xlfn.XLOOKUP(A234,monthly_work_hours!A:A,monthly_work_hours!B:B)</f>
        <v>국인웅</v>
      </c>
      <c r="C234" t="str">
        <f>_xlfn.XLOOKUP(A234,monthly_work_hours!A:A,monthly_work_hours!C:C)</f>
        <v>품질경영팀</v>
      </c>
      <c r="D234" t="str">
        <f>_xlfn.XLOOKUP(A234,monthly_work_hours!A:A,monthly_work_hours!D:D)</f>
        <v>선임</v>
      </c>
      <c r="E234">
        <f>SUMIFS(monthly_work_hours!$K:$K,monthly_work_hours!$A:$A,'FTE 계산'!$A234,monthly_work_hours!$F:$F,'FTE 계산'!E$2)</f>
        <v>171</v>
      </c>
      <c r="F234">
        <f>SUMIFS(monthly_work_hours!$K:$K,monthly_work_hours!$A:$A,'FTE 계산'!$A234,monthly_work_hours!$F:$F,'FTE 계산'!F$2)</f>
        <v>171.2</v>
      </c>
      <c r="G234">
        <f>SUMIFS(monthly_work_hours!$K:$K,monthly_work_hours!$A:$A,'FTE 계산'!$A234,monthly_work_hours!$F:$F,'FTE 계산'!G$2)</f>
        <v>159.1</v>
      </c>
      <c r="H234">
        <f>(SUMIFS(monthly_work_hours!$G:$G,monthly_work_hours!$A:$A,'FTE 계산'!$A234,monthly_work_hours!$F:$F,'FTE 계산'!H$2)) - (SUMIFS(monthly_work_hours!$J:$J,monthly_work_hours!$A:$A,'FTE 계산'!$A234,monthly_work_hours!$F:$F,'FTE 계산'!H$2))</f>
        <v>19</v>
      </c>
      <c r="I234">
        <f>(SUMIFS(monthly_work_hours!$G:$G,monthly_work_hours!$A:$A,'FTE 계산'!$A234,monthly_work_hours!$F:$F,'FTE 계산'!I$2)) - (SUMIFS(monthly_work_hours!$J:$J,monthly_work_hours!$A:$A,'FTE 계산'!$A234,monthly_work_hours!$F:$F,'FTE 계산'!I$2))</f>
        <v>17</v>
      </c>
      <c r="J234">
        <f>(SUMIFS(monthly_work_hours!$G:$G,monthly_work_hours!$A:$A,'FTE 계산'!$A234,monthly_work_hours!$F:$F,'FTE 계산'!J$2)) - (SUMIFS(monthly_work_hours!$J:$J,monthly_work_hours!$A:$A,'FTE 계산'!$A234,monthly_work_hours!$F:$F,'FTE 계산'!J$2))</f>
        <v>16</v>
      </c>
    </row>
    <row r="235" spans="1:10">
      <c r="A235">
        <v>1225015</v>
      </c>
      <c r="B235" t="str">
        <f>_xlfn.XLOOKUP(A235,monthly_work_hours!A:A,monthly_work_hours!B:B)</f>
        <v>장서연</v>
      </c>
      <c r="C235" t="str">
        <f>_xlfn.XLOOKUP(A235,monthly_work_hours!A:A,monthly_work_hours!C:C)</f>
        <v>HR팀</v>
      </c>
      <c r="D235" t="str">
        <f>_xlfn.XLOOKUP(A235,monthly_work_hours!A:A,monthly_work_hours!D:D)</f>
        <v>사원</v>
      </c>
      <c r="E235">
        <f>SUMIFS(monthly_work_hours!$K:$K,monthly_work_hours!$A:$A,'FTE 계산'!$A235,monthly_work_hours!$F:$F,'FTE 계산'!E$2)</f>
        <v>157.9</v>
      </c>
      <c r="F235">
        <f>SUMIFS(monthly_work_hours!$K:$K,monthly_work_hours!$A:$A,'FTE 계산'!$A235,monthly_work_hours!$F:$F,'FTE 계산'!F$2)</f>
        <v>167.2</v>
      </c>
      <c r="G235">
        <f>SUMIFS(monthly_work_hours!$K:$K,monthly_work_hours!$A:$A,'FTE 계산'!$A235,monthly_work_hours!$F:$F,'FTE 계산'!G$2)</f>
        <v>232.1</v>
      </c>
      <c r="H235">
        <f>(SUMIFS(monthly_work_hours!$G:$G,monthly_work_hours!$A:$A,'FTE 계산'!$A235,monthly_work_hours!$F:$F,'FTE 계산'!H$2)) - (SUMIFS(monthly_work_hours!$J:$J,monthly_work_hours!$A:$A,'FTE 계산'!$A235,monthly_work_hours!$F:$F,'FTE 계산'!H$2))</f>
        <v>18</v>
      </c>
      <c r="I235">
        <f>(SUMIFS(monthly_work_hours!$G:$G,monthly_work_hours!$A:$A,'FTE 계산'!$A235,monthly_work_hours!$F:$F,'FTE 계산'!I$2)) - (SUMIFS(monthly_work_hours!$J:$J,monthly_work_hours!$A:$A,'FTE 계산'!$A235,monthly_work_hours!$F:$F,'FTE 계산'!I$2))</f>
        <v>18</v>
      </c>
      <c r="J235">
        <f>(SUMIFS(monthly_work_hours!$G:$G,monthly_work_hours!$A:$A,'FTE 계산'!$A235,monthly_work_hours!$F:$F,'FTE 계산'!J$2)) - (SUMIFS(monthly_work_hours!$J:$J,monthly_work_hours!$A:$A,'FTE 계산'!$A235,monthly_work_hours!$F:$F,'FTE 계산'!J$2))</f>
        <v>15</v>
      </c>
    </row>
    <row r="236" spans="1:10">
      <c r="A236">
        <v>1225035</v>
      </c>
      <c r="B236" t="str">
        <f>_xlfn.XLOOKUP(A236,monthly_work_hours!A:A,monthly_work_hours!B:B)</f>
        <v>안영욱</v>
      </c>
      <c r="C236" t="str">
        <f>_xlfn.XLOOKUP(A236,monthly_work_hours!A:A,monthly_work_hours!C:C)</f>
        <v>설비기획팀</v>
      </c>
      <c r="D236" t="str">
        <f>_xlfn.XLOOKUP(A236,monthly_work_hours!A:A,monthly_work_hours!D:D)</f>
        <v>선임</v>
      </c>
      <c r="E236">
        <f>SUMIFS(monthly_work_hours!$K:$K,monthly_work_hours!$A:$A,'FTE 계산'!$A236,monthly_work_hours!$F:$F,'FTE 계산'!E$2)</f>
        <v>191</v>
      </c>
      <c r="F236">
        <f>SUMIFS(monthly_work_hours!$K:$K,monthly_work_hours!$A:$A,'FTE 계산'!$A236,monthly_work_hours!$F:$F,'FTE 계산'!F$2)</f>
        <v>208.1</v>
      </c>
      <c r="G236">
        <f>SUMIFS(monthly_work_hours!$K:$K,monthly_work_hours!$A:$A,'FTE 계산'!$A236,monthly_work_hours!$F:$F,'FTE 계산'!G$2)</f>
        <v>139.9</v>
      </c>
      <c r="H236">
        <f>(SUMIFS(monthly_work_hours!$G:$G,monthly_work_hours!$A:$A,'FTE 계산'!$A236,monthly_work_hours!$F:$F,'FTE 계산'!H$2)) - (SUMIFS(monthly_work_hours!$J:$J,monthly_work_hours!$A:$A,'FTE 계산'!$A236,monthly_work_hours!$F:$F,'FTE 계산'!H$2))</f>
        <v>19</v>
      </c>
      <c r="I236">
        <f>(SUMIFS(monthly_work_hours!$G:$G,monthly_work_hours!$A:$A,'FTE 계산'!$A236,monthly_work_hours!$F:$F,'FTE 계산'!I$2)) - (SUMIFS(monthly_work_hours!$J:$J,monthly_work_hours!$A:$A,'FTE 계산'!$A236,monthly_work_hours!$F:$F,'FTE 계산'!I$2))</f>
        <v>19</v>
      </c>
      <c r="J236">
        <f>(SUMIFS(monthly_work_hours!$G:$G,monthly_work_hours!$A:$A,'FTE 계산'!$A236,monthly_work_hours!$F:$F,'FTE 계산'!J$2)) - (SUMIFS(monthly_work_hours!$J:$J,monthly_work_hours!$A:$A,'FTE 계산'!$A236,monthly_work_hours!$F:$F,'FTE 계산'!J$2))</f>
        <v>16</v>
      </c>
    </row>
    <row r="237" spans="1:10">
      <c r="A237">
        <v>1225037</v>
      </c>
      <c r="B237" t="str">
        <f>_xlfn.XLOOKUP(A237,monthly_work_hours!A:A,monthly_work_hours!B:B)</f>
        <v>홍성열</v>
      </c>
      <c r="C237" t="str">
        <f>_xlfn.XLOOKUP(A237,monthly_work_hours!A:A,monthly_work_hours!C:C)</f>
        <v>안전보안팀</v>
      </c>
      <c r="D237" t="str">
        <f>_xlfn.XLOOKUP(A237,monthly_work_hours!A:A,monthly_work_hours!D:D)</f>
        <v>선임</v>
      </c>
      <c r="E237">
        <f>SUMIFS(monthly_work_hours!$K:$K,monthly_work_hours!$A:$A,'FTE 계산'!$A237,monthly_work_hours!$F:$F,'FTE 계산'!E$2)</f>
        <v>159.80000000000001</v>
      </c>
      <c r="F237">
        <f>SUMIFS(monthly_work_hours!$K:$K,monthly_work_hours!$A:$A,'FTE 계산'!$A237,monthly_work_hours!$F:$F,'FTE 계산'!F$2)</f>
        <v>167.9</v>
      </c>
      <c r="G237">
        <f>SUMIFS(monthly_work_hours!$K:$K,monthly_work_hours!$A:$A,'FTE 계산'!$A237,monthly_work_hours!$F:$F,'FTE 계산'!G$2)</f>
        <v>126.5</v>
      </c>
      <c r="H237">
        <f>(SUMIFS(monthly_work_hours!$G:$G,monthly_work_hours!$A:$A,'FTE 계산'!$A237,monthly_work_hours!$F:$F,'FTE 계산'!H$2)) - (SUMIFS(monthly_work_hours!$J:$J,monthly_work_hours!$A:$A,'FTE 계산'!$A237,monthly_work_hours!$F:$F,'FTE 계산'!H$2))</f>
        <v>16</v>
      </c>
      <c r="I237">
        <f>(SUMIFS(monthly_work_hours!$G:$G,monthly_work_hours!$A:$A,'FTE 계산'!$A237,monthly_work_hours!$F:$F,'FTE 계산'!I$2)) - (SUMIFS(monthly_work_hours!$J:$J,monthly_work_hours!$A:$A,'FTE 계산'!$A237,monthly_work_hours!$F:$F,'FTE 계산'!I$2))</f>
        <v>16</v>
      </c>
      <c r="J237">
        <f>(SUMIFS(monthly_work_hours!$G:$G,monthly_work_hours!$A:$A,'FTE 계산'!$A237,monthly_work_hours!$F:$F,'FTE 계산'!J$2)) - (SUMIFS(monthly_work_hours!$J:$J,monthly_work_hours!$A:$A,'FTE 계산'!$A237,monthly_work_hours!$F:$F,'FTE 계산'!J$2))</f>
        <v>13</v>
      </c>
    </row>
    <row r="238" spans="1:10">
      <c r="A238">
        <v>1225044</v>
      </c>
      <c r="B238" t="str">
        <f>_xlfn.XLOOKUP(A238,monthly_work_hours!A:A,monthly_work_hours!B:B)</f>
        <v>이창진</v>
      </c>
      <c r="C238" t="str">
        <f>_xlfn.XLOOKUP(A238,monthly_work_hours!A:A,monthly_work_hours!C:C)</f>
        <v>설비기획팀</v>
      </c>
      <c r="D238" t="str">
        <f>_xlfn.XLOOKUP(A238,monthly_work_hours!A:A,monthly_work_hours!D:D)</f>
        <v>사원</v>
      </c>
      <c r="E238">
        <f>SUMIFS(monthly_work_hours!$K:$K,monthly_work_hours!$A:$A,'FTE 계산'!$A238,monthly_work_hours!$F:$F,'FTE 계산'!E$2)</f>
        <v>36.9</v>
      </c>
      <c r="F238">
        <f>SUMIFS(monthly_work_hours!$K:$K,monthly_work_hours!$A:$A,'FTE 계산'!$A238,monthly_work_hours!$F:$F,'FTE 계산'!F$2)</f>
        <v>11</v>
      </c>
      <c r="G238">
        <f>SUMIFS(monthly_work_hours!$K:$K,monthly_work_hours!$A:$A,'FTE 계산'!$A238,monthly_work_hours!$F:$F,'FTE 계산'!G$2)</f>
        <v>0</v>
      </c>
      <c r="H238">
        <f>(SUMIFS(monthly_work_hours!$G:$G,monthly_work_hours!$A:$A,'FTE 계산'!$A238,monthly_work_hours!$F:$F,'FTE 계산'!H$2)) - (SUMIFS(monthly_work_hours!$J:$J,monthly_work_hours!$A:$A,'FTE 계산'!$A238,monthly_work_hours!$F:$F,'FTE 계산'!H$2))</f>
        <v>6</v>
      </c>
      <c r="I238">
        <f>(SUMIFS(monthly_work_hours!$G:$G,monthly_work_hours!$A:$A,'FTE 계산'!$A238,monthly_work_hours!$F:$F,'FTE 계산'!I$2)) - (SUMIFS(monthly_work_hours!$J:$J,monthly_work_hours!$A:$A,'FTE 계산'!$A238,monthly_work_hours!$F:$F,'FTE 계산'!I$2))</f>
        <v>5</v>
      </c>
      <c r="J238">
        <f>(SUMIFS(monthly_work_hours!$G:$G,monthly_work_hours!$A:$A,'FTE 계산'!$A238,monthly_work_hours!$F:$F,'FTE 계산'!J$2)) - (SUMIFS(monthly_work_hours!$J:$J,monthly_work_hours!$A:$A,'FTE 계산'!$A238,monthly_work_hours!$F:$F,'FTE 계산'!J$2))</f>
        <v>0</v>
      </c>
    </row>
    <row r="239" spans="1:10">
      <c r="A239">
        <v>1225046</v>
      </c>
      <c r="B239" t="str">
        <f>_xlfn.XLOOKUP(A239,monthly_work_hours!A:A,monthly_work_hours!B:B)</f>
        <v>정시윤</v>
      </c>
      <c r="C239" t="str">
        <f>_xlfn.XLOOKUP(A239,monthly_work_hours!A:A,monthly_work_hours!C:C)</f>
        <v>SL설계팀</v>
      </c>
      <c r="D239" t="str">
        <f>_xlfn.XLOOKUP(A239,monthly_work_hours!A:A,monthly_work_hours!D:D)</f>
        <v>사원</v>
      </c>
      <c r="E239">
        <f>SUMIFS(monthly_work_hours!$K:$K,monthly_work_hours!$A:$A,'FTE 계산'!$A239,monthly_work_hours!$F:$F,'FTE 계산'!E$2)</f>
        <v>112.8</v>
      </c>
      <c r="F239">
        <f>SUMIFS(monthly_work_hours!$K:$K,monthly_work_hours!$A:$A,'FTE 계산'!$A239,monthly_work_hours!$F:$F,'FTE 계산'!F$2)</f>
        <v>164.5</v>
      </c>
      <c r="G239">
        <f>SUMIFS(monthly_work_hours!$K:$K,monthly_work_hours!$A:$A,'FTE 계산'!$A239,monthly_work_hours!$F:$F,'FTE 계산'!G$2)</f>
        <v>96.9</v>
      </c>
      <c r="H239">
        <f>(SUMIFS(monthly_work_hours!$G:$G,monthly_work_hours!$A:$A,'FTE 계산'!$A239,monthly_work_hours!$F:$F,'FTE 계산'!H$2)) - (SUMIFS(monthly_work_hours!$J:$J,monthly_work_hours!$A:$A,'FTE 계산'!$A239,monthly_work_hours!$F:$F,'FTE 계산'!H$2))</f>
        <v>13</v>
      </c>
      <c r="I239">
        <f>(SUMIFS(monthly_work_hours!$G:$G,monthly_work_hours!$A:$A,'FTE 계산'!$A239,monthly_work_hours!$F:$F,'FTE 계산'!I$2)) - (SUMIFS(monthly_work_hours!$J:$J,monthly_work_hours!$A:$A,'FTE 계산'!$A239,monthly_work_hours!$F:$F,'FTE 계산'!I$2))</f>
        <v>18</v>
      </c>
      <c r="J239">
        <f>(SUMIFS(monthly_work_hours!$G:$G,monthly_work_hours!$A:$A,'FTE 계산'!$A239,monthly_work_hours!$F:$F,'FTE 계산'!J$2)) - (SUMIFS(monthly_work_hours!$J:$J,monthly_work_hours!$A:$A,'FTE 계산'!$A239,monthly_work_hours!$F:$F,'FTE 계산'!J$2))</f>
        <v>12</v>
      </c>
    </row>
    <row r="240" spans="1:10">
      <c r="A240">
        <v>1225051</v>
      </c>
      <c r="B240" t="str">
        <f>_xlfn.XLOOKUP(A240,monthly_work_hours!A:A,monthly_work_hours!B:B)</f>
        <v>박진수</v>
      </c>
      <c r="C240" t="str">
        <f>_xlfn.XLOOKUP(A240,monthly_work_hours!A:A,monthly_work_hours!C:C)</f>
        <v>SL생산기술팀</v>
      </c>
      <c r="D240" t="str">
        <f>_xlfn.XLOOKUP(A240,monthly_work_hours!A:A,monthly_work_hours!D:D)</f>
        <v>선임</v>
      </c>
      <c r="E240">
        <f>SUMIFS(monthly_work_hours!$K:$K,monthly_work_hours!$A:$A,'FTE 계산'!$A240,monthly_work_hours!$F:$F,'FTE 계산'!E$2)</f>
        <v>96.5</v>
      </c>
      <c r="F240">
        <f>SUMIFS(monthly_work_hours!$K:$K,monthly_work_hours!$A:$A,'FTE 계산'!$A240,monthly_work_hours!$F:$F,'FTE 계산'!F$2)</f>
        <v>173.3</v>
      </c>
      <c r="G240">
        <f>SUMIFS(monthly_work_hours!$K:$K,monthly_work_hours!$A:$A,'FTE 계산'!$A240,monthly_work_hours!$F:$F,'FTE 계산'!G$2)</f>
        <v>113.5</v>
      </c>
      <c r="H240">
        <f>(SUMIFS(monthly_work_hours!$G:$G,monthly_work_hours!$A:$A,'FTE 계산'!$A240,monthly_work_hours!$F:$F,'FTE 계산'!H$2)) - (SUMIFS(monthly_work_hours!$J:$J,monthly_work_hours!$A:$A,'FTE 계산'!$A240,monthly_work_hours!$F:$F,'FTE 계산'!H$2))</f>
        <v>16</v>
      </c>
      <c r="I240">
        <f>(SUMIFS(monthly_work_hours!$G:$G,monthly_work_hours!$A:$A,'FTE 계산'!$A240,monthly_work_hours!$F:$F,'FTE 계산'!I$2)) - (SUMIFS(monthly_work_hours!$J:$J,monthly_work_hours!$A:$A,'FTE 계산'!$A240,monthly_work_hours!$F:$F,'FTE 계산'!I$2))</f>
        <v>19</v>
      </c>
      <c r="J240">
        <f>(SUMIFS(monthly_work_hours!$G:$G,monthly_work_hours!$A:$A,'FTE 계산'!$A240,monthly_work_hours!$F:$F,'FTE 계산'!J$2)) - (SUMIFS(monthly_work_hours!$J:$J,monthly_work_hours!$A:$A,'FTE 계산'!$A240,monthly_work_hours!$F:$F,'FTE 계산'!J$2))</f>
        <v>13</v>
      </c>
    </row>
    <row r="241" spans="1:10">
      <c r="A241">
        <v>1225053</v>
      </c>
      <c r="B241" t="str">
        <f>_xlfn.XLOOKUP(A241,monthly_work_hours!A:A,monthly_work_hours!B:B)</f>
        <v>권형기</v>
      </c>
      <c r="C241" t="str">
        <f>_xlfn.XLOOKUP(A241,monthly_work_hours!A:A,monthly_work_hours!C:C)</f>
        <v>FL개발팀</v>
      </c>
      <c r="D241" t="str">
        <f>_xlfn.XLOOKUP(A241,monthly_work_hours!A:A,monthly_work_hours!D:D)</f>
        <v>사원</v>
      </c>
      <c r="E241">
        <f>SUMIFS(monthly_work_hours!$K:$K,monthly_work_hours!$A:$A,'FTE 계산'!$A241,monthly_work_hours!$F:$F,'FTE 계산'!E$2)</f>
        <v>0</v>
      </c>
      <c r="F241">
        <f>SUMIFS(monthly_work_hours!$K:$K,monthly_work_hours!$A:$A,'FTE 계산'!$A241,monthly_work_hours!$F:$F,'FTE 계산'!F$2)</f>
        <v>127.8</v>
      </c>
      <c r="G241">
        <f>SUMIFS(monthly_work_hours!$K:$K,monthly_work_hours!$A:$A,'FTE 계산'!$A241,monthly_work_hours!$F:$F,'FTE 계산'!G$2)</f>
        <v>122.7</v>
      </c>
      <c r="H241">
        <f>(SUMIFS(monthly_work_hours!$G:$G,monthly_work_hours!$A:$A,'FTE 계산'!$A241,monthly_work_hours!$F:$F,'FTE 계산'!H$2)) - (SUMIFS(monthly_work_hours!$J:$J,monthly_work_hours!$A:$A,'FTE 계산'!$A241,monthly_work_hours!$F:$F,'FTE 계산'!H$2))</f>
        <v>0</v>
      </c>
      <c r="I241">
        <f>(SUMIFS(monthly_work_hours!$G:$G,monthly_work_hours!$A:$A,'FTE 계산'!$A241,monthly_work_hours!$F:$F,'FTE 계산'!I$2)) - (SUMIFS(monthly_work_hours!$J:$J,monthly_work_hours!$A:$A,'FTE 계산'!$A241,monthly_work_hours!$F:$F,'FTE 계산'!I$2))</f>
        <v>13</v>
      </c>
      <c r="J241">
        <f>(SUMIFS(monthly_work_hours!$G:$G,monthly_work_hours!$A:$A,'FTE 계산'!$A241,monthly_work_hours!$F:$F,'FTE 계산'!J$2)) - (SUMIFS(monthly_work_hours!$J:$J,monthly_work_hours!$A:$A,'FTE 계산'!$A241,monthly_work_hours!$F:$F,'FTE 계산'!J$2))</f>
        <v>14</v>
      </c>
    </row>
    <row r="242" spans="1:10">
      <c r="A242">
        <v>1225054</v>
      </c>
      <c r="B242" t="str">
        <f>_xlfn.XLOOKUP(A242,monthly_work_hours!A:A,monthly_work_hours!B:B)</f>
        <v>구도훈</v>
      </c>
      <c r="C242" t="str">
        <f>_xlfn.XLOOKUP(A242,monthly_work_hours!A:A,monthly_work_hours!C:C)</f>
        <v>SL개발팀</v>
      </c>
      <c r="D242" t="str">
        <f>_xlfn.XLOOKUP(A242,monthly_work_hours!A:A,monthly_work_hours!D:D)</f>
        <v>선임</v>
      </c>
      <c r="E242">
        <f>SUMIFS(monthly_work_hours!$K:$K,monthly_work_hours!$A:$A,'FTE 계산'!$A242,monthly_work_hours!$F:$F,'FTE 계산'!E$2)</f>
        <v>162</v>
      </c>
      <c r="F242">
        <f>SUMIFS(monthly_work_hours!$K:$K,monthly_work_hours!$A:$A,'FTE 계산'!$A242,monthly_work_hours!$F:$F,'FTE 계산'!F$2)</f>
        <v>149.30000000000001</v>
      </c>
      <c r="G242">
        <f>SUMIFS(monthly_work_hours!$K:$K,monthly_work_hours!$A:$A,'FTE 계산'!$A242,monthly_work_hours!$F:$F,'FTE 계산'!G$2)</f>
        <v>112.7</v>
      </c>
      <c r="H242">
        <f>(SUMIFS(monthly_work_hours!$G:$G,monthly_work_hours!$A:$A,'FTE 계산'!$A242,monthly_work_hours!$F:$F,'FTE 계산'!H$2)) - (SUMIFS(monthly_work_hours!$J:$J,monthly_work_hours!$A:$A,'FTE 계산'!$A242,monthly_work_hours!$F:$F,'FTE 계산'!H$2))</f>
        <v>17</v>
      </c>
      <c r="I242">
        <f>(SUMIFS(monthly_work_hours!$G:$G,monthly_work_hours!$A:$A,'FTE 계산'!$A242,monthly_work_hours!$F:$F,'FTE 계산'!I$2)) - (SUMIFS(monthly_work_hours!$J:$J,monthly_work_hours!$A:$A,'FTE 계산'!$A242,monthly_work_hours!$F:$F,'FTE 계산'!I$2))</f>
        <v>16</v>
      </c>
      <c r="J242">
        <f>(SUMIFS(monthly_work_hours!$G:$G,monthly_work_hours!$A:$A,'FTE 계산'!$A242,monthly_work_hours!$F:$F,'FTE 계산'!J$2)) - (SUMIFS(monthly_work_hours!$J:$J,monthly_work_hours!$A:$A,'FTE 계산'!$A242,monthly_work_hours!$F:$F,'FTE 계산'!J$2))</f>
        <v>13</v>
      </c>
    </row>
    <row r="243" spans="1:10">
      <c r="A243">
        <v>1225055</v>
      </c>
      <c r="B243" t="str">
        <f>_xlfn.XLOOKUP(A243,monthly_work_hours!A:A,monthly_work_hours!B:B)</f>
        <v>최재혁</v>
      </c>
      <c r="C243" t="str">
        <f>_xlfn.XLOOKUP(A243,monthly_work_hours!A:A,monthly_work_hours!C:C)</f>
        <v>SL품질보증팀</v>
      </c>
      <c r="D243" t="str">
        <f>_xlfn.XLOOKUP(A243,monthly_work_hours!A:A,monthly_work_hours!D:D)</f>
        <v>사원</v>
      </c>
      <c r="E243">
        <f>SUMIFS(monthly_work_hours!$K:$K,monthly_work_hours!$A:$A,'FTE 계산'!$A243,monthly_work_hours!$F:$F,'FTE 계산'!E$2)</f>
        <v>99.2</v>
      </c>
      <c r="F243">
        <f>SUMIFS(monthly_work_hours!$K:$K,monthly_work_hours!$A:$A,'FTE 계산'!$A243,monthly_work_hours!$F:$F,'FTE 계산'!F$2)</f>
        <v>179.6</v>
      </c>
      <c r="G243">
        <f>SUMIFS(monthly_work_hours!$K:$K,monthly_work_hours!$A:$A,'FTE 계산'!$A243,monthly_work_hours!$F:$F,'FTE 계산'!G$2)</f>
        <v>97</v>
      </c>
      <c r="H243">
        <f>(SUMIFS(monthly_work_hours!$G:$G,monthly_work_hours!$A:$A,'FTE 계산'!$A243,monthly_work_hours!$F:$F,'FTE 계산'!H$2)) - (SUMIFS(monthly_work_hours!$J:$J,monthly_work_hours!$A:$A,'FTE 계산'!$A243,monthly_work_hours!$F:$F,'FTE 계산'!H$2))</f>
        <v>12</v>
      </c>
      <c r="I243">
        <f>(SUMIFS(monthly_work_hours!$G:$G,monthly_work_hours!$A:$A,'FTE 계산'!$A243,monthly_work_hours!$F:$F,'FTE 계산'!I$2)) - (SUMIFS(monthly_work_hours!$J:$J,monthly_work_hours!$A:$A,'FTE 계산'!$A243,monthly_work_hours!$F:$F,'FTE 계산'!I$2))</f>
        <v>19</v>
      </c>
      <c r="J243">
        <f>(SUMIFS(monthly_work_hours!$G:$G,monthly_work_hours!$A:$A,'FTE 계산'!$A243,monthly_work_hours!$F:$F,'FTE 계산'!J$2)) - (SUMIFS(monthly_work_hours!$J:$J,monthly_work_hours!$A:$A,'FTE 계산'!$A243,monthly_work_hours!$F:$F,'FTE 계산'!J$2))</f>
        <v>12</v>
      </c>
    </row>
    <row r="244" spans="1:10">
      <c r="A244">
        <v>1225056</v>
      </c>
      <c r="B244" t="str">
        <f>_xlfn.XLOOKUP(A244,monthly_work_hours!A:A,monthly_work_hours!B:B)</f>
        <v>김도환</v>
      </c>
      <c r="C244" t="str">
        <f>_xlfn.XLOOKUP(A244,monthly_work_hours!A:A,monthly_work_hours!C:C)</f>
        <v>FL영업팀</v>
      </c>
      <c r="D244" t="str">
        <f>_xlfn.XLOOKUP(A244,monthly_work_hours!A:A,monthly_work_hours!D:D)</f>
        <v>사원</v>
      </c>
      <c r="E244">
        <f>SUMIFS(monthly_work_hours!$K:$K,monthly_work_hours!$A:$A,'FTE 계산'!$A244,monthly_work_hours!$F:$F,'FTE 계산'!E$2)</f>
        <v>225.5</v>
      </c>
      <c r="F244">
        <f>SUMIFS(monthly_work_hours!$K:$K,monthly_work_hours!$A:$A,'FTE 계산'!$A244,monthly_work_hours!$F:$F,'FTE 계산'!F$2)</f>
        <v>158.69999999999999</v>
      </c>
      <c r="G244">
        <f>SUMIFS(monthly_work_hours!$K:$K,monthly_work_hours!$A:$A,'FTE 계산'!$A244,monthly_work_hours!$F:$F,'FTE 계산'!G$2)</f>
        <v>157</v>
      </c>
      <c r="H244">
        <f>(SUMIFS(monthly_work_hours!$G:$G,monthly_work_hours!$A:$A,'FTE 계산'!$A244,monthly_work_hours!$F:$F,'FTE 계산'!H$2)) - (SUMIFS(monthly_work_hours!$J:$J,monthly_work_hours!$A:$A,'FTE 계산'!$A244,monthly_work_hours!$F:$F,'FTE 계산'!H$2))</f>
        <v>19</v>
      </c>
      <c r="I244">
        <f>(SUMIFS(monthly_work_hours!$G:$G,monthly_work_hours!$A:$A,'FTE 계산'!$A244,monthly_work_hours!$F:$F,'FTE 계산'!I$2)) - (SUMIFS(monthly_work_hours!$J:$J,monthly_work_hours!$A:$A,'FTE 계산'!$A244,monthly_work_hours!$F:$F,'FTE 계산'!I$2))</f>
        <v>14</v>
      </c>
      <c r="J244">
        <f>(SUMIFS(monthly_work_hours!$G:$G,monthly_work_hours!$A:$A,'FTE 계산'!$A244,monthly_work_hours!$F:$F,'FTE 계산'!J$2)) - (SUMIFS(monthly_work_hours!$J:$J,monthly_work_hours!$A:$A,'FTE 계산'!$A244,monthly_work_hours!$F:$F,'FTE 계산'!J$2))</f>
        <v>16</v>
      </c>
    </row>
    <row r="245" spans="1:10">
      <c r="A245">
        <v>1225057</v>
      </c>
      <c r="B245" t="str">
        <f>_xlfn.XLOOKUP(A245,monthly_work_hours!A:A,monthly_work_hours!B:B)</f>
        <v>윤종문</v>
      </c>
      <c r="C245" t="str">
        <f>_xlfn.XLOOKUP(A245,monthly_work_hours!A:A,monthly_work_hours!C:C)</f>
        <v>상생협력팀</v>
      </c>
      <c r="D245" t="str">
        <f>_xlfn.XLOOKUP(A245,monthly_work_hours!A:A,monthly_work_hours!D:D)</f>
        <v>사원</v>
      </c>
      <c r="E245">
        <f>SUMIFS(monthly_work_hours!$K:$K,monthly_work_hours!$A:$A,'FTE 계산'!$A245,monthly_work_hours!$F:$F,'FTE 계산'!E$2)</f>
        <v>185.2</v>
      </c>
      <c r="F245">
        <f>SUMIFS(monthly_work_hours!$K:$K,monthly_work_hours!$A:$A,'FTE 계산'!$A245,monthly_work_hours!$F:$F,'FTE 계산'!F$2)</f>
        <v>179.6</v>
      </c>
      <c r="G245">
        <f>SUMIFS(monthly_work_hours!$K:$K,monthly_work_hours!$A:$A,'FTE 계산'!$A245,monthly_work_hours!$F:$F,'FTE 계산'!G$2)</f>
        <v>129.19999999999999</v>
      </c>
      <c r="H245">
        <f>(SUMIFS(monthly_work_hours!$G:$G,monthly_work_hours!$A:$A,'FTE 계산'!$A245,monthly_work_hours!$F:$F,'FTE 계산'!H$2)) - (SUMIFS(monthly_work_hours!$J:$J,monthly_work_hours!$A:$A,'FTE 계산'!$A245,monthly_work_hours!$F:$F,'FTE 계산'!H$2))</f>
        <v>18</v>
      </c>
      <c r="I245">
        <f>(SUMIFS(monthly_work_hours!$G:$G,monthly_work_hours!$A:$A,'FTE 계산'!$A245,monthly_work_hours!$F:$F,'FTE 계산'!I$2)) - (SUMIFS(monthly_work_hours!$J:$J,monthly_work_hours!$A:$A,'FTE 계산'!$A245,monthly_work_hours!$F:$F,'FTE 계산'!I$2))</f>
        <v>18</v>
      </c>
      <c r="J245">
        <f>(SUMIFS(monthly_work_hours!$G:$G,monthly_work_hours!$A:$A,'FTE 계산'!$A245,monthly_work_hours!$F:$F,'FTE 계산'!J$2)) - (SUMIFS(monthly_work_hours!$J:$J,monthly_work_hours!$A:$A,'FTE 계산'!$A245,monthly_work_hours!$F:$F,'FTE 계산'!J$2))</f>
        <v>14</v>
      </c>
    </row>
    <row r="246" spans="1:10">
      <c r="A246">
        <v>1225063</v>
      </c>
      <c r="B246" t="str">
        <f>_xlfn.XLOOKUP(A246,monthly_work_hours!A:A,monthly_work_hours!B:B)</f>
        <v>김태휘</v>
      </c>
      <c r="C246" t="str">
        <f>_xlfn.XLOOKUP(A246,monthly_work_hours!A:A,monthly_work_hours!C:C)</f>
        <v>SL생산팀</v>
      </c>
      <c r="D246" t="str">
        <f>_xlfn.XLOOKUP(A246,monthly_work_hours!A:A,monthly_work_hours!D:D)</f>
        <v>선임</v>
      </c>
      <c r="E246">
        <f>SUMIFS(monthly_work_hours!$K:$K,monthly_work_hours!$A:$A,'FTE 계산'!$A246,monthly_work_hours!$F:$F,'FTE 계산'!E$2)</f>
        <v>166.9</v>
      </c>
      <c r="F246">
        <f>SUMIFS(monthly_work_hours!$K:$K,monthly_work_hours!$A:$A,'FTE 계산'!$A246,monthly_work_hours!$F:$F,'FTE 계산'!F$2)</f>
        <v>175.1</v>
      </c>
      <c r="G246">
        <f>SUMIFS(monthly_work_hours!$K:$K,monthly_work_hours!$A:$A,'FTE 계산'!$A246,monthly_work_hours!$F:$F,'FTE 계산'!G$2)</f>
        <v>116.4</v>
      </c>
      <c r="H246">
        <f>(SUMIFS(monthly_work_hours!$G:$G,monthly_work_hours!$A:$A,'FTE 계산'!$A246,monthly_work_hours!$F:$F,'FTE 계산'!H$2)) - (SUMIFS(monthly_work_hours!$J:$J,monthly_work_hours!$A:$A,'FTE 계산'!$A246,monthly_work_hours!$F:$F,'FTE 계산'!H$2))</f>
        <v>17</v>
      </c>
      <c r="I246">
        <f>(SUMIFS(monthly_work_hours!$G:$G,monthly_work_hours!$A:$A,'FTE 계산'!$A246,monthly_work_hours!$F:$F,'FTE 계산'!I$2)) - (SUMIFS(monthly_work_hours!$J:$J,monthly_work_hours!$A:$A,'FTE 계산'!$A246,monthly_work_hours!$F:$F,'FTE 계산'!I$2))</f>
        <v>16</v>
      </c>
      <c r="J246">
        <f>(SUMIFS(monthly_work_hours!$G:$G,monthly_work_hours!$A:$A,'FTE 계산'!$A246,monthly_work_hours!$F:$F,'FTE 계산'!J$2)) - (SUMIFS(monthly_work_hours!$J:$J,monthly_work_hours!$A:$A,'FTE 계산'!$A246,monthly_work_hours!$F:$F,'FTE 계산'!J$2))</f>
        <v>13</v>
      </c>
    </row>
    <row r="247" spans="1:10">
      <c r="A247">
        <v>1225064</v>
      </c>
      <c r="B247" t="str">
        <f>_xlfn.XLOOKUP(A247,monthly_work_hours!A:A,monthly_work_hours!B:B)</f>
        <v>장일하</v>
      </c>
      <c r="C247" t="str">
        <f>_xlfn.XLOOKUP(A247,monthly_work_hours!A:A,monthly_work_hours!C:C)</f>
        <v>FL품질보증팀</v>
      </c>
      <c r="D247" t="str">
        <f>_xlfn.XLOOKUP(A247,monthly_work_hours!A:A,monthly_work_hours!D:D)</f>
        <v>선임</v>
      </c>
      <c r="E247">
        <f>SUMIFS(monthly_work_hours!$K:$K,monthly_work_hours!$A:$A,'FTE 계산'!$A247,monthly_work_hours!$F:$F,'FTE 계산'!E$2)</f>
        <v>0</v>
      </c>
      <c r="F247">
        <f>SUMIFS(monthly_work_hours!$K:$K,monthly_work_hours!$A:$A,'FTE 계산'!$A247,monthly_work_hours!$F:$F,'FTE 계산'!F$2)</f>
        <v>134.1</v>
      </c>
      <c r="G247">
        <f>SUMIFS(monthly_work_hours!$K:$K,monthly_work_hours!$A:$A,'FTE 계산'!$A247,monthly_work_hours!$F:$F,'FTE 계산'!G$2)</f>
        <v>98.8</v>
      </c>
      <c r="H247">
        <f>(SUMIFS(monthly_work_hours!$G:$G,monthly_work_hours!$A:$A,'FTE 계산'!$A247,monthly_work_hours!$F:$F,'FTE 계산'!H$2)) - (SUMIFS(monthly_work_hours!$J:$J,monthly_work_hours!$A:$A,'FTE 계산'!$A247,monthly_work_hours!$F:$F,'FTE 계산'!H$2))</f>
        <v>0</v>
      </c>
      <c r="I247">
        <f>(SUMIFS(monthly_work_hours!$G:$G,monthly_work_hours!$A:$A,'FTE 계산'!$A247,monthly_work_hours!$F:$F,'FTE 계산'!I$2)) - (SUMIFS(monthly_work_hours!$J:$J,monthly_work_hours!$A:$A,'FTE 계산'!$A247,monthly_work_hours!$F:$F,'FTE 계산'!I$2))</f>
        <v>16</v>
      </c>
      <c r="J247">
        <f>(SUMIFS(monthly_work_hours!$G:$G,monthly_work_hours!$A:$A,'FTE 계산'!$A247,monthly_work_hours!$F:$F,'FTE 계산'!J$2)) - (SUMIFS(monthly_work_hours!$J:$J,monthly_work_hours!$A:$A,'FTE 계산'!$A247,monthly_work_hours!$F:$F,'FTE 계산'!J$2))</f>
        <v>12</v>
      </c>
    </row>
    <row r="248" spans="1:10">
      <c r="A248">
        <v>1225065</v>
      </c>
      <c r="B248" t="str">
        <f>_xlfn.XLOOKUP(A248,monthly_work_hours!A:A,monthly_work_hours!B:B)</f>
        <v>박성배</v>
      </c>
      <c r="C248" t="str">
        <f>_xlfn.XLOOKUP(A248,monthly_work_hours!A:A,monthly_work_hours!C:C)</f>
        <v>FL영업팀</v>
      </c>
      <c r="D248" t="str">
        <f>_xlfn.XLOOKUP(A248,monthly_work_hours!A:A,monthly_work_hours!D:D)</f>
        <v>선임</v>
      </c>
      <c r="E248">
        <f>SUMIFS(monthly_work_hours!$K:$K,monthly_work_hours!$A:$A,'FTE 계산'!$A248,monthly_work_hours!$F:$F,'FTE 계산'!E$2)</f>
        <v>171.8</v>
      </c>
      <c r="F248">
        <f>SUMIFS(monthly_work_hours!$K:$K,monthly_work_hours!$A:$A,'FTE 계산'!$A248,monthly_work_hours!$F:$F,'FTE 계산'!F$2)</f>
        <v>201.9</v>
      </c>
      <c r="G248">
        <f>SUMIFS(monthly_work_hours!$K:$K,monthly_work_hours!$A:$A,'FTE 계산'!$A248,monthly_work_hours!$F:$F,'FTE 계산'!G$2)</f>
        <v>161.69999999999999</v>
      </c>
      <c r="H248">
        <f>(SUMIFS(monthly_work_hours!$G:$G,monthly_work_hours!$A:$A,'FTE 계산'!$A248,monthly_work_hours!$F:$F,'FTE 계산'!H$2)) - (SUMIFS(monthly_work_hours!$J:$J,monthly_work_hours!$A:$A,'FTE 계산'!$A248,monthly_work_hours!$F:$F,'FTE 계산'!H$2))</f>
        <v>14</v>
      </c>
      <c r="I248">
        <f>(SUMIFS(monthly_work_hours!$G:$G,monthly_work_hours!$A:$A,'FTE 계산'!$A248,monthly_work_hours!$F:$F,'FTE 계산'!I$2)) - (SUMIFS(monthly_work_hours!$J:$J,monthly_work_hours!$A:$A,'FTE 계산'!$A248,monthly_work_hours!$F:$F,'FTE 계산'!I$2))</f>
        <v>18</v>
      </c>
      <c r="J248">
        <f>(SUMIFS(monthly_work_hours!$G:$G,monthly_work_hours!$A:$A,'FTE 계산'!$A248,monthly_work_hours!$F:$F,'FTE 계산'!J$2)) - (SUMIFS(monthly_work_hours!$J:$J,monthly_work_hours!$A:$A,'FTE 계산'!$A248,monthly_work_hours!$F:$F,'FTE 계산'!J$2))</f>
        <v>15</v>
      </c>
    </row>
    <row r="249" spans="1:10">
      <c r="A249">
        <v>1225066</v>
      </c>
      <c r="B249" t="str">
        <f>_xlfn.XLOOKUP(A249,monthly_work_hours!A:A,monthly_work_hours!B:B)</f>
        <v>김영관</v>
      </c>
      <c r="C249" t="str">
        <f>_xlfn.XLOOKUP(A249,monthly_work_hours!A:A,monthly_work_hours!C:C)</f>
        <v>구매원가팀</v>
      </c>
      <c r="D249" t="str">
        <f>_xlfn.XLOOKUP(A249,monthly_work_hours!A:A,monthly_work_hours!D:D)</f>
        <v>선임</v>
      </c>
      <c r="E249">
        <f>SUMIFS(monthly_work_hours!$K:$K,monthly_work_hours!$A:$A,'FTE 계산'!$A249,monthly_work_hours!$F:$F,'FTE 계산'!E$2)</f>
        <v>191.1</v>
      </c>
      <c r="F249">
        <f>SUMIFS(monthly_work_hours!$K:$K,monthly_work_hours!$A:$A,'FTE 계산'!$A249,monthly_work_hours!$F:$F,'FTE 계산'!F$2)</f>
        <v>173.4</v>
      </c>
      <c r="G249">
        <f>SUMIFS(monthly_work_hours!$K:$K,monthly_work_hours!$A:$A,'FTE 계산'!$A249,monthly_work_hours!$F:$F,'FTE 계산'!G$2)</f>
        <v>137.80000000000001</v>
      </c>
      <c r="H249">
        <f>(SUMIFS(monthly_work_hours!$G:$G,monthly_work_hours!$A:$A,'FTE 계산'!$A249,monthly_work_hours!$F:$F,'FTE 계산'!H$2)) - (SUMIFS(monthly_work_hours!$J:$J,monthly_work_hours!$A:$A,'FTE 계산'!$A249,monthly_work_hours!$F:$F,'FTE 계산'!H$2))</f>
        <v>19</v>
      </c>
      <c r="I249">
        <f>(SUMIFS(monthly_work_hours!$G:$G,monthly_work_hours!$A:$A,'FTE 계산'!$A249,monthly_work_hours!$F:$F,'FTE 계산'!I$2)) - (SUMIFS(monthly_work_hours!$J:$J,monthly_work_hours!$A:$A,'FTE 계산'!$A249,monthly_work_hours!$F:$F,'FTE 계산'!I$2))</f>
        <v>17</v>
      </c>
      <c r="J249">
        <f>(SUMIFS(monthly_work_hours!$G:$G,monthly_work_hours!$A:$A,'FTE 계산'!$A249,monthly_work_hours!$F:$F,'FTE 계산'!J$2)) - (SUMIFS(monthly_work_hours!$J:$J,monthly_work_hours!$A:$A,'FTE 계산'!$A249,monthly_work_hours!$F:$F,'FTE 계산'!J$2))</f>
        <v>14</v>
      </c>
    </row>
    <row r="250" spans="1:10">
      <c r="A250">
        <v>1225068</v>
      </c>
      <c r="B250" t="str">
        <f>_xlfn.XLOOKUP(A250,monthly_work_hours!A:A,monthly_work_hours!B:B)</f>
        <v>안재우</v>
      </c>
      <c r="C250" t="str">
        <f>_xlfn.XLOOKUP(A250,monthly_work_hours!A:A,monthly_work_hours!C:C)</f>
        <v>상생협력팀</v>
      </c>
      <c r="D250" t="str">
        <f>_xlfn.XLOOKUP(A250,monthly_work_hours!A:A,monthly_work_hours!D:D)</f>
        <v>사원</v>
      </c>
      <c r="E250">
        <f>SUMIFS(monthly_work_hours!$K:$K,monthly_work_hours!$A:$A,'FTE 계산'!$A250,monthly_work_hours!$F:$F,'FTE 계산'!E$2)</f>
        <v>0</v>
      </c>
      <c r="F250">
        <f>SUMIFS(monthly_work_hours!$K:$K,monthly_work_hours!$A:$A,'FTE 계산'!$A250,monthly_work_hours!$F:$F,'FTE 계산'!F$2)</f>
        <v>174.6</v>
      </c>
      <c r="G250">
        <f>SUMIFS(monthly_work_hours!$K:$K,monthly_work_hours!$A:$A,'FTE 계산'!$A250,monthly_work_hours!$F:$F,'FTE 계산'!G$2)</f>
        <v>114.2</v>
      </c>
      <c r="H250">
        <f>(SUMIFS(monthly_work_hours!$G:$G,monthly_work_hours!$A:$A,'FTE 계산'!$A250,monthly_work_hours!$F:$F,'FTE 계산'!H$2)) - (SUMIFS(monthly_work_hours!$J:$J,monthly_work_hours!$A:$A,'FTE 계산'!$A250,monthly_work_hours!$F:$F,'FTE 계산'!H$2))</f>
        <v>0</v>
      </c>
      <c r="I250">
        <f>(SUMIFS(monthly_work_hours!$G:$G,monthly_work_hours!$A:$A,'FTE 계산'!$A250,monthly_work_hours!$F:$F,'FTE 계산'!I$2)) - (SUMIFS(monthly_work_hours!$J:$J,monthly_work_hours!$A:$A,'FTE 계산'!$A250,monthly_work_hours!$F:$F,'FTE 계산'!I$2))</f>
        <v>18</v>
      </c>
      <c r="J250">
        <f>(SUMIFS(monthly_work_hours!$G:$G,monthly_work_hours!$A:$A,'FTE 계산'!$A250,monthly_work_hours!$F:$F,'FTE 계산'!J$2)) - (SUMIFS(monthly_work_hours!$J:$J,monthly_work_hours!$A:$A,'FTE 계산'!$A250,monthly_work_hours!$F:$F,'FTE 계산'!J$2))</f>
        <v>12</v>
      </c>
    </row>
    <row r="251" spans="1:10">
      <c r="A251">
        <v>1225070</v>
      </c>
      <c r="B251" t="str">
        <f>_xlfn.XLOOKUP(A251,monthly_work_hours!A:A,monthly_work_hours!B:B)</f>
        <v>이장원</v>
      </c>
      <c r="C251" t="str">
        <f>_xlfn.XLOOKUP(A251,monthly_work_hours!A:A,monthly_work_hours!C:C)</f>
        <v>안전보안팀</v>
      </c>
      <c r="D251" t="str">
        <f>_xlfn.XLOOKUP(A251,monthly_work_hours!A:A,monthly_work_hours!D:D)</f>
        <v>사원</v>
      </c>
      <c r="E251">
        <f>SUMIFS(monthly_work_hours!$K:$K,monthly_work_hours!$A:$A,'FTE 계산'!$A251,monthly_work_hours!$F:$F,'FTE 계산'!E$2)</f>
        <v>0</v>
      </c>
      <c r="F251">
        <f>SUMIFS(monthly_work_hours!$K:$K,monthly_work_hours!$A:$A,'FTE 계산'!$A251,monthly_work_hours!$F:$F,'FTE 계산'!F$2)</f>
        <v>134.19999999999999</v>
      </c>
      <c r="G251">
        <f>SUMIFS(monthly_work_hours!$K:$K,monthly_work_hours!$A:$A,'FTE 계산'!$A251,monthly_work_hours!$F:$F,'FTE 계산'!G$2)</f>
        <v>67.2</v>
      </c>
      <c r="H251">
        <f>(SUMIFS(monthly_work_hours!$G:$G,monthly_work_hours!$A:$A,'FTE 계산'!$A251,monthly_work_hours!$F:$F,'FTE 계산'!H$2)) - (SUMIFS(monthly_work_hours!$J:$J,monthly_work_hours!$A:$A,'FTE 계산'!$A251,monthly_work_hours!$F:$F,'FTE 계산'!H$2))</f>
        <v>0</v>
      </c>
      <c r="I251">
        <f>(SUMIFS(monthly_work_hours!$G:$G,monthly_work_hours!$A:$A,'FTE 계산'!$A251,monthly_work_hours!$F:$F,'FTE 계산'!I$2)) - (SUMIFS(monthly_work_hours!$J:$J,monthly_work_hours!$A:$A,'FTE 계산'!$A251,monthly_work_hours!$F:$F,'FTE 계산'!I$2))</f>
        <v>14</v>
      </c>
      <c r="J251">
        <f>(SUMIFS(monthly_work_hours!$G:$G,monthly_work_hours!$A:$A,'FTE 계산'!$A251,monthly_work_hours!$F:$F,'FTE 계산'!J$2)) - (SUMIFS(monthly_work_hours!$J:$J,monthly_work_hours!$A:$A,'FTE 계산'!$A251,monthly_work_hours!$F:$F,'FTE 계산'!J$2))</f>
        <v>8</v>
      </c>
    </row>
    <row r="252" spans="1:10">
      <c r="A252">
        <v>1225078</v>
      </c>
      <c r="B252" t="str">
        <f>_xlfn.XLOOKUP(A252,monthly_work_hours!A:A,monthly_work_hours!B:B)</f>
        <v>진정학</v>
      </c>
      <c r="C252" t="str">
        <f>_xlfn.XLOOKUP(A252,monthly_work_hours!A:A,monthly_work_hours!C:C)</f>
        <v>Brake설계팀</v>
      </c>
      <c r="D252" t="str">
        <f>_xlfn.XLOOKUP(A252,monthly_work_hours!A:A,monthly_work_hours!D:D)</f>
        <v>사원</v>
      </c>
      <c r="E252">
        <f>SUMIFS(monthly_work_hours!$K:$K,monthly_work_hours!$A:$A,'FTE 계산'!$A252,monthly_work_hours!$F:$F,'FTE 계산'!E$2)</f>
        <v>0</v>
      </c>
      <c r="F252">
        <f>SUMIFS(monthly_work_hours!$K:$K,monthly_work_hours!$A:$A,'FTE 계산'!$A252,monthly_work_hours!$F:$F,'FTE 계산'!F$2)</f>
        <v>0</v>
      </c>
      <c r="G252">
        <f>SUMIFS(monthly_work_hours!$K:$K,monthly_work_hours!$A:$A,'FTE 계산'!$A252,monthly_work_hours!$F:$F,'FTE 계산'!G$2)</f>
        <v>20.399999999999999</v>
      </c>
      <c r="H252">
        <f>(SUMIFS(monthly_work_hours!$G:$G,monthly_work_hours!$A:$A,'FTE 계산'!$A252,monthly_work_hours!$F:$F,'FTE 계산'!H$2)) - (SUMIFS(monthly_work_hours!$J:$J,monthly_work_hours!$A:$A,'FTE 계산'!$A252,monthly_work_hours!$F:$F,'FTE 계산'!H$2))</f>
        <v>0</v>
      </c>
      <c r="I252">
        <f>(SUMIFS(monthly_work_hours!$G:$G,monthly_work_hours!$A:$A,'FTE 계산'!$A252,monthly_work_hours!$F:$F,'FTE 계산'!I$2)) - (SUMIFS(monthly_work_hours!$J:$J,monthly_work_hours!$A:$A,'FTE 계산'!$A252,monthly_work_hours!$F:$F,'FTE 계산'!I$2))</f>
        <v>0</v>
      </c>
      <c r="J252">
        <f>(SUMIFS(monthly_work_hours!$G:$G,monthly_work_hours!$A:$A,'FTE 계산'!$A252,monthly_work_hours!$F:$F,'FTE 계산'!J$2)) - (SUMIFS(monthly_work_hours!$J:$J,monthly_work_hours!$A:$A,'FTE 계산'!$A252,monthly_work_hours!$F:$F,'FTE 계산'!J$2))</f>
        <v>3</v>
      </c>
    </row>
    <row r="253" spans="1:10">
      <c r="A253">
        <v>1225079</v>
      </c>
      <c r="B253" t="str">
        <f>_xlfn.XLOOKUP(A253,monthly_work_hours!A:A,monthly_work_hours!B:B)</f>
        <v>이현민</v>
      </c>
      <c r="C253" t="str">
        <f>_xlfn.XLOOKUP(A253,monthly_work_hours!A:A,monthly_work_hours!C:C)</f>
        <v>열관리설계팀</v>
      </c>
      <c r="D253" t="str">
        <f>_xlfn.XLOOKUP(A253,monthly_work_hours!A:A,monthly_work_hours!D:D)</f>
        <v>사원</v>
      </c>
      <c r="E253">
        <f>SUMIFS(monthly_work_hours!$K:$K,monthly_work_hours!$A:$A,'FTE 계산'!$A253,monthly_work_hours!$F:$F,'FTE 계산'!E$2)</f>
        <v>0</v>
      </c>
      <c r="F253">
        <f>SUMIFS(monthly_work_hours!$K:$K,monthly_work_hours!$A:$A,'FTE 계산'!$A253,monthly_work_hours!$F:$F,'FTE 계산'!F$2)</f>
        <v>0</v>
      </c>
      <c r="G253">
        <f>SUMIFS(monthly_work_hours!$K:$K,monthly_work_hours!$A:$A,'FTE 계산'!$A253,monthly_work_hours!$F:$F,'FTE 계산'!G$2)</f>
        <v>26.1</v>
      </c>
      <c r="H253">
        <f>(SUMIFS(monthly_work_hours!$G:$G,monthly_work_hours!$A:$A,'FTE 계산'!$A253,monthly_work_hours!$F:$F,'FTE 계산'!H$2)) - (SUMIFS(monthly_work_hours!$J:$J,monthly_work_hours!$A:$A,'FTE 계산'!$A253,monthly_work_hours!$F:$F,'FTE 계산'!H$2))</f>
        <v>0</v>
      </c>
      <c r="I253">
        <f>(SUMIFS(monthly_work_hours!$G:$G,monthly_work_hours!$A:$A,'FTE 계산'!$A253,monthly_work_hours!$F:$F,'FTE 계산'!I$2)) - (SUMIFS(monthly_work_hours!$J:$J,monthly_work_hours!$A:$A,'FTE 계산'!$A253,monthly_work_hours!$F:$F,'FTE 계산'!I$2))</f>
        <v>0</v>
      </c>
      <c r="J253">
        <f>(SUMIFS(monthly_work_hours!$G:$G,monthly_work_hours!$A:$A,'FTE 계산'!$A253,monthly_work_hours!$F:$F,'FTE 계산'!J$2)) - (SUMIFS(monthly_work_hours!$J:$J,monthly_work_hours!$A:$A,'FTE 계산'!$A253,monthly_work_hours!$F:$F,'FTE 계산'!J$2))</f>
        <v>3</v>
      </c>
    </row>
    <row r="254" spans="1:10">
      <c r="A254" t="str">
        <v>G221028</v>
      </c>
      <c r="B254" t="str">
        <f>_xlfn.XLOOKUP(A254,monthly_work_hours!A:A,monthly_work_hours!B:B)</f>
        <v>박규안</v>
      </c>
      <c r="C254" t="str">
        <f>_xlfn.XLOOKUP(A254,monthly_work_hours!A:A,monthly_work_hours!C:C)</f>
        <v>비서팀</v>
      </c>
      <c r="D254" t="str">
        <f>_xlfn.XLOOKUP(A254,monthly_work_hours!A:A,monthly_work_hours!D:D)</f>
        <v>책임</v>
      </c>
      <c r="E254">
        <f>SUMIFS(monthly_work_hours!$K:$K,monthly_work_hours!$A:$A,'FTE 계산'!$A254,monthly_work_hours!$F:$F,'FTE 계산'!E$2)</f>
        <v>182.7</v>
      </c>
      <c r="F254">
        <f>SUMIFS(monthly_work_hours!$K:$K,monthly_work_hours!$A:$A,'FTE 계산'!$A254,monthly_work_hours!$F:$F,'FTE 계산'!F$2)</f>
        <v>181.8</v>
      </c>
      <c r="G254">
        <f>SUMIFS(monthly_work_hours!$K:$K,monthly_work_hours!$A:$A,'FTE 계산'!$A254,monthly_work_hours!$F:$F,'FTE 계산'!G$2)</f>
        <v>150.80000000000001</v>
      </c>
      <c r="H254">
        <f>(SUMIFS(monthly_work_hours!$G:$G,monthly_work_hours!$A:$A,'FTE 계산'!$A254,monthly_work_hours!$F:$F,'FTE 계산'!H$2)) - (SUMIFS(monthly_work_hours!$J:$J,monthly_work_hours!$A:$A,'FTE 계산'!$A254,monthly_work_hours!$F:$F,'FTE 계산'!H$2))</f>
        <v>19</v>
      </c>
      <c r="I254">
        <f>(SUMIFS(monthly_work_hours!$G:$G,monthly_work_hours!$A:$A,'FTE 계산'!$A254,monthly_work_hours!$F:$F,'FTE 계산'!I$2)) - (SUMIFS(monthly_work_hours!$J:$J,monthly_work_hours!$A:$A,'FTE 계산'!$A254,monthly_work_hours!$F:$F,'FTE 계산'!I$2))</f>
        <v>19</v>
      </c>
      <c r="J254">
        <f>(SUMIFS(monthly_work_hours!$G:$G,monthly_work_hours!$A:$A,'FTE 계산'!$A254,monthly_work_hours!$F:$F,'FTE 계산'!J$2)) - (SUMIFS(monthly_work_hours!$J:$J,monthly_work_hours!$A:$A,'FTE 계산'!$A254,monthly_work_hours!$F:$F,'FTE 계산'!J$2))</f>
        <v>16</v>
      </c>
    </row>
    <row r="255" spans="1:10">
      <c r="A255" t="str">
        <v>G221035</v>
      </c>
      <c r="B255" t="str">
        <f>_xlfn.XLOOKUP(A255,monthly_work_hours!A:A,monthly_work_hours!B:B)</f>
        <v>김현우</v>
      </c>
      <c r="C255" t="str">
        <f>_xlfn.XLOOKUP(A255,monthly_work_hours!A:A,monthly_work_hours!C:C)</f>
        <v>내부회계관리팀</v>
      </c>
      <c r="D255" t="str">
        <f>_xlfn.XLOOKUP(A255,monthly_work_hours!A:A,monthly_work_hours!D:D)</f>
        <v>책임</v>
      </c>
      <c r="E255">
        <f>SUMIFS(monthly_work_hours!$K:$K,monthly_work_hours!$A:$A,'FTE 계산'!$A255,monthly_work_hours!$F:$F,'FTE 계산'!E$2)</f>
        <v>135.30000000000001</v>
      </c>
      <c r="F255">
        <f>SUMIFS(monthly_work_hours!$K:$K,monthly_work_hours!$A:$A,'FTE 계산'!$A255,monthly_work_hours!$F:$F,'FTE 계산'!F$2)</f>
        <v>233.7</v>
      </c>
      <c r="G255">
        <f>SUMIFS(monthly_work_hours!$K:$K,monthly_work_hours!$A:$A,'FTE 계산'!$A255,monthly_work_hours!$F:$F,'FTE 계산'!G$2)</f>
        <v>181.8</v>
      </c>
      <c r="H255">
        <f>(SUMIFS(monthly_work_hours!$G:$G,monthly_work_hours!$A:$A,'FTE 계산'!$A255,monthly_work_hours!$F:$F,'FTE 계산'!H$2)) - (SUMIFS(monthly_work_hours!$J:$J,monthly_work_hours!$A:$A,'FTE 계산'!$A255,monthly_work_hours!$F:$F,'FTE 계산'!H$2))</f>
        <v>16</v>
      </c>
      <c r="I255">
        <f>(SUMIFS(monthly_work_hours!$G:$G,monthly_work_hours!$A:$A,'FTE 계산'!$A255,monthly_work_hours!$F:$F,'FTE 계산'!I$2)) - (SUMIFS(monthly_work_hours!$J:$J,monthly_work_hours!$A:$A,'FTE 계산'!$A255,monthly_work_hours!$F:$F,'FTE 계산'!I$2))</f>
        <v>22</v>
      </c>
      <c r="J255">
        <f>(SUMIFS(monthly_work_hours!$G:$G,monthly_work_hours!$A:$A,'FTE 계산'!$A255,monthly_work_hours!$F:$F,'FTE 계산'!J$2)) - (SUMIFS(monthly_work_hours!$J:$J,monthly_work_hours!$A:$A,'FTE 계산'!$A255,monthly_work_hours!$F:$F,'FTE 계산'!J$2))</f>
        <v>17</v>
      </c>
    </row>
    <row r="256" spans="1:10">
      <c r="A256" t="str">
        <v>G221036</v>
      </c>
      <c r="B256" t="str">
        <f>_xlfn.XLOOKUP(A256,monthly_work_hours!A:A,monthly_work_hours!B:B)</f>
        <v>유동진</v>
      </c>
      <c r="C256" t="str">
        <f>_xlfn.XLOOKUP(A256,monthly_work_hours!A:A,monthly_work_hours!C:C)</f>
        <v>기획팀</v>
      </c>
      <c r="D256" t="str">
        <f>_xlfn.XLOOKUP(A256,monthly_work_hours!A:A,monthly_work_hours!D:D)</f>
        <v>책임</v>
      </c>
      <c r="E256">
        <f>SUMIFS(monthly_work_hours!$K:$K,monthly_work_hours!$A:$A,'FTE 계산'!$A256,monthly_work_hours!$F:$F,'FTE 계산'!E$2)</f>
        <v>205.3</v>
      </c>
      <c r="F256">
        <f>SUMIFS(monthly_work_hours!$K:$K,monthly_work_hours!$A:$A,'FTE 계산'!$A256,monthly_work_hours!$F:$F,'FTE 계산'!F$2)</f>
        <v>222.2</v>
      </c>
      <c r="G256">
        <f>SUMIFS(monthly_work_hours!$K:$K,monthly_work_hours!$A:$A,'FTE 계산'!$A256,monthly_work_hours!$F:$F,'FTE 계산'!G$2)</f>
        <v>173</v>
      </c>
      <c r="H256">
        <f>(SUMIFS(monthly_work_hours!$G:$G,monthly_work_hours!$A:$A,'FTE 계산'!$A256,monthly_work_hours!$F:$F,'FTE 계산'!H$2)) - (SUMIFS(monthly_work_hours!$J:$J,monthly_work_hours!$A:$A,'FTE 계산'!$A256,monthly_work_hours!$F:$F,'FTE 계산'!H$2))</f>
        <v>19</v>
      </c>
      <c r="I256">
        <f>(SUMIFS(monthly_work_hours!$G:$G,monthly_work_hours!$A:$A,'FTE 계산'!$A256,monthly_work_hours!$F:$F,'FTE 계산'!I$2)) - (SUMIFS(monthly_work_hours!$J:$J,monthly_work_hours!$A:$A,'FTE 계산'!$A256,monthly_work_hours!$F:$F,'FTE 계산'!I$2))</f>
        <v>19</v>
      </c>
      <c r="J256">
        <f>(SUMIFS(monthly_work_hours!$G:$G,monthly_work_hours!$A:$A,'FTE 계산'!$A256,monthly_work_hours!$F:$F,'FTE 계산'!J$2)) - (SUMIFS(monthly_work_hours!$J:$J,monthly_work_hours!$A:$A,'FTE 계산'!$A256,monthly_work_hours!$F:$F,'FTE 계산'!J$2))</f>
        <v>16</v>
      </c>
    </row>
    <row r="257" spans="1:10">
      <c r="A257" t="str">
        <v>G221037</v>
      </c>
      <c r="B257" t="str">
        <f>_xlfn.XLOOKUP(A257,monthly_work_hours!A:A,monthly_work_hours!B:B)</f>
        <v>강현웅</v>
      </c>
      <c r="C257" t="str">
        <f>_xlfn.XLOOKUP(A257,monthly_work_hours!A:A,monthly_work_hours!C:C)</f>
        <v>기획팀</v>
      </c>
      <c r="D257" t="str">
        <f>_xlfn.XLOOKUP(A257,monthly_work_hours!A:A,monthly_work_hours!D:D)</f>
        <v>책임</v>
      </c>
      <c r="E257">
        <f>SUMIFS(monthly_work_hours!$K:$K,monthly_work_hours!$A:$A,'FTE 계산'!$A257,monthly_work_hours!$F:$F,'FTE 계산'!E$2)</f>
        <v>227.5</v>
      </c>
      <c r="F257">
        <f>SUMIFS(monthly_work_hours!$K:$K,monthly_work_hours!$A:$A,'FTE 계산'!$A257,monthly_work_hours!$F:$F,'FTE 계산'!F$2)</f>
        <v>200.1</v>
      </c>
      <c r="G257">
        <f>SUMIFS(monthly_work_hours!$K:$K,monthly_work_hours!$A:$A,'FTE 계산'!$A257,monthly_work_hours!$F:$F,'FTE 계산'!G$2)</f>
        <v>115.9</v>
      </c>
      <c r="H257">
        <f>(SUMIFS(monthly_work_hours!$G:$G,monthly_work_hours!$A:$A,'FTE 계산'!$A257,monthly_work_hours!$F:$F,'FTE 계산'!H$2)) - (SUMIFS(monthly_work_hours!$J:$J,monthly_work_hours!$A:$A,'FTE 계산'!$A257,monthly_work_hours!$F:$F,'FTE 계산'!H$2))</f>
        <v>19</v>
      </c>
      <c r="I257">
        <f>(SUMIFS(monthly_work_hours!$G:$G,monthly_work_hours!$A:$A,'FTE 계산'!$A257,monthly_work_hours!$F:$F,'FTE 계산'!I$2)) - (SUMIFS(monthly_work_hours!$J:$J,monthly_work_hours!$A:$A,'FTE 계산'!$A257,monthly_work_hours!$F:$F,'FTE 계산'!I$2))</f>
        <v>19</v>
      </c>
      <c r="J257">
        <f>(SUMIFS(monthly_work_hours!$G:$G,monthly_work_hours!$A:$A,'FTE 계산'!$A257,monthly_work_hours!$F:$F,'FTE 계산'!J$2)) - (SUMIFS(monthly_work_hours!$J:$J,monthly_work_hours!$A:$A,'FTE 계산'!$A257,monthly_work_hours!$F:$F,'FTE 계산'!J$2))</f>
        <v>13</v>
      </c>
    </row>
    <row r="258" spans="1:10">
      <c r="A258" t="str">
        <v>G221038</v>
      </c>
      <c r="B258" t="str">
        <f>_xlfn.XLOOKUP(A258,monthly_work_hours!A:A,monthly_work_hours!B:B)</f>
        <v>전재민</v>
      </c>
      <c r="C258" t="str">
        <f>_xlfn.XLOOKUP(A258,monthly_work_hours!A:A,monthly_work_hours!C:C)</f>
        <v>Marketing팀</v>
      </c>
      <c r="D258" t="str">
        <f>_xlfn.XLOOKUP(A258,monthly_work_hours!A:A,monthly_work_hours!D:D)</f>
        <v>책임</v>
      </c>
      <c r="E258">
        <f>SUMIFS(monthly_work_hours!$K:$K,monthly_work_hours!$A:$A,'FTE 계산'!$A258,monthly_work_hours!$F:$F,'FTE 계산'!E$2)</f>
        <v>180.3</v>
      </c>
      <c r="F258">
        <f>SUMIFS(monthly_work_hours!$K:$K,monthly_work_hours!$A:$A,'FTE 계산'!$A258,monthly_work_hours!$F:$F,'FTE 계산'!F$2)</f>
        <v>185.5</v>
      </c>
      <c r="G258">
        <f>SUMIFS(monthly_work_hours!$K:$K,monthly_work_hours!$A:$A,'FTE 계산'!$A258,monthly_work_hours!$F:$F,'FTE 계산'!G$2)</f>
        <v>156</v>
      </c>
      <c r="H258">
        <f>(SUMIFS(monthly_work_hours!$G:$G,monthly_work_hours!$A:$A,'FTE 계산'!$A258,monthly_work_hours!$F:$F,'FTE 계산'!H$2)) - (SUMIFS(monthly_work_hours!$J:$J,monthly_work_hours!$A:$A,'FTE 계산'!$A258,monthly_work_hours!$F:$F,'FTE 계산'!H$2))</f>
        <v>19</v>
      </c>
      <c r="I258">
        <f>(SUMIFS(monthly_work_hours!$G:$G,monthly_work_hours!$A:$A,'FTE 계산'!$A258,monthly_work_hours!$F:$F,'FTE 계산'!I$2)) - (SUMIFS(monthly_work_hours!$J:$J,monthly_work_hours!$A:$A,'FTE 계산'!$A258,monthly_work_hours!$F:$F,'FTE 계산'!I$2))</f>
        <v>19</v>
      </c>
      <c r="J258">
        <f>(SUMIFS(monthly_work_hours!$G:$G,monthly_work_hours!$A:$A,'FTE 계산'!$A258,monthly_work_hours!$F:$F,'FTE 계산'!J$2)) - (SUMIFS(monthly_work_hours!$J:$J,monthly_work_hours!$A:$A,'FTE 계산'!$A258,monthly_work_hours!$F:$F,'FTE 계산'!J$2))</f>
        <v>16</v>
      </c>
    </row>
    <row r="259" spans="1:10">
      <c r="A259" t="str">
        <v>G221039</v>
      </c>
      <c r="B259" t="str">
        <f>_xlfn.XLOOKUP(A259,monthly_work_hours!A:A,monthly_work_hours!B:B)</f>
        <v>김병호</v>
      </c>
      <c r="C259" t="str">
        <f>_xlfn.XLOOKUP(A259,monthly_work_hours!A:A,monthly_work_hours!C:C)</f>
        <v>그룹홍보실</v>
      </c>
      <c r="D259" t="str">
        <f>_xlfn.XLOOKUP(A259,monthly_work_hours!A:A,monthly_work_hours!D:D)</f>
        <v>책임</v>
      </c>
      <c r="E259">
        <f>SUMIFS(monthly_work_hours!$K:$K,monthly_work_hours!$A:$A,'FTE 계산'!$A259,monthly_work_hours!$F:$F,'FTE 계산'!E$2)</f>
        <v>166.2</v>
      </c>
      <c r="F259">
        <f>SUMIFS(monthly_work_hours!$K:$K,monthly_work_hours!$A:$A,'FTE 계산'!$A259,monthly_work_hours!$F:$F,'FTE 계산'!F$2)</f>
        <v>177.6</v>
      </c>
      <c r="G259">
        <f>SUMIFS(monthly_work_hours!$K:$K,monthly_work_hours!$A:$A,'FTE 계산'!$A259,monthly_work_hours!$F:$F,'FTE 계산'!G$2)</f>
        <v>151.80000000000001</v>
      </c>
      <c r="H259">
        <f>(SUMIFS(monthly_work_hours!$G:$G,monthly_work_hours!$A:$A,'FTE 계산'!$A259,monthly_work_hours!$F:$F,'FTE 계산'!H$2)) - (SUMIFS(monthly_work_hours!$J:$J,monthly_work_hours!$A:$A,'FTE 계산'!$A259,monthly_work_hours!$F:$F,'FTE 계산'!H$2))</f>
        <v>19</v>
      </c>
      <c r="I259">
        <f>(SUMIFS(monthly_work_hours!$G:$G,monthly_work_hours!$A:$A,'FTE 계산'!$A259,monthly_work_hours!$F:$F,'FTE 계산'!I$2)) - (SUMIFS(monthly_work_hours!$J:$J,monthly_work_hours!$A:$A,'FTE 계산'!$A259,monthly_work_hours!$F:$F,'FTE 계산'!I$2))</f>
        <v>18</v>
      </c>
      <c r="J259">
        <f>(SUMIFS(monthly_work_hours!$G:$G,monthly_work_hours!$A:$A,'FTE 계산'!$A259,monthly_work_hours!$F:$F,'FTE 계산'!J$2)) - (SUMIFS(monthly_work_hours!$J:$J,monthly_work_hours!$A:$A,'FTE 계산'!$A259,monthly_work_hours!$F:$F,'FTE 계산'!J$2))</f>
        <v>16</v>
      </c>
    </row>
    <row r="260" spans="1:10">
      <c r="A260" t="str">
        <v>G221040</v>
      </c>
      <c r="B260" t="str">
        <f>_xlfn.XLOOKUP(A260,monthly_work_hours!A:A,monthly_work_hours!B:B)</f>
        <v>심일욱</v>
      </c>
      <c r="C260" t="str">
        <f>_xlfn.XLOOKUP(A260,monthly_work_hours!A:A,monthly_work_hours!C:C)</f>
        <v>그룹홍보실</v>
      </c>
      <c r="D260" t="str">
        <f>_xlfn.XLOOKUP(A260,monthly_work_hours!A:A,monthly_work_hours!D:D)</f>
        <v>책임</v>
      </c>
      <c r="E260">
        <f>SUMIFS(monthly_work_hours!$K:$K,monthly_work_hours!$A:$A,'FTE 계산'!$A260,monthly_work_hours!$F:$F,'FTE 계산'!E$2)</f>
        <v>157.6</v>
      </c>
      <c r="F260">
        <f>SUMIFS(monthly_work_hours!$K:$K,monthly_work_hours!$A:$A,'FTE 계산'!$A260,monthly_work_hours!$F:$F,'FTE 계산'!F$2)</f>
        <v>177.1</v>
      </c>
      <c r="G260">
        <f>SUMIFS(monthly_work_hours!$K:$K,monthly_work_hours!$A:$A,'FTE 계산'!$A260,monthly_work_hours!$F:$F,'FTE 계산'!G$2)</f>
        <v>145.69999999999999</v>
      </c>
      <c r="H260">
        <f>(SUMIFS(monthly_work_hours!$G:$G,monthly_work_hours!$A:$A,'FTE 계산'!$A260,monthly_work_hours!$F:$F,'FTE 계산'!H$2)) - (SUMIFS(monthly_work_hours!$J:$J,monthly_work_hours!$A:$A,'FTE 계산'!$A260,monthly_work_hours!$F:$F,'FTE 계산'!H$2))</f>
        <v>18</v>
      </c>
      <c r="I260">
        <f>(SUMIFS(monthly_work_hours!$G:$G,monthly_work_hours!$A:$A,'FTE 계산'!$A260,monthly_work_hours!$F:$F,'FTE 계산'!I$2)) - (SUMIFS(monthly_work_hours!$J:$J,monthly_work_hours!$A:$A,'FTE 계산'!$A260,monthly_work_hours!$F:$F,'FTE 계산'!I$2))</f>
        <v>19</v>
      </c>
      <c r="J260">
        <f>(SUMIFS(monthly_work_hours!$G:$G,monthly_work_hours!$A:$A,'FTE 계산'!$A260,monthly_work_hours!$F:$F,'FTE 계산'!J$2)) - (SUMIFS(monthly_work_hours!$J:$J,monthly_work_hours!$A:$A,'FTE 계산'!$A260,monthly_work_hours!$F:$F,'FTE 계산'!J$2))</f>
        <v>16</v>
      </c>
    </row>
    <row r="261" spans="1:10">
      <c r="A261" t="str">
        <v>G221041</v>
      </c>
      <c r="B261" t="str">
        <f>_xlfn.XLOOKUP(A261,monthly_work_hours!A:A,monthly_work_hours!B:B)</f>
        <v>조현진</v>
      </c>
      <c r="C261" t="str">
        <f>_xlfn.XLOOKUP(A261,monthly_work_hours!A:A,monthly_work_hours!C:C)</f>
        <v>회계팀</v>
      </c>
      <c r="D261" t="str">
        <f>_xlfn.XLOOKUP(A261,monthly_work_hours!A:A,monthly_work_hours!D:D)</f>
        <v>책임</v>
      </c>
      <c r="E261">
        <f>SUMIFS(monthly_work_hours!$K:$K,monthly_work_hours!$A:$A,'FTE 계산'!$A261,monthly_work_hours!$F:$F,'FTE 계산'!E$2)</f>
        <v>150.5</v>
      </c>
      <c r="F261">
        <f>SUMIFS(monthly_work_hours!$K:$K,monthly_work_hours!$A:$A,'FTE 계산'!$A261,monthly_work_hours!$F:$F,'FTE 계산'!F$2)</f>
        <v>178.7</v>
      </c>
      <c r="G261">
        <f>SUMIFS(monthly_work_hours!$K:$K,monthly_work_hours!$A:$A,'FTE 계산'!$A261,monthly_work_hours!$F:$F,'FTE 계산'!G$2)</f>
        <v>108.6</v>
      </c>
      <c r="H261">
        <f>(SUMIFS(monthly_work_hours!$G:$G,monthly_work_hours!$A:$A,'FTE 계산'!$A261,monthly_work_hours!$F:$F,'FTE 계산'!H$2)) - (SUMIFS(monthly_work_hours!$J:$J,monthly_work_hours!$A:$A,'FTE 계산'!$A261,monthly_work_hours!$F:$F,'FTE 계산'!H$2))</f>
        <v>19</v>
      </c>
      <c r="I261">
        <f>(SUMIFS(monthly_work_hours!$G:$G,monthly_work_hours!$A:$A,'FTE 계산'!$A261,monthly_work_hours!$F:$F,'FTE 계산'!I$2)) - (SUMIFS(monthly_work_hours!$J:$J,monthly_work_hours!$A:$A,'FTE 계산'!$A261,monthly_work_hours!$F:$F,'FTE 계산'!I$2))</f>
        <v>22</v>
      </c>
      <c r="J261">
        <f>(SUMIFS(monthly_work_hours!$G:$G,monthly_work_hours!$A:$A,'FTE 계산'!$A261,monthly_work_hours!$F:$F,'FTE 계산'!J$2)) - (SUMIFS(monthly_work_hours!$J:$J,monthly_work_hours!$A:$A,'FTE 계산'!$A261,monthly_work_hours!$F:$F,'FTE 계산'!J$2))</f>
        <v>15</v>
      </c>
    </row>
    <row r="262" spans="1:10">
      <c r="A262" t="str">
        <v>G221044</v>
      </c>
      <c r="B262" t="str">
        <f>_xlfn.XLOOKUP(A262,monthly_work_hours!A:A,monthly_work_hours!B:B)</f>
        <v>최우석</v>
      </c>
      <c r="C262" t="str">
        <f>_xlfn.XLOOKUP(A262,monthly_work_hours!A:A,monthly_work_hours!C:C)</f>
        <v>회계팀</v>
      </c>
      <c r="D262" t="str">
        <f>_xlfn.XLOOKUP(A262,monthly_work_hours!A:A,monthly_work_hours!D:D)</f>
        <v>선임</v>
      </c>
      <c r="E262">
        <f>SUMIFS(monthly_work_hours!$K:$K,monthly_work_hours!$A:$A,'FTE 계산'!$A262,monthly_work_hours!$F:$F,'FTE 계산'!E$2)</f>
        <v>496.1</v>
      </c>
      <c r="F262">
        <f>SUMIFS(monthly_work_hours!$K:$K,monthly_work_hours!$A:$A,'FTE 계산'!$A262,monthly_work_hours!$F:$F,'FTE 계산'!F$2)</f>
        <v>411.1</v>
      </c>
      <c r="G262">
        <f>SUMIFS(monthly_work_hours!$K:$K,monthly_work_hours!$A:$A,'FTE 계산'!$A262,monthly_work_hours!$F:$F,'FTE 계산'!G$2)</f>
        <v>138.30000000000001</v>
      </c>
      <c r="H262">
        <f>(SUMIFS(monthly_work_hours!$G:$G,monthly_work_hours!$A:$A,'FTE 계산'!$A262,monthly_work_hours!$F:$F,'FTE 계산'!H$2)) - (SUMIFS(monthly_work_hours!$J:$J,monthly_work_hours!$A:$A,'FTE 계산'!$A262,monthly_work_hours!$F:$F,'FTE 계산'!H$2))</f>
        <v>19</v>
      </c>
      <c r="I262">
        <f>(SUMIFS(monthly_work_hours!$G:$G,monthly_work_hours!$A:$A,'FTE 계산'!$A262,monthly_work_hours!$F:$F,'FTE 계산'!I$2)) - (SUMIFS(monthly_work_hours!$J:$J,monthly_work_hours!$A:$A,'FTE 계산'!$A262,monthly_work_hours!$F:$F,'FTE 계산'!I$2))</f>
        <v>21</v>
      </c>
      <c r="J262">
        <f>(SUMIFS(monthly_work_hours!$G:$G,monthly_work_hours!$A:$A,'FTE 계산'!$A262,monthly_work_hours!$F:$F,'FTE 계산'!J$2)) - (SUMIFS(monthly_work_hours!$J:$J,monthly_work_hours!$A:$A,'FTE 계산'!$A262,monthly_work_hours!$F:$F,'FTE 계산'!J$2))</f>
        <v>15</v>
      </c>
    </row>
    <row r="263" spans="1:10">
      <c r="A263" t="str">
        <v>G221045</v>
      </c>
      <c r="B263" t="str">
        <f>_xlfn.XLOOKUP(A263,monthly_work_hours!A:A,monthly_work_hours!B:B)</f>
        <v>김태우</v>
      </c>
      <c r="C263" t="str">
        <f>_xlfn.XLOOKUP(A263,monthly_work_hours!A:A,monthly_work_hours!C:C)</f>
        <v>자금팀</v>
      </c>
      <c r="D263" t="str">
        <f>_xlfn.XLOOKUP(A263,monthly_work_hours!A:A,monthly_work_hours!D:D)</f>
        <v>선임</v>
      </c>
      <c r="E263">
        <f>SUMIFS(monthly_work_hours!$K:$K,monthly_work_hours!$A:$A,'FTE 계산'!$A263,monthly_work_hours!$F:$F,'FTE 계산'!E$2)</f>
        <v>204.2</v>
      </c>
      <c r="F263">
        <f>SUMIFS(monthly_work_hours!$K:$K,monthly_work_hours!$A:$A,'FTE 계산'!$A263,monthly_work_hours!$F:$F,'FTE 계산'!F$2)</f>
        <v>220.9</v>
      </c>
      <c r="G263">
        <f>SUMIFS(monthly_work_hours!$K:$K,monthly_work_hours!$A:$A,'FTE 계산'!$A263,monthly_work_hours!$F:$F,'FTE 계산'!G$2)</f>
        <v>182.7</v>
      </c>
      <c r="H263">
        <f>(SUMIFS(monthly_work_hours!$G:$G,monthly_work_hours!$A:$A,'FTE 계산'!$A263,monthly_work_hours!$F:$F,'FTE 계산'!H$2)) - (SUMIFS(monthly_work_hours!$J:$J,monthly_work_hours!$A:$A,'FTE 계산'!$A263,monthly_work_hours!$F:$F,'FTE 계산'!H$2))</f>
        <v>19</v>
      </c>
      <c r="I263">
        <f>(SUMIFS(monthly_work_hours!$G:$G,monthly_work_hours!$A:$A,'FTE 계산'!$A263,monthly_work_hours!$F:$F,'FTE 계산'!I$2)) - (SUMIFS(monthly_work_hours!$J:$J,monthly_work_hours!$A:$A,'FTE 계산'!$A263,monthly_work_hours!$F:$F,'FTE 계산'!I$2))</f>
        <v>21</v>
      </c>
      <c r="J263">
        <f>(SUMIFS(monthly_work_hours!$G:$G,monthly_work_hours!$A:$A,'FTE 계산'!$A263,monthly_work_hours!$F:$F,'FTE 계산'!J$2)) - (SUMIFS(monthly_work_hours!$J:$J,monthly_work_hours!$A:$A,'FTE 계산'!$A263,monthly_work_hours!$F:$F,'FTE 계산'!J$2))</f>
        <v>17</v>
      </c>
    </row>
    <row r="264" spans="1:10">
      <c r="A264" t="str">
        <v>G221046</v>
      </c>
      <c r="B264" t="str">
        <f>_xlfn.XLOOKUP(A264,monthly_work_hours!A:A,monthly_work_hours!B:B)</f>
        <v>김민석</v>
      </c>
      <c r="C264" t="str">
        <f>_xlfn.XLOOKUP(A264,monthly_work_hours!A:A,monthly_work_hours!C:C)</f>
        <v>자금팀</v>
      </c>
      <c r="D264" t="str">
        <f>_xlfn.XLOOKUP(A264,monthly_work_hours!A:A,monthly_work_hours!D:D)</f>
        <v>선임</v>
      </c>
      <c r="E264">
        <f>SUMIFS(monthly_work_hours!$K:$K,monthly_work_hours!$A:$A,'FTE 계산'!$A264,monthly_work_hours!$F:$F,'FTE 계산'!E$2)</f>
        <v>171.9</v>
      </c>
      <c r="F264">
        <f>SUMIFS(monthly_work_hours!$K:$K,monthly_work_hours!$A:$A,'FTE 계산'!$A264,monthly_work_hours!$F:$F,'FTE 계산'!F$2)</f>
        <v>248.9</v>
      </c>
      <c r="G264">
        <f>SUMIFS(monthly_work_hours!$K:$K,monthly_work_hours!$A:$A,'FTE 계산'!$A264,monthly_work_hours!$F:$F,'FTE 계산'!G$2)</f>
        <v>188</v>
      </c>
      <c r="H264">
        <f>(SUMIFS(monthly_work_hours!$G:$G,monthly_work_hours!$A:$A,'FTE 계산'!$A264,monthly_work_hours!$F:$F,'FTE 계산'!H$2)) - (SUMIFS(monthly_work_hours!$J:$J,monthly_work_hours!$A:$A,'FTE 계산'!$A264,monthly_work_hours!$F:$F,'FTE 계산'!H$2))</f>
        <v>18</v>
      </c>
      <c r="I264">
        <f>(SUMIFS(monthly_work_hours!$G:$G,monthly_work_hours!$A:$A,'FTE 계산'!$A264,monthly_work_hours!$F:$F,'FTE 계산'!I$2)) - (SUMIFS(monthly_work_hours!$J:$J,monthly_work_hours!$A:$A,'FTE 계산'!$A264,monthly_work_hours!$F:$F,'FTE 계산'!I$2))</f>
        <v>21</v>
      </c>
      <c r="J264">
        <f>(SUMIFS(monthly_work_hours!$G:$G,monthly_work_hours!$A:$A,'FTE 계산'!$A264,monthly_work_hours!$F:$F,'FTE 계산'!J$2)) - (SUMIFS(monthly_work_hours!$J:$J,monthly_work_hours!$A:$A,'FTE 계산'!$A264,monthly_work_hours!$F:$F,'FTE 계산'!J$2))</f>
        <v>17</v>
      </c>
    </row>
    <row r="265" spans="1:10">
      <c r="A265" t="str">
        <v>G221047</v>
      </c>
      <c r="B265" t="str">
        <f>_xlfn.XLOOKUP(A265,monthly_work_hours!A:A,monthly_work_hours!B:B)</f>
        <v>이가은</v>
      </c>
      <c r="C265" t="str">
        <f>_xlfn.XLOOKUP(A265,monthly_work_hours!A:A,monthly_work_hours!C:C)</f>
        <v>회계팀</v>
      </c>
      <c r="D265" t="str">
        <f>_xlfn.XLOOKUP(A265,monthly_work_hours!A:A,monthly_work_hours!D:D)</f>
        <v>선임</v>
      </c>
      <c r="E265">
        <f>SUMIFS(monthly_work_hours!$K:$K,monthly_work_hours!$A:$A,'FTE 계산'!$A265,monthly_work_hours!$F:$F,'FTE 계산'!E$2)</f>
        <v>147.80000000000001</v>
      </c>
      <c r="F265">
        <f>SUMIFS(monthly_work_hours!$K:$K,monthly_work_hours!$A:$A,'FTE 계산'!$A265,monthly_work_hours!$F:$F,'FTE 계산'!F$2)</f>
        <v>225.6</v>
      </c>
      <c r="G265">
        <f>SUMIFS(monthly_work_hours!$K:$K,monthly_work_hours!$A:$A,'FTE 계산'!$A265,monthly_work_hours!$F:$F,'FTE 계산'!G$2)</f>
        <v>134.6</v>
      </c>
      <c r="H265">
        <f>(SUMIFS(monthly_work_hours!$G:$G,monthly_work_hours!$A:$A,'FTE 계산'!$A265,monthly_work_hours!$F:$F,'FTE 계산'!H$2)) - (SUMIFS(monthly_work_hours!$J:$J,monthly_work_hours!$A:$A,'FTE 계산'!$A265,monthly_work_hours!$F:$F,'FTE 계산'!H$2))</f>
        <v>16</v>
      </c>
      <c r="I265">
        <f>(SUMIFS(monthly_work_hours!$G:$G,monthly_work_hours!$A:$A,'FTE 계산'!$A265,monthly_work_hours!$F:$F,'FTE 계산'!I$2)) - (SUMIFS(monthly_work_hours!$J:$J,monthly_work_hours!$A:$A,'FTE 계산'!$A265,monthly_work_hours!$F:$F,'FTE 계산'!I$2))</f>
        <v>22</v>
      </c>
      <c r="J265">
        <f>(SUMIFS(monthly_work_hours!$G:$G,monthly_work_hours!$A:$A,'FTE 계산'!$A265,monthly_work_hours!$F:$F,'FTE 계산'!J$2)) - (SUMIFS(monthly_work_hours!$J:$J,monthly_work_hours!$A:$A,'FTE 계산'!$A265,monthly_work_hours!$F:$F,'FTE 계산'!J$2))</f>
        <v>16</v>
      </c>
    </row>
    <row r="266" spans="1:10">
      <c r="A266" t="str">
        <v>G221050</v>
      </c>
      <c r="B266" t="str">
        <f>_xlfn.XLOOKUP(A266,monthly_work_hours!A:A,monthly_work_hours!B:B)</f>
        <v>정민홍</v>
      </c>
      <c r="C266" t="str">
        <f>_xlfn.XLOOKUP(A266,monthly_work_hours!A:A,monthly_work_hours!C:C)</f>
        <v>PEOPLE팀</v>
      </c>
      <c r="D266" t="str">
        <f>_xlfn.XLOOKUP(A266,monthly_work_hours!A:A,monthly_work_hours!D:D)</f>
        <v>책임</v>
      </c>
      <c r="E266">
        <f>SUMIFS(monthly_work_hours!$K:$K,monthly_work_hours!$A:$A,'FTE 계산'!$A266,monthly_work_hours!$F:$F,'FTE 계산'!E$2)</f>
        <v>121.7</v>
      </c>
      <c r="F266">
        <f>SUMIFS(monthly_work_hours!$K:$K,monthly_work_hours!$A:$A,'FTE 계산'!$A266,monthly_work_hours!$F:$F,'FTE 계산'!F$2)</f>
        <v>113</v>
      </c>
      <c r="G266">
        <f>SUMIFS(monthly_work_hours!$K:$K,monthly_work_hours!$A:$A,'FTE 계산'!$A266,monthly_work_hours!$F:$F,'FTE 계산'!G$2)</f>
        <v>118.2</v>
      </c>
      <c r="H266">
        <f>(SUMIFS(monthly_work_hours!$G:$G,monthly_work_hours!$A:$A,'FTE 계산'!$A266,monthly_work_hours!$F:$F,'FTE 계산'!H$2)) - (SUMIFS(monthly_work_hours!$J:$J,monthly_work_hours!$A:$A,'FTE 계산'!$A266,monthly_work_hours!$F:$F,'FTE 계산'!H$2))</f>
        <v>14</v>
      </c>
      <c r="I266">
        <f>(SUMIFS(monthly_work_hours!$G:$G,monthly_work_hours!$A:$A,'FTE 계산'!$A266,monthly_work_hours!$F:$F,'FTE 계산'!I$2)) - (SUMIFS(monthly_work_hours!$J:$J,monthly_work_hours!$A:$A,'FTE 계산'!$A266,monthly_work_hours!$F:$F,'FTE 계산'!I$2))</f>
        <v>13</v>
      </c>
      <c r="J266">
        <f>(SUMIFS(monthly_work_hours!$G:$G,monthly_work_hours!$A:$A,'FTE 계산'!$A266,monthly_work_hours!$F:$F,'FTE 계산'!J$2)) - (SUMIFS(monthly_work_hours!$J:$J,monthly_work_hours!$A:$A,'FTE 계산'!$A266,monthly_work_hours!$F:$F,'FTE 계산'!J$2))</f>
        <v>16</v>
      </c>
    </row>
    <row r="267" spans="1:10">
      <c r="A267" t="str">
        <v>G221051</v>
      </c>
      <c r="B267" t="str">
        <f>_xlfn.XLOOKUP(A267,monthly_work_hours!A:A,monthly_work_hours!B:B)</f>
        <v>안진우</v>
      </c>
      <c r="C267" t="str">
        <f>_xlfn.XLOOKUP(A267,monthly_work_hours!A:A,monthly_work_hours!C:C)</f>
        <v>자산/법무팀</v>
      </c>
      <c r="D267" t="str">
        <f>_xlfn.XLOOKUP(A267,monthly_work_hours!A:A,monthly_work_hours!D:D)</f>
        <v>책임</v>
      </c>
      <c r="E267">
        <f>SUMIFS(monthly_work_hours!$K:$K,monthly_work_hours!$A:$A,'FTE 계산'!$A267,monthly_work_hours!$F:$F,'FTE 계산'!E$2)</f>
        <v>159.6</v>
      </c>
      <c r="F267">
        <f>SUMIFS(monthly_work_hours!$K:$K,monthly_work_hours!$A:$A,'FTE 계산'!$A267,monthly_work_hours!$F:$F,'FTE 계산'!F$2)</f>
        <v>165.1</v>
      </c>
      <c r="G267">
        <f>SUMIFS(monthly_work_hours!$K:$K,monthly_work_hours!$A:$A,'FTE 계산'!$A267,monthly_work_hours!$F:$F,'FTE 계산'!G$2)</f>
        <v>142.1</v>
      </c>
      <c r="H267">
        <f>(SUMIFS(monthly_work_hours!$G:$G,monthly_work_hours!$A:$A,'FTE 계산'!$A267,monthly_work_hours!$F:$F,'FTE 계산'!H$2)) - (SUMIFS(monthly_work_hours!$J:$J,monthly_work_hours!$A:$A,'FTE 계산'!$A267,monthly_work_hours!$F:$F,'FTE 계산'!H$2))</f>
        <v>16</v>
      </c>
      <c r="I267">
        <f>(SUMIFS(monthly_work_hours!$G:$G,monthly_work_hours!$A:$A,'FTE 계산'!$A267,monthly_work_hours!$F:$F,'FTE 계산'!I$2)) - (SUMIFS(monthly_work_hours!$J:$J,monthly_work_hours!$A:$A,'FTE 계산'!$A267,monthly_work_hours!$F:$F,'FTE 계산'!I$2))</f>
        <v>17</v>
      </c>
      <c r="J267">
        <f>(SUMIFS(monthly_work_hours!$G:$G,monthly_work_hours!$A:$A,'FTE 계산'!$A267,monthly_work_hours!$F:$F,'FTE 계산'!J$2)) - (SUMIFS(monthly_work_hours!$J:$J,monthly_work_hours!$A:$A,'FTE 계산'!$A267,monthly_work_hours!$F:$F,'FTE 계산'!J$2))</f>
        <v>16</v>
      </c>
    </row>
    <row r="268" spans="1:10">
      <c r="A268" t="str">
        <v>G221054</v>
      </c>
      <c r="B268" t="str">
        <f>_xlfn.XLOOKUP(A268,monthly_work_hours!A:A,monthly_work_hours!B:B)</f>
        <v>안용진</v>
      </c>
      <c r="C268" t="str">
        <f>_xlfn.XLOOKUP(A268,monthly_work_hours!A:A,monthly_work_hours!C:C)</f>
        <v>PEOPLE팀</v>
      </c>
      <c r="D268" t="str">
        <f>_xlfn.XLOOKUP(A268,monthly_work_hours!A:A,monthly_work_hours!D:D)</f>
        <v>책임</v>
      </c>
      <c r="E268">
        <f>SUMIFS(monthly_work_hours!$K:$K,monthly_work_hours!$A:$A,'FTE 계산'!$A268,monthly_work_hours!$F:$F,'FTE 계산'!E$2)</f>
        <v>194.5</v>
      </c>
      <c r="F268">
        <f>SUMIFS(monthly_work_hours!$K:$K,monthly_work_hours!$A:$A,'FTE 계산'!$A268,monthly_work_hours!$F:$F,'FTE 계산'!F$2)</f>
        <v>167.6</v>
      </c>
      <c r="G268">
        <f>SUMIFS(monthly_work_hours!$K:$K,monthly_work_hours!$A:$A,'FTE 계산'!$A268,monthly_work_hours!$F:$F,'FTE 계산'!G$2)</f>
        <v>121.2</v>
      </c>
      <c r="H268">
        <f>(SUMIFS(monthly_work_hours!$G:$G,monthly_work_hours!$A:$A,'FTE 계산'!$A268,monthly_work_hours!$F:$F,'FTE 계산'!H$2)) - (SUMIFS(monthly_work_hours!$J:$J,monthly_work_hours!$A:$A,'FTE 계산'!$A268,monthly_work_hours!$F:$F,'FTE 계산'!H$2))</f>
        <v>11</v>
      </c>
      <c r="I268">
        <f>(SUMIFS(monthly_work_hours!$G:$G,monthly_work_hours!$A:$A,'FTE 계산'!$A268,monthly_work_hours!$F:$F,'FTE 계산'!I$2)) - (SUMIFS(monthly_work_hours!$J:$J,monthly_work_hours!$A:$A,'FTE 계산'!$A268,monthly_work_hours!$F:$F,'FTE 계산'!I$2))</f>
        <v>18</v>
      </c>
      <c r="J268">
        <f>(SUMIFS(monthly_work_hours!$G:$G,monthly_work_hours!$A:$A,'FTE 계산'!$A268,monthly_work_hours!$F:$F,'FTE 계산'!J$2)) - (SUMIFS(monthly_work_hours!$J:$J,monthly_work_hours!$A:$A,'FTE 계산'!$A268,monthly_work_hours!$F:$F,'FTE 계산'!J$2))</f>
        <v>14</v>
      </c>
    </row>
    <row r="269" spans="1:10">
      <c r="A269" t="str">
        <v>G221055</v>
      </c>
      <c r="B269" t="str">
        <f>_xlfn.XLOOKUP(A269,monthly_work_hours!A:A,monthly_work_hours!B:B)</f>
        <v>김태형</v>
      </c>
      <c r="C269" t="str">
        <f>_xlfn.XLOOKUP(A269,monthly_work_hours!A:A,monthly_work_hours!C:C)</f>
        <v>자산/법무팀</v>
      </c>
      <c r="D269" t="str">
        <f>_xlfn.XLOOKUP(A269,monthly_work_hours!A:A,monthly_work_hours!D:D)</f>
        <v>선임</v>
      </c>
      <c r="E269">
        <f>SUMIFS(monthly_work_hours!$K:$K,monthly_work_hours!$A:$A,'FTE 계산'!$A269,monthly_work_hours!$F:$F,'FTE 계산'!E$2)</f>
        <v>171.3</v>
      </c>
      <c r="F269">
        <f>SUMIFS(monthly_work_hours!$K:$K,monthly_work_hours!$A:$A,'FTE 계산'!$A269,monthly_work_hours!$F:$F,'FTE 계산'!F$2)</f>
        <v>181.6</v>
      </c>
      <c r="G269">
        <f>SUMIFS(monthly_work_hours!$K:$K,monthly_work_hours!$A:$A,'FTE 계산'!$A269,monthly_work_hours!$F:$F,'FTE 계산'!G$2)</f>
        <v>135</v>
      </c>
      <c r="H269">
        <f>(SUMIFS(monthly_work_hours!$G:$G,monthly_work_hours!$A:$A,'FTE 계산'!$A269,monthly_work_hours!$F:$F,'FTE 계산'!H$2)) - (SUMIFS(monthly_work_hours!$J:$J,monthly_work_hours!$A:$A,'FTE 계산'!$A269,monthly_work_hours!$F:$F,'FTE 계산'!H$2))</f>
        <v>19</v>
      </c>
      <c r="I269">
        <f>(SUMIFS(monthly_work_hours!$G:$G,monthly_work_hours!$A:$A,'FTE 계산'!$A269,monthly_work_hours!$F:$F,'FTE 계산'!I$2)) - (SUMIFS(monthly_work_hours!$J:$J,monthly_work_hours!$A:$A,'FTE 계산'!$A269,monthly_work_hours!$F:$F,'FTE 계산'!I$2))</f>
        <v>20</v>
      </c>
      <c r="J269">
        <f>(SUMIFS(monthly_work_hours!$G:$G,monthly_work_hours!$A:$A,'FTE 계산'!$A269,monthly_work_hours!$F:$F,'FTE 계산'!J$2)) - (SUMIFS(monthly_work_hours!$J:$J,monthly_work_hours!$A:$A,'FTE 계산'!$A269,monthly_work_hours!$F:$F,'FTE 계산'!J$2))</f>
        <v>17</v>
      </c>
    </row>
    <row r="270" spans="1:10">
      <c r="A270" t="str">
        <v>G221056</v>
      </c>
      <c r="B270" t="str">
        <f>_xlfn.XLOOKUP(A270,monthly_work_hours!A:A,monthly_work_hours!B:B)</f>
        <v>황주희</v>
      </c>
      <c r="C270" t="str">
        <f>_xlfn.XLOOKUP(A270,monthly_work_hours!A:A,monthly_work_hours!C:C)</f>
        <v>PEOPLE팀</v>
      </c>
      <c r="D270" t="str">
        <f>_xlfn.XLOOKUP(A270,monthly_work_hours!A:A,monthly_work_hours!D:D)</f>
        <v>선임</v>
      </c>
      <c r="E270">
        <f>SUMIFS(monthly_work_hours!$K:$K,monthly_work_hours!$A:$A,'FTE 계산'!$A270,monthly_work_hours!$F:$F,'FTE 계산'!E$2)</f>
        <v>444.2</v>
      </c>
      <c r="F270">
        <f>SUMIFS(monthly_work_hours!$K:$K,monthly_work_hours!$A:$A,'FTE 계산'!$A270,monthly_work_hours!$F:$F,'FTE 계산'!F$2)</f>
        <v>515.9</v>
      </c>
      <c r="G270">
        <f>SUMIFS(monthly_work_hours!$K:$K,monthly_work_hours!$A:$A,'FTE 계산'!$A270,monthly_work_hours!$F:$F,'FTE 계산'!G$2)</f>
        <v>287.10000000000002</v>
      </c>
      <c r="H270">
        <f>(SUMIFS(monthly_work_hours!$G:$G,monthly_work_hours!$A:$A,'FTE 계산'!$A270,monthly_work_hours!$F:$F,'FTE 계산'!H$2)) - (SUMIFS(monthly_work_hours!$J:$J,monthly_work_hours!$A:$A,'FTE 계산'!$A270,monthly_work_hours!$F:$F,'FTE 계산'!H$2))</f>
        <v>19</v>
      </c>
      <c r="I270">
        <f>(SUMIFS(monthly_work_hours!$G:$G,monthly_work_hours!$A:$A,'FTE 계산'!$A270,monthly_work_hours!$F:$F,'FTE 계산'!I$2)) - (SUMIFS(monthly_work_hours!$J:$J,monthly_work_hours!$A:$A,'FTE 계산'!$A270,monthly_work_hours!$F:$F,'FTE 계산'!I$2))</f>
        <v>23</v>
      </c>
      <c r="J270">
        <f>(SUMIFS(monthly_work_hours!$G:$G,monthly_work_hours!$A:$A,'FTE 계산'!$A270,monthly_work_hours!$F:$F,'FTE 계산'!J$2)) - (SUMIFS(monthly_work_hours!$J:$J,monthly_work_hours!$A:$A,'FTE 계산'!$A270,monthly_work_hours!$F:$F,'FTE 계산'!J$2))</f>
        <v>17</v>
      </c>
    </row>
    <row r="271" spans="1:10">
      <c r="A271" t="str">
        <v>G221072</v>
      </c>
      <c r="B271" t="str">
        <f>_xlfn.XLOOKUP(A271,monthly_work_hours!A:A,monthly_work_hours!B:B)</f>
        <v>제석환</v>
      </c>
      <c r="C271" t="str">
        <f>_xlfn.XLOOKUP(A271,monthly_work_hours!A:A,monthly_work_hours!C:C)</f>
        <v>인더스트리얼 설계개발팀</v>
      </c>
      <c r="D271" t="str">
        <f>_xlfn.XLOOKUP(A271,monthly_work_hours!A:A,monthly_work_hours!D:D)</f>
        <v>책임</v>
      </c>
      <c r="E271">
        <f>SUMIFS(monthly_work_hours!$K:$K,monthly_work_hours!$A:$A,'FTE 계산'!$A271,monthly_work_hours!$F:$F,'FTE 계산'!E$2)</f>
        <v>173.5</v>
      </c>
      <c r="F271">
        <f>SUMIFS(monthly_work_hours!$K:$K,monthly_work_hours!$A:$A,'FTE 계산'!$A271,monthly_work_hours!$F:$F,'FTE 계산'!F$2)</f>
        <v>239.3</v>
      </c>
      <c r="G271">
        <f>SUMIFS(monthly_work_hours!$K:$K,monthly_work_hours!$A:$A,'FTE 계산'!$A271,monthly_work_hours!$F:$F,'FTE 계산'!G$2)</f>
        <v>115.9</v>
      </c>
      <c r="H271">
        <f>(SUMIFS(monthly_work_hours!$G:$G,monthly_work_hours!$A:$A,'FTE 계산'!$A271,monthly_work_hours!$F:$F,'FTE 계산'!H$2)) - (SUMIFS(monthly_work_hours!$J:$J,monthly_work_hours!$A:$A,'FTE 계산'!$A271,monthly_work_hours!$F:$F,'FTE 계산'!H$2))</f>
        <v>16</v>
      </c>
      <c r="I271">
        <f>(SUMIFS(monthly_work_hours!$G:$G,monthly_work_hours!$A:$A,'FTE 계산'!$A271,monthly_work_hours!$F:$F,'FTE 계산'!I$2)) - (SUMIFS(monthly_work_hours!$J:$J,monthly_work_hours!$A:$A,'FTE 계산'!$A271,monthly_work_hours!$F:$F,'FTE 계산'!I$2))</f>
        <v>18</v>
      </c>
      <c r="J271">
        <f>(SUMIFS(monthly_work_hours!$G:$G,monthly_work_hours!$A:$A,'FTE 계산'!$A271,monthly_work_hours!$F:$F,'FTE 계산'!J$2)) - (SUMIFS(monthly_work_hours!$J:$J,monthly_work_hours!$A:$A,'FTE 계산'!$A271,monthly_work_hours!$F:$F,'FTE 계산'!J$2))</f>
        <v>13</v>
      </c>
    </row>
    <row r="272" spans="1:10">
      <c r="A272" t="str">
        <v>G221073</v>
      </c>
      <c r="B272" t="str">
        <f>_xlfn.XLOOKUP(A272,monthly_work_hours!A:A,monthly_work_hours!B:B)</f>
        <v>오희진</v>
      </c>
      <c r="C272" t="str">
        <f>_xlfn.XLOOKUP(A272,monthly_work_hours!A:A,monthly_work_hours!C:C)</f>
        <v>인더스트리얼 설계개발팀</v>
      </c>
      <c r="D272" t="str">
        <f>_xlfn.XLOOKUP(A272,monthly_work_hours!A:A,monthly_work_hours!D:D)</f>
        <v>선임</v>
      </c>
      <c r="E272">
        <f>SUMIFS(monthly_work_hours!$K:$K,monthly_work_hours!$A:$A,'FTE 계산'!$A272,monthly_work_hours!$F:$F,'FTE 계산'!E$2)</f>
        <v>153.6</v>
      </c>
      <c r="F272">
        <f>SUMIFS(monthly_work_hours!$K:$K,monthly_work_hours!$A:$A,'FTE 계산'!$A272,monthly_work_hours!$F:$F,'FTE 계산'!F$2)</f>
        <v>163.5</v>
      </c>
      <c r="G272">
        <f>SUMIFS(monthly_work_hours!$K:$K,monthly_work_hours!$A:$A,'FTE 계산'!$A272,monthly_work_hours!$F:$F,'FTE 계산'!G$2)</f>
        <v>106</v>
      </c>
      <c r="H272">
        <f>(SUMIFS(monthly_work_hours!$G:$G,monthly_work_hours!$A:$A,'FTE 계산'!$A272,monthly_work_hours!$F:$F,'FTE 계산'!H$2)) - (SUMIFS(monthly_work_hours!$J:$J,monthly_work_hours!$A:$A,'FTE 계산'!$A272,monthly_work_hours!$F:$F,'FTE 계산'!H$2))</f>
        <v>18</v>
      </c>
      <c r="I272">
        <f>(SUMIFS(monthly_work_hours!$G:$G,monthly_work_hours!$A:$A,'FTE 계산'!$A272,monthly_work_hours!$F:$F,'FTE 계산'!I$2)) - (SUMIFS(monthly_work_hours!$J:$J,monthly_work_hours!$A:$A,'FTE 계산'!$A272,monthly_work_hours!$F:$F,'FTE 계산'!I$2))</f>
        <v>18</v>
      </c>
      <c r="J272">
        <f>(SUMIFS(monthly_work_hours!$G:$G,monthly_work_hours!$A:$A,'FTE 계산'!$A272,monthly_work_hours!$F:$F,'FTE 계산'!J$2)) - (SUMIFS(monthly_work_hours!$J:$J,monthly_work_hours!$A:$A,'FTE 계산'!$A272,monthly_work_hours!$F:$F,'FTE 계산'!J$2))</f>
        <v>14</v>
      </c>
    </row>
    <row r="273" spans="1:10">
      <c r="A273" t="str">
        <v>G221074</v>
      </c>
      <c r="B273" t="str">
        <f>_xlfn.XLOOKUP(A273,monthly_work_hours!A:A,monthly_work_hours!B:B)</f>
        <v>최녕기</v>
      </c>
      <c r="C273" t="str">
        <f>_xlfn.XLOOKUP(A273,monthly_work_hours!A:A,monthly_work_hours!C:C)</f>
        <v>인더스트리얼 설계개발팀</v>
      </c>
      <c r="D273" t="str">
        <f>_xlfn.XLOOKUP(A273,monthly_work_hours!A:A,monthly_work_hours!D:D)</f>
        <v>선임</v>
      </c>
      <c r="E273">
        <f>SUMIFS(monthly_work_hours!$K:$K,monthly_work_hours!$A:$A,'FTE 계산'!$A273,monthly_work_hours!$F:$F,'FTE 계산'!E$2)</f>
        <v>184.1</v>
      </c>
      <c r="F273">
        <f>SUMIFS(monthly_work_hours!$K:$K,monthly_work_hours!$A:$A,'FTE 계산'!$A273,monthly_work_hours!$F:$F,'FTE 계산'!F$2)</f>
        <v>169.1</v>
      </c>
      <c r="G273">
        <f>SUMIFS(monthly_work_hours!$K:$K,monthly_work_hours!$A:$A,'FTE 계산'!$A273,monthly_work_hours!$F:$F,'FTE 계산'!G$2)</f>
        <v>130.4</v>
      </c>
      <c r="H273">
        <f>(SUMIFS(monthly_work_hours!$G:$G,monthly_work_hours!$A:$A,'FTE 계산'!$A273,monthly_work_hours!$F:$F,'FTE 계산'!H$2)) - (SUMIFS(monthly_work_hours!$J:$J,monthly_work_hours!$A:$A,'FTE 계산'!$A273,monthly_work_hours!$F:$F,'FTE 계산'!H$2))</f>
        <v>18</v>
      </c>
      <c r="I273">
        <f>(SUMIFS(monthly_work_hours!$G:$G,monthly_work_hours!$A:$A,'FTE 계산'!$A273,monthly_work_hours!$F:$F,'FTE 계산'!I$2)) - (SUMIFS(monthly_work_hours!$J:$J,monthly_work_hours!$A:$A,'FTE 계산'!$A273,monthly_work_hours!$F:$F,'FTE 계산'!I$2))</f>
        <v>19</v>
      </c>
      <c r="J273">
        <f>(SUMIFS(monthly_work_hours!$G:$G,monthly_work_hours!$A:$A,'FTE 계산'!$A273,monthly_work_hours!$F:$F,'FTE 계산'!J$2)) - (SUMIFS(monthly_work_hours!$J:$J,monthly_work_hours!$A:$A,'FTE 계산'!$A273,monthly_work_hours!$F:$F,'FTE 계산'!J$2))</f>
        <v>15</v>
      </c>
    </row>
    <row r="274" spans="1:10">
      <c r="A274" t="str">
        <v>G221077</v>
      </c>
      <c r="B274" t="str">
        <f>_xlfn.XLOOKUP(A274,monthly_work_hours!A:A,monthly_work_hours!B:B)</f>
        <v>배상수</v>
      </c>
      <c r="C274" t="str">
        <f>_xlfn.XLOOKUP(A274,monthly_work_hours!A:A,monthly_work_hours!C:C)</f>
        <v>Energy사업팀</v>
      </c>
      <c r="D274" t="str">
        <f>_xlfn.XLOOKUP(A274,monthly_work_hours!A:A,monthly_work_hours!D:D)</f>
        <v>책임</v>
      </c>
      <c r="E274">
        <f>SUMIFS(monthly_work_hours!$K:$K,monthly_work_hours!$A:$A,'FTE 계산'!$A274,monthly_work_hours!$F:$F,'FTE 계산'!E$2)</f>
        <v>47.8</v>
      </c>
      <c r="F274">
        <f>SUMIFS(monthly_work_hours!$K:$K,monthly_work_hours!$A:$A,'FTE 계산'!$A274,monthly_work_hours!$F:$F,'FTE 계산'!F$2)</f>
        <v>66.2</v>
      </c>
      <c r="G274">
        <f>SUMIFS(monthly_work_hours!$K:$K,monthly_work_hours!$A:$A,'FTE 계산'!$A274,monthly_work_hours!$F:$F,'FTE 계산'!G$2)</f>
        <v>30.4</v>
      </c>
      <c r="H274">
        <f>(SUMIFS(monthly_work_hours!$G:$G,monthly_work_hours!$A:$A,'FTE 계산'!$A274,monthly_work_hours!$F:$F,'FTE 계산'!H$2)) - (SUMIFS(monthly_work_hours!$J:$J,monthly_work_hours!$A:$A,'FTE 계산'!$A274,monthly_work_hours!$F:$F,'FTE 계산'!H$2))</f>
        <v>9</v>
      </c>
      <c r="I274">
        <f>(SUMIFS(monthly_work_hours!$G:$G,monthly_work_hours!$A:$A,'FTE 계산'!$A274,monthly_work_hours!$F:$F,'FTE 계산'!I$2)) - (SUMIFS(monthly_work_hours!$J:$J,monthly_work_hours!$A:$A,'FTE 계산'!$A274,monthly_work_hours!$F:$F,'FTE 계산'!I$2))</f>
        <v>10</v>
      </c>
      <c r="J274">
        <f>(SUMIFS(monthly_work_hours!$G:$G,monthly_work_hours!$A:$A,'FTE 계산'!$A274,monthly_work_hours!$F:$F,'FTE 계산'!J$2)) - (SUMIFS(monthly_work_hours!$J:$J,monthly_work_hours!$A:$A,'FTE 계산'!$A274,monthly_work_hours!$F:$F,'FTE 계산'!J$2))</f>
        <v>6</v>
      </c>
    </row>
    <row r="275" spans="1:10">
      <c r="A275" t="str">
        <v>G221079</v>
      </c>
      <c r="B275" t="str">
        <f>_xlfn.XLOOKUP(A275,monthly_work_hours!A:A,monthly_work_hours!B:B)</f>
        <v>조유진</v>
      </c>
      <c r="C275" t="str">
        <f>_xlfn.XLOOKUP(A275,monthly_work_hours!A:A,monthly_work_hours!C:C)</f>
        <v>Energy사업팀</v>
      </c>
      <c r="D275" t="str">
        <f>_xlfn.XLOOKUP(A275,monthly_work_hours!A:A,monthly_work_hours!D:D)</f>
        <v>선임</v>
      </c>
      <c r="E275">
        <f>SUMIFS(monthly_work_hours!$K:$K,monthly_work_hours!$A:$A,'FTE 계산'!$A275,monthly_work_hours!$F:$F,'FTE 계산'!E$2)</f>
        <v>83.5</v>
      </c>
      <c r="F275">
        <f>SUMIFS(monthly_work_hours!$K:$K,monthly_work_hours!$A:$A,'FTE 계산'!$A275,monthly_work_hours!$F:$F,'FTE 계산'!F$2)</f>
        <v>100.3</v>
      </c>
      <c r="G275">
        <f>SUMIFS(monthly_work_hours!$K:$K,monthly_work_hours!$A:$A,'FTE 계산'!$A275,monthly_work_hours!$F:$F,'FTE 계산'!G$2)</f>
        <v>44</v>
      </c>
      <c r="H275">
        <f>(SUMIFS(monthly_work_hours!$G:$G,monthly_work_hours!$A:$A,'FTE 계산'!$A275,monthly_work_hours!$F:$F,'FTE 계산'!H$2)) - (SUMIFS(monthly_work_hours!$J:$J,monthly_work_hours!$A:$A,'FTE 계산'!$A275,monthly_work_hours!$F:$F,'FTE 계산'!H$2))</f>
        <v>15</v>
      </c>
      <c r="I275">
        <f>(SUMIFS(monthly_work_hours!$G:$G,monthly_work_hours!$A:$A,'FTE 계산'!$A275,monthly_work_hours!$F:$F,'FTE 계산'!I$2)) - (SUMIFS(monthly_work_hours!$J:$J,monthly_work_hours!$A:$A,'FTE 계산'!$A275,monthly_work_hours!$F:$F,'FTE 계산'!I$2))</f>
        <v>15</v>
      </c>
      <c r="J275">
        <f>(SUMIFS(monthly_work_hours!$G:$G,monthly_work_hours!$A:$A,'FTE 계산'!$A275,monthly_work_hours!$F:$F,'FTE 계산'!J$2)) - (SUMIFS(monthly_work_hours!$J:$J,monthly_work_hours!$A:$A,'FTE 계산'!$A275,monthly_work_hours!$F:$F,'FTE 계산'!J$2))</f>
        <v>8</v>
      </c>
    </row>
    <row r="276" spans="1:10">
      <c r="A276" t="str">
        <v>G221080</v>
      </c>
      <c r="B276" t="str">
        <f>_xlfn.XLOOKUP(A276,monthly_work_hours!A:A,monthly_work_hours!B:B)</f>
        <v>조유미</v>
      </c>
      <c r="C276" t="str">
        <f>_xlfn.XLOOKUP(A276,monthly_work_hours!A:A,monthly_work_hours!C:C)</f>
        <v>전략팀</v>
      </c>
      <c r="D276" t="str">
        <f>_xlfn.XLOOKUP(A276,monthly_work_hours!A:A,monthly_work_hours!D:D)</f>
        <v>책임</v>
      </c>
      <c r="E276">
        <f>SUMIFS(monthly_work_hours!$K:$K,monthly_work_hours!$A:$A,'FTE 계산'!$A276,monthly_work_hours!$F:$F,'FTE 계산'!E$2)</f>
        <v>125.7</v>
      </c>
      <c r="F276">
        <f>SUMIFS(monthly_work_hours!$K:$K,monthly_work_hours!$A:$A,'FTE 계산'!$A276,monthly_work_hours!$F:$F,'FTE 계산'!F$2)</f>
        <v>163</v>
      </c>
      <c r="G276">
        <f>SUMIFS(monthly_work_hours!$K:$K,monthly_work_hours!$A:$A,'FTE 계산'!$A276,monthly_work_hours!$F:$F,'FTE 계산'!G$2)</f>
        <v>34.5</v>
      </c>
      <c r="H276">
        <f>(SUMIFS(monthly_work_hours!$G:$G,monthly_work_hours!$A:$A,'FTE 계산'!$A276,monthly_work_hours!$F:$F,'FTE 계산'!H$2)) - (SUMIFS(monthly_work_hours!$J:$J,monthly_work_hours!$A:$A,'FTE 계산'!$A276,monthly_work_hours!$F:$F,'FTE 계산'!H$2))</f>
        <v>13</v>
      </c>
      <c r="I276">
        <f>(SUMIFS(monthly_work_hours!$G:$G,monthly_work_hours!$A:$A,'FTE 계산'!$A276,monthly_work_hours!$F:$F,'FTE 계산'!I$2)) - (SUMIFS(monthly_work_hours!$J:$J,monthly_work_hours!$A:$A,'FTE 계산'!$A276,monthly_work_hours!$F:$F,'FTE 계산'!I$2))</f>
        <v>16</v>
      </c>
      <c r="J276">
        <f>(SUMIFS(monthly_work_hours!$G:$G,monthly_work_hours!$A:$A,'FTE 계산'!$A276,monthly_work_hours!$F:$F,'FTE 계산'!J$2)) - (SUMIFS(monthly_work_hours!$J:$J,monthly_work_hours!$A:$A,'FTE 계산'!$A276,monthly_work_hours!$F:$F,'FTE 계산'!J$2))</f>
        <v>4</v>
      </c>
    </row>
    <row r="277" spans="1:10">
      <c r="A277" t="str">
        <v>G221081</v>
      </c>
      <c r="B277" t="str">
        <f>_xlfn.XLOOKUP(A277,monthly_work_hours!A:A,monthly_work_hours!B:B)</f>
        <v>이홍석</v>
      </c>
      <c r="C277" t="str">
        <f>_xlfn.XLOOKUP(A277,monthly_work_hours!A:A,monthly_work_hours!C:C)</f>
        <v>SL기술지원팀</v>
      </c>
      <c r="D277" t="str">
        <f>_xlfn.XLOOKUP(A277,monthly_work_hours!A:A,monthly_work_hours!D:D)</f>
        <v>책임</v>
      </c>
      <c r="E277">
        <f>SUMIFS(monthly_work_hours!$K:$K,monthly_work_hours!$A:$A,'FTE 계산'!$A277,monthly_work_hours!$F:$F,'FTE 계산'!E$2)</f>
        <v>217</v>
      </c>
      <c r="F277">
        <f>SUMIFS(monthly_work_hours!$K:$K,monthly_work_hours!$A:$A,'FTE 계산'!$A277,monthly_work_hours!$F:$F,'FTE 계산'!F$2)</f>
        <v>199.8</v>
      </c>
      <c r="G277">
        <f>SUMIFS(monthly_work_hours!$K:$K,monthly_work_hours!$A:$A,'FTE 계산'!$A277,monthly_work_hours!$F:$F,'FTE 계산'!G$2)</f>
        <v>121.6</v>
      </c>
      <c r="H277">
        <f>(SUMIFS(monthly_work_hours!$G:$G,monthly_work_hours!$A:$A,'FTE 계산'!$A277,monthly_work_hours!$F:$F,'FTE 계산'!H$2)) - (SUMIFS(monthly_work_hours!$J:$J,monthly_work_hours!$A:$A,'FTE 계산'!$A277,monthly_work_hours!$F:$F,'FTE 계산'!H$2))</f>
        <v>19</v>
      </c>
      <c r="I277">
        <f>(SUMIFS(monthly_work_hours!$G:$G,monthly_work_hours!$A:$A,'FTE 계산'!$A277,monthly_work_hours!$F:$F,'FTE 계산'!I$2)) - (SUMIFS(monthly_work_hours!$J:$J,monthly_work_hours!$A:$A,'FTE 계산'!$A277,monthly_work_hours!$F:$F,'FTE 계산'!I$2))</f>
        <v>19</v>
      </c>
      <c r="J277">
        <f>(SUMIFS(monthly_work_hours!$G:$G,monthly_work_hours!$A:$A,'FTE 계산'!$A277,monthly_work_hours!$F:$F,'FTE 계산'!J$2)) - (SUMIFS(monthly_work_hours!$J:$J,monthly_work_hours!$A:$A,'FTE 계산'!$A277,monthly_work_hours!$F:$F,'FTE 계산'!J$2))</f>
        <v>16</v>
      </c>
    </row>
    <row r="278" spans="1:10">
      <c r="A278" t="str">
        <v>G221082</v>
      </c>
      <c r="B278" t="str">
        <f>_xlfn.XLOOKUP(A278,monthly_work_hours!A:A,monthly_work_hours!B:B)</f>
        <v>정동희</v>
      </c>
      <c r="C278" t="str">
        <f>_xlfn.XLOOKUP(A278,monthly_work_hours!A:A,monthly_work_hours!C:C)</f>
        <v>SL기술지원팀</v>
      </c>
      <c r="D278" t="str">
        <f>_xlfn.XLOOKUP(A278,monthly_work_hours!A:A,monthly_work_hours!D:D)</f>
        <v>책임</v>
      </c>
      <c r="E278">
        <f>SUMIFS(monthly_work_hours!$K:$K,monthly_work_hours!$A:$A,'FTE 계산'!$A278,monthly_work_hours!$F:$F,'FTE 계산'!E$2)</f>
        <v>171.4</v>
      </c>
      <c r="F278">
        <f>SUMIFS(monthly_work_hours!$K:$K,monthly_work_hours!$A:$A,'FTE 계산'!$A278,monthly_work_hours!$F:$F,'FTE 계산'!F$2)</f>
        <v>174</v>
      </c>
      <c r="G278">
        <f>SUMIFS(monthly_work_hours!$K:$K,monthly_work_hours!$A:$A,'FTE 계산'!$A278,monthly_work_hours!$F:$F,'FTE 계산'!G$2)</f>
        <v>142.5</v>
      </c>
      <c r="H278">
        <f>(SUMIFS(monthly_work_hours!$G:$G,monthly_work_hours!$A:$A,'FTE 계산'!$A278,monthly_work_hours!$F:$F,'FTE 계산'!H$2)) - (SUMIFS(monthly_work_hours!$J:$J,monthly_work_hours!$A:$A,'FTE 계산'!$A278,monthly_work_hours!$F:$F,'FTE 계산'!H$2))</f>
        <v>17</v>
      </c>
      <c r="I278">
        <f>(SUMIFS(monthly_work_hours!$G:$G,monthly_work_hours!$A:$A,'FTE 계산'!$A278,monthly_work_hours!$F:$F,'FTE 계산'!I$2)) - (SUMIFS(monthly_work_hours!$J:$J,monthly_work_hours!$A:$A,'FTE 계산'!$A278,monthly_work_hours!$F:$F,'FTE 계산'!I$2))</f>
        <v>18</v>
      </c>
      <c r="J278">
        <f>(SUMIFS(monthly_work_hours!$G:$G,monthly_work_hours!$A:$A,'FTE 계산'!$A278,monthly_work_hours!$F:$F,'FTE 계산'!J$2)) - (SUMIFS(monthly_work_hours!$J:$J,monthly_work_hours!$A:$A,'FTE 계산'!$A278,monthly_work_hours!$F:$F,'FTE 계산'!J$2))</f>
        <v>16</v>
      </c>
    </row>
    <row r="279" spans="1:10">
      <c r="A279" t="str">
        <v>G221083</v>
      </c>
      <c r="B279" t="str">
        <f>_xlfn.XLOOKUP(A279,monthly_work_hours!A:A,monthly_work_hours!B:B)</f>
        <v>정춘섭</v>
      </c>
      <c r="C279" t="str">
        <f>_xlfn.XLOOKUP(A279,monthly_work_hours!A:A,monthly_work_hours!C:C)</f>
        <v>원가지원팀</v>
      </c>
      <c r="D279" t="str">
        <f>_xlfn.XLOOKUP(A279,monthly_work_hours!A:A,monthly_work_hours!D:D)</f>
        <v>책임</v>
      </c>
      <c r="E279">
        <f>SUMIFS(monthly_work_hours!$K:$K,monthly_work_hours!$A:$A,'FTE 계산'!$A279,monthly_work_hours!$F:$F,'FTE 계산'!E$2)</f>
        <v>233</v>
      </c>
      <c r="F279">
        <f>SUMIFS(monthly_work_hours!$K:$K,monthly_work_hours!$A:$A,'FTE 계산'!$A279,monthly_work_hours!$F:$F,'FTE 계산'!F$2)</f>
        <v>244.2</v>
      </c>
      <c r="G279">
        <f>SUMIFS(monthly_work_hours!$K:$K,monthly_work_hours!$A:$A,'FTE 계산'!$A279,monthly_work_hours!$F:$F,'FTE 계산'!G$2)</f>
        <v>152</v>
      </c>
      <c r="H279">
        <f>(SUMIFS(monthly_work_hours!$G:$G,monthly_work_hours!$A:$A,'FTE 계산'!$A279,monthly_work_hours!$F:$F,'FTE 계산'!H$2)) - (SUMIFS(monthly_work_hours!$J:$J,monthly_work_hours!$A:$A,'FTE 계산'!$A279,monthly_work_hours!$F:$F,'FTE 계산'!H$2))</f>
        <v>18</v>
      </c>
      <c r="I279">
        <f>(SUMIFS(monthly_work_hours!$G:$G,monthly_work_hours!$A:$A,'FTE 계산'!$A279,monthly_work_hours!$F:$F,'FTE 계산'!I$2)) - (SUMIFS(monthly_work_hours!$J:$J,monthly_work_hours!$A:$A,'FTE 계산'!$A279,monthly_work_hours!$F:$F,'FTE 계산'!I$2))</f>
        <v>19</v>
      </c>
      <c r="J279">
        <f>(SUMIFS(monthly_work_hours!$G:$G,monthly_work_hours!$A:$A,'FTE 계산'!$A279,monthly_work_hours!$F:$F,'FTE 계산'!J$2)) - (SUMIFS(monthly_work_hours!$J:$J,monthly_work_hours!$A:$A,'FTE 계산'!$A279,monthly_work_hours!$F:$F,'FTE 계산'!J$2))</f>
        <v>16</v>
      </c>
    </row>
    <row r="280" spans="1:10">
      <c r="A280" t="str">
        <v>G221088</v>
      </c>
      <c r="B280" t="str">
        <f>_xlfn.XLOOKUP(A280,monthly_work_hours!A:A,monthly_work_hours!B:B)</f>
        <v>김성현</v>
      </c>
      <c r="C280" t="str">
        <f>_xlfn.XLOOKUP(A280,monthly_work_hours!A:A,monthly_work_hours!C:C)</f>
        <v>IT 1팀</v>
      </c>
      <c r="D280" t="str">
        <f>_xlfn.XLOOKUP(A280,monthly_work_hours!A:A,monthly_work_hours!D:D)</f>
        <v>책임</v>
      </c>
      <c r="E280">
        <f>SUMIFS(monthly_work_hours!$K:$K,monthly_work_hours!$A:$A,'FTE 계산'!$A280,monthly_work_hours!$F:$F,'FTE 계산'!E$2)</f>
        <v>154.6</v>
      </c>
      <c r="F280">
        <f>SUMIFS(monthly_work_hours!$K:$K,monthly_work_hours!$A:$A,'FTE 계산'!$A280,monthly_work_hours!$F:$F,'FTE 계산'!F$2)</f>
        <v>242.8</v>
      </c>
      <c r="G280">
        <f>SUMIFS(monthly_work_hours!$K:$K,monthly_work_hours!$A:$A,'FTE 계산'!$A280,monthly_work_hours!$F:$F,'FTE 계산'!G$2)</f>
        <v>114.4</v>
      </c>
      <c r="H280">
        <f>(SUMIFS(monthly_work_hours!$G:$G,monthly_work_hours!$A:$A,'FTE 계산'!$A280,monthly_work_hours!$F:$F,'FTE 계산'!H$2)) - (SUMIFS(monthly_work_hours!$J:$J,monthly_work_hours!$A:$A,'FTE 계산'!$A280,monthly_work_hours!$F:$F,'FTE 계산'!H$2))</f>
        <v>18</v>
      </c>
      <c r="I280">
        <f>(SUMIFS(monthly_work_hours!$G:$G,monthly_work_hours!$A:$A,'FTE 계산'!$A280,monthly_work_hours!$F:$F,'FTE 계산'!I$2)) - (SUMIFS(monthly_work_hours!$J:$J,monthly_work_hours!$A:$A,'FTE 계산'!$A280,monthly_work_hours!$F:$F,'FTE 계산'!I$2))</f>
        <v>22</v>
      </c>
      <c r="J280">
        <f>(SUMIFS(monthly_work_hours!$G:$G,monthly_work_hours!$A:$A,'FTE 계산'!$A280,monthly_work_hours!$F:$F,'FTE 계산'!J$2)) - (SUMIFS(monthly_work_hours!$J:$J,monthly_work_hours!$A:$A,'FTE 계산'!$A280,monthly_work_hours!$F:$F,'FTE 계산'!J$2))</f>
        <v>12</v>
      </c>
    </row>
    <row r="281" spans="1:10">
      <c r="A281" t="str">
        <v>G221091</v>
      </c>
      <c r="B281" t="str">
        <f>_xlfn.XLOOKUP(A281,monthly_work_hours!A:A,monthly_work_hours!B:B)</f>
        <v>조대원</v>
      </c>
      <c r="C281" t="str">
        <f>_xlfn.XLOOKUP(A281,monthly_work_hours!A:A,monthly_work_hours!C:C)</f>
        <v>PI팀</v>
      </c>
      <c r="D281" t="str">
        <f>_xlfn.XLOOKUP(A281,monthly_work_hours!A:A,monthly_work_hours!D:D)</f>
        <v>책임</v>
      </c>
      <c r="E281">
        <f>SUMIFS(monthly_work_hours!$K:$K,monthly_work_hours!$A:$A,'FTE 계산'!$A281,monthly_work_hours!$F:$F,'FTE 계산'!E$2)</f>
        <v>195</v>
      </c>
      <c r="F281">
        <f>SUMIFS(monthly_work_hours!$K:$K,monthly_work_hours!$A:$A,'FTE 계산'!$A281,monthly_work_hours!$F:$F,'FTE 계산'!F$2)</f>
        <v>234.4</v>
      </c>
      <c r="G281">
        <f>SUMIFS(monthly_work_hours!$K:$K,monthly_work_hours!$A:$A,'FTE 계산'!$A281,monthly_work_hours!$F:$F,'FTE 계산'!G$2)</f>
        <v>145.19999999999999</v>
      </c>
      <c r="H281">
        <f>(SUMIFS(monthly_work_hours!$G:$G,monthly_work_hours!$A:$A,'FTE 계산'!$A281,monthly_work_hours!$F:$F,'FTE 계산'!H$2)) - (SUMIFS(monthly_work_hours!$J:$J,monthly_work_hours!$A:$A,'FTE 계산'!$A281,monthly_work_hours!$F:$F,'FTE 계산'!H$2))</f>
        <v>18</v>
      </c>
      <c r="I281">
        <f>(SUMIFS(monthly_work_hours!$G:$G,monthly_work_hours!$A:$A,'FTE 계산'!$A281,monthly_work_hours!$F:$F,'FTE 계산'!I$2)) - (SUMIFS(monthly_work_hours!$J:$J,monthly_work_hours!$A:$A,'FTE 계산'!$A281,monthly_work_hours!$F:$F,'FTE 계산'!I$2))</f>
        <v>23</v>
      </c>
      <c r="J281">
        <f>(SUMIFS(monthly_work_hours!$G:$G,monthly_work_hours!$A:$A,'FTE 계산'!$A281,monthly_work_hours!$F:$F,'FTE 계산'!J$2)) - (SUMIFS(monthly_work_hours!$J:$J,monthly_work_hours!$A:$A,'FTE 계산'!$A281,monthly_work_hours!$F:$F,'FTE 계산'!J$2))</f>
        <v>14</v>
      </c>
    </row>
    <row r="282" spans="1:10">
      <c r="A282" t="str">
        <v>G221093</v>
      </c>
      <c r="B282" t="str">
        <f>_xlfn.XLOOKUP(A282,monthly_work_hours!A:A,monthly_work_hours!B:B)</f>
        <v>윤좌한</v>
      </c>
      <c r="C282" t="str">
        <f>_xlfn.XLOOKUP(A282,monthly_work_hours!A:A,monthly_work_hours!C:C)</f>
        <v>IT 1팀</v>
      </c>
      <c r="D282" t="str">
        <f>_xlfn.XLOOKUP(A282,monthly_work_hours!A:A,monthly_work_hours!D:D)</f>
        <v>책임</v>
      </c>
      <c r="E282">
        <f>SUMIFS(monthly_work_hours!$K:$K,monthly_work_hours!$A:$A,'FTE 계산'!$A282,monthly_work_hours!$F:$F,'FTE 계산'!E$2)</f>
        <v>380</v>
      </c>
      <c r="F282">
        <f>SUMIFS(monthly_work_hours!$K:$K,monthly_work_hours!$A:$A,'FTE 계산'!$A282,monthly_work_hours!$F:$F,'FTE 계산'!F$2)</f>
        <v>229.6</v>
      </c>
      <c r="G282">
        <f>SUMIFS(monthly_work_hours!$K:$K,monthly_work_hours!$A:$A,'FTE 계산'!$A282,monthly_work_hours!$F:$F,'FTE 계산'!G$2)</f>
        <v>155.69999999999999</v>
      </c>
      <c r="H282">
        <f>(SUMIFS(monthly_work_hours!$G:$G,monthly_work_hours!$A:$A,'FTE 계산'!$A282,monthly_work_hours!$F:$F,'FTE 계산'!H$2)) - (SUMIFS(monthly_work_hours!$J:$J,monthly_work_hours!$A:$A,'FTE 계산'!$A282,monthly_work_hours!$F:$F,'FTE 계산'!H$2))</f>
        <v>19</v>
      </c>
      <c r="I282">
        <f>(SUMIFS(monthly_work_hours!$G:$G,monthly_work_hours!$A:$A,'FTE 계산'!$A282,monthly_work_hours!$F:$F,'FTE 계산'!I$2)) - (SUMIFS(monthly_work_hours!$J:$J,monthly_work_hours!$A:$A,'FTE 계산'!$A282,monthly_work_hours!$F:$F,'FTE 계산'!I$2))</f>
        <v>18</v>
      </c>
      <c r="J282">
        <f>(SUMIFS(monthly_work_hours!$G:$G,monthly_work_hours!$A:$A,'FTE 계산'!$A282,monthly_work_hours!$F:$F,'FTE 계산'!J$2)) - (SUMIFS(monthly_work_hours!$J:$J,monthly_work_hours!$A:$A,'FTE 계산'!$A282,monthly_work_hours!$F:$F,'FTE 계산'!J$2))</f>
        <v>17</v>
      </c>
    </row>
    <row r="283" spans="1:10">
      <c r="A283" t="str">
        <v>G221095</v>
      </c>
      <c r="B283" t="str">
        <f>_xlfn.XLOOKUP(A283,monthly_work_hours!A:A,monthly_work_hours!B:B)</f>
        <v>오현석</v>
      </c>
      <c r="C283" t="str">
        <f>_xlfn.XLOOKUP(A283,monthly_work_hours!A:A,monthly_work_hours!C:C)</f>
        <v>IT 1팀</v>
      </c>
      <c r="D283" t="str">
        <f>_xlfn.XLOOKUP(A283,monthly_work_hours!A:A,monthly_work_hours!D:D)</f>
        <v>선임</v>
      </c>
      <c r="E283">
        <f>SUMIFS(monthly_work_hours!$K:$K,monthly_work_hours!$A:$A,'FTE 계산'!$A283,monthly_work_hours!$F:$F,'FTE 계산'!E$2)</f>
        <v>253.2</v>
      </c>
      <c r="F283">
        <f>SUMIFS(monthly_work_hours!$K:$K,monthly_work_hours!$A:$A,'FTE 계산'!$A283,monthly_work_hours!$F:$F,'FTE 계산'!F$2)</f>
        <v>265.5</v>
      </c>
      <c r="G283">
        <f>SUMIFS(monthly_work_hours!$K:$K,monthly_work_hours!$A:$A,'FTE 계산'!$A283,monthly_work_hours!$F:$F,'FTE 계산'!G$2)</f>
        <v>181.6</v>
      </c>
      <c r="H283">
        <f>(SUMIFS(monthly_work_hours!$G:$G,monthly_work_hours!$A:$A,'FTE 계산'!$A283,monthly_work_hours!$F:$F,'FTE 계산'!H$2)) - (SUMIFS(monthly_work_hours!$J:$J,monthly_work_hours!$A:$A,'FTE 계산'!$A283,monthly_work_hours!$F:$F,'FTE 계산'!H$2))</f>
        <v>20</v>
      </c>
      <c r="I283">
        <f>(SUMIFS(monthly_work_hours!$G:$G,monthly_work_hours!$A:$A,'FTE 계산'!$A283,monthly_work_hours!$F:$F,'FTE 계산'!I$2)) - (SUMIFS(monthly_work_hours!$J:$J,monthly_work_hours!$A:$A,'FTE 계산'!$A283,monthly_work_hours!$F:$F,'FTE 계산'!I$2))</f>
        <v>22</v>
      </c>
      <c r="J283">
        <f>(SUMIFS(monthly_work_hours!$G:$G,monthly_work_hours!$A:$A,'FTE 계산'!$A283,monthly_work_hours!$F:$F,'FTE 계산'!J$2)) - (SUMIFS(monthly_work_hours!$J:$J,monthly_work_hours!$A:$A,'FTE 계산'!$A283,monthly_work_hours!$F:$F,'FTE 계산'!J$2))</f>
        <v>15</v>
      </c>
    </row>
    <row r="284" spans="1:10">
      <c r="A284" t="str">
        <v>G221096</v>
      </c>
      <c r="B284" t="str">
        <f>_xlfn.XLOOKUP(A284,monthly_work_hours!A:A,monthly_work_hours!B:B)</f>
        <v>박정훈</v>
      </c>
      <c r="C284" t="str">
        <f>_xlfn.XLOOKUP(A284,monthly_work_hours!A:A,monthly_work_hours!C:C)</f>
        <v>IT 1팀</v>
      </c>
      <c r="D284" t="str">
        <f>_xlfn.XLOOKUP(A284,monthly_work_hours!A:A,monthly_work_hours!D:D)</f>
        <v>선임</v>
      </c>
      <c r="E284">
        <f>SUMIFS(monthly_work_hours!$K:$K,monthly_work_hours!$A:$A,'FTE 계산'!$A284,monthly_work_hours!$F:$F,'FTE 계산'!E$2)</f>
        <v>368.7</v>
      </c>
      <c r="F284">
        <f>SUMIFS(monthly_work_hours!$K:$K,monthly_work_hours!$A:$A,'FTE 계산'!$A284,monthly_work_hours!$F:$F,'FTE 계산'!F$2)</f>
        <v>514.70000000000005</v>
      </c>
      <c r="G284">
        <f>SUMIFS(monthly_work_hours!$K:$K,monthly_work_hours!$A:$A,'FTE 계산'!$A284,monthly_work_hours!$F:$F,'FTE 계산'!G$2)</f>
        <v>363.7</v>
      </c>
      <c r="H284">
        <f>(SUMIFS(monthly_work_hours!$G:$G,monthly_work_hours!$A:$A,'FTE 계산'!$A284,monthly_work_hours!$F:$F,'FTE 계산'!H$2)) - (SUMIFS(monthly_work_hours!$J:$J,monthly_work_hours!$A:$A,'FTE 계산'!$A284,monthly_work_hours!$F:$F,'FTE 계산'!H$2))</f>
        <v>17</v>
      </c>
      <c r="I284">
        <f>(SUMIFS(monthly_work_hours!$G:$G,monthly_work_hours!$A:$A,'FTE 계산'!$A284,monthly_work_hours!$F:$F,'FTE 계산'!I$2)) - (SUMIFS(monthly_work_hours!$J:$J,monthly_work_hours!$A:$A,'FTE 계산'!$A284,monthly_work_hours!$F:$F,'FTE 계산'!I$2))</f>
        <v>20</v>
      </c>
      <c r="J284">
        <f>(SUMIFS(monthly_work_hours!$G:$G,monthly_work_hours!$A:$A,'FTE 계산'!$A284,monthly_work_hours!$F:$F,'FTE 계산'!J$2)) - (SUMIFS(monthly_work_hours!$J:$J,monthly_work_hours!$A:$A,'FTE 계산'!$A284,monthly_work_hours!$F:$F,'FTE 계산'!J$2))</f>
        <v>12</v>
      </c>
    </row>
    <row r="285" spans="1:10">
      <c r="A285" t="str">
        <v>G221102</v>
      </c>
      <c r="B285" t="str">
        <f>_xlfn.XLOOKUP(A285,monthly_work_hours!A:A,monthly_work_hours!B:B)</f>
        <v>이현</v>
      </c>
      <c r="C285" t="str">
        <f>_xlfn.XLOOKUP(A285,monthly_work_hours!A:A,monthly_work_hours!C:C)</f>
        <v>ME사업팀</v>
      </c>
      <c r="D285" t="str">
        <f>_xlfn.XLOOKUP(A285,monthly_work_hours!A:A,monthly_work_hours!D:D)</f>
        <v>책임</v>
      </c>
      <c r="E285">
        <f>SUMIFS(monthly_work_hours!$K:$K,monthly_work_hours!$A:$A,'FTE 계산'!$A285,monthly_work_hours!$F:$F,'FTE 계산'!E$2)</f>
        <v>189.6</v>
      </c>
      <c r="F285">
        <f>SUMIFS(monthly_work_hours!$K:$K,monthly_work_hours!$A:$A,'FTE 계산'!$A285,monthly_work_hours!$F:$F,'FTE 계산'!F$2)</f>
        <v>189.2</v>
      </c>
      <c r="G285">
        <f>SUMIFS(monthly_work_hours!$K:$K,monthly_work_hours!$A:$A,'FTE 계산'!$A285,monthly_work_hours!$F:$F,'FTE 계산'!G$2)</f>
        <v>163.69999999999999</v>
      </c>
      <c r="H285">
        <f>(SUMIFS(monthly_work_hours!$G:$G,monthly_work_hours!$A:$A,'FTE 계산'!$A285,monthly_work_hours!$F:$F,'FTE 계산'!H$2)) - (SUMIFS(monthly_work_hours!$J:$J,monthly_work_hours!$A:$A,'FTE 계산'!$A285,monthly_work_hours!$F:$F,'FTE 계산'!H$2))</f>
        <v>19</v>
      </c>
      <c r="I285">
        <f>(SUMIFS(monthly_work_hours!$G:$G,monthly_work_hours!$A:$A,'FTE 계산'!$A285,monthly_work_hours!$F:$F,'FTE 계산'!I$2)) - (SUMIFS(monthly_work_hours!$J:$J,monthly_work_hours!$A:$A,'FTE 계산'!$A285,monthly_work_hours!$F:$F,'FTE 계산'!I$2))</f>
        <v>18</v>
      </c>
      <c r="J285">
        <f>(SUMIFS(monthly_work_hours!$G:$G,monthly_work_hours!$A:$A,'FTE 계산'!$A285,monthly_work_hours!$F:$F,'FTE 계산'!J$2)) - (SUMIFS(monthly_work_hours!$J:$J,monthly_work_hours!$A:$A,'FTE 계산'!$A285,monthly_work_hours!$F:$F,'FTE 계산'!J$2))</f>
        <v>16</v>
      </c>
    </row>
    <row r="286" spans="1:10">
      <c r="A286" t="str">
        <v>G221103</v>
      </c>
      <c r="B286" t="str">
        <f>_xlfn.XLOOKUP(A286,monthly_work_hours!A:A,monthly_work_hours!B:B)</f>
        <v>손상형</v>
      </c>
      <c r="C286" t="str">
        <f>_xlfn.XLOOKUP(A286,monthly_work_hours!A:A,monthly_work_hours!C:C)</f>
        <v>Trans사업팀</v>
      </c>
      <c r="D286" t="str">
        <f>_xlfn.XLOOKUP(A286,monthly_work_hours!A:A,monthly_work_hours!D:D)</f>
        <v>책임</v>
      </c>
      <c r="E286">
        <f>SUMIFS(monthly_work_hours!$K:$K,monthly_work_hours!$A:$A,'FTE 계산'!$A286,monthly_work_hours!$F:$F,'FTE 계산'!E$2)</f>
        <v>105.9</v>
      </c>
      <c r="F286">
        <f>SUMIFS(monthly_work_hours!$K:$K,monthly_work_hours!$A:$A,'FTE 계산'!$A286,monthly_work_hours!$F:$F,'FTE 계산'!F$2)</f>
        <v>187.1</v>
      </c>
      <c r="G286">
        <f>SUMIFS(monthly_work_hours!$K:$K,monthly_work_hours!$A:$A,'FTE 계산'!$A286,monthly_work_hours!$F:$F,'FTE 계산'!G$2)</f>
        <v>109.6</v>
      </c>
      <c r="H286">
        <f>(SUMIFS(monthly_work_hours!$G:$G,monthly_work_hours!$A:$A,'FTE 계산'!$A286,monthly_work_hours!$F:$F,'FTE 계산'!H$2)) - (SUMIFS(monthly_work_hours!$J:$J,monthly_work_hours!$A:$A,'FTE 계산'!$A286,monthly_work_hours!$F:$F,'FTE 계산'!H$2))</f>
        <v>12</v>
      </c>
      <c r="I286">
        <f>(SUMIFS(monthly_work_hours!$G:$G,monthly_work_hours!$A:$A,'FTE 계산'!$A286,monthly_work_hours!$F:$F,'FTE 계산'!I$2)) - (SUMIFS(monthly_work_hours!$J:$J,monthly_work_hours!$A:$A,'FTE 계산'!$A286,monthly_work_hours!$F:$F,'FTE 계산'!I$2))</f>
        <v>21</v>
      </c>
      <c r="J286">
        <f>(SUMIFS(monthly_work_hours!$G:$G,monthly_work_hours!$A:$A,'FTE 계산'!$A286,monthly_work_hours!$F:$F,'FTE 계산'!J$2)) - (SUMIFS(monthly_work_hours!$J:$J,monthly_work_hours!$A:$A,'FTE 계산'!$A286,monthly_work_hours!$F:$F,'FTE 계산'!J$2))</f>
        <v>13</v>
      </c>
    </row>
    <row r="287" spans="1:10">
      <c r="A287" t="str">
        <v>G221107</v>
      </c>
      <c r="B287" t="str">
        <f>_xlfn.XLOOKUP(A287,monthly_work_hours!A:A,monthly_work_hours!B:B)</f>
        <v>정철민</v>
      </c>
      <c r="C287" t="str">
        <f>_xlfn.XLOOKUP(A287,monthly_work_hours!A:A,monthly_work_hours!C:C)</f>
        <v>IFS사업팀</v>
      </c>
      <c r="D287" t="str">
        <f>_xlfn.XLOOKUP(A287,monthly_work_hours!A:A,monthly_work_hours!D:D)</f>
        <v>책임</v>
      </c>
      <c r="E287">
        <f>SUMIFS(monthly_work_hours!$K:$K,monthly_work_hours!$A:$A,'FTE 계산'!$A287,monthly_work_hours!$F:$F,'FTE 계산'!E$2)</f>
        <v>164.2</v>
      </c>
      <c r="F287">
        <f>SUMIFS(monthly_work_hours!$K:$K,monthly_work_hours!$A:$A,'FTE 계산'!$A287,monthly_work_hours!$F:$F,'FTE 계산'!F$2)</f>
        <v>168.3</v>
      </c>
      <c r="G287">
        <f>SUMIFS(monthly_work_hours!$K:$K,monthly_work_hours!$A:$A,'FTE 계산'!$A287,monthly_work_hours!$F:$F,'FTE 계산'!G$2)</f>
        <v>135.80000000000001</v>
      </c>
      <c r="H287">
        <f>(SUMIFS(monthly_work_hours!$G:$G,monthly_work_hours!$A:$A,'FTE 계산'!$A287,monthly_work_hours!$F:$F,'FTE 계산'!H$2)) - (SUMIFS(monthly_work_hours!$J:$J,monthly_work_hours!$A:$A,'FTE 계산'!$A287,monthly_work_hours!$F:$F,'FTE 계산'!H$2))</f>
        <v>18</v>
      </c>
      <c r="I287">
        <f>(SUMIFS(monthly_work_hours!$G:$G,monthly_work_hours!$A:$A,'FTE 계산'!$A287,monthly_work_hours!$F:$F,'FTE 계산'!I$2)) - (SUMIFS(monthly_work_hours!$J:$J,monthly_work_hours!$A:$A,'FTE 계산'!$A287,monthly_work_hours!$F:$F,'FTE 계산'!I$2))</f>
        <v>21</v>
      </c>
      <c r="J287">
        <f>(SUMIFS(monthly_work_hours!$G:$G,monthly_work_hours!$A:$A,'FTE 계산'!$A287,monthly_work_hours!$F:$F,'FTE 계산'!J$2)) - (SUMIFS(monthly_work_hours!$J:$J,monthly_work_hours!$A:$A,'FTE 계산'!$A287,monthly_work_hours!$F:$F,'FTE 계산'!J$2))</f>
        <v>16</v>
      </c>
    </row>
    <row r="288" spans="1:10">
      <c r="A288" t="str">
        <v>G221109</v>
      </c>
      <c r="B288" t="str">
        <f>_xlfn.XLOOKUP(A288,monthly_work_hours!A:A,monthly_work_hours!B:B)</f>
        <v>이호서</v>
      </c>
      <c r="C288" t="str">
        <f>_xlfn.XLOOKUP(A288,monthly_work_hours!A:A,monthly_work_hours!C:C)</f>
        <v>IFS사업팀</v>
      </c>
      <c r="D288" t="str">
        <f>_xlfn.XLOOKUP(A288,monthly_work_hours!A:A,monthly_work_hours!D:D)</f>
        <v>선임</v>
      </c>
      <c r="E288">
        <f>SUMIFS(monthly_work_hours!$K:$K,monthly_work_hours!$A:$A,'FTE 계산'!$A288,monthly_work_hours!$F:$F,'FTE 계산'!E$2)</f>
        <v>160.69999999999999</v>
      </c>
      <c r="F288">
        <f>SUMIFS(monthly_work_hours!$K:$K,monthly_work_hours!$A:$A,'FTE 계산'!$A288,monthly_work_hours!$F:$F,'FTE 계산'!F$2)</f>
        <v>202.7</v>
      </c>
      <c r="G288">
        <f>SUMIFS(monthly_work_hours!$K:$K,monthly_work_hours!$A:$A,'FTE 계산'!$A288,monthly_work_hours!$F:$F,'FTE 계산'!G$2)</f>
        <v>125.3</v>
      </c>
      <c r="H288">
        <f>(SUMIFS(monthly_work_hours!$G:$G,monthly_work_hours!$A:$A,'FTE 계산'!$A288,monthly_work_hours!$F:$F,'FTE 계산'!H$2)) - (SUMIFS(monthly_work_hours!$J:$J,monthly_work_hours!$A:$A,'FTE 계산'!$A288,monthly_work_hours!$F:$F,'FTE 계산'!H$2))</f>
        <v>18</v>
      </c>
      <c r="I288">
        <f>(SUMIFS(monthly_work_hours!$G:$G,monthly_work_hours!$A:$A,'FTE 계산'!$A288,monthly_work_hours!$F:$F,'FTE 계산'!I$2)) - (SUMIFS(monthly_work_hours!$J:$J,monthly_work_hours!$A:$A,'FTE 계산'!$A288,monthly_work_hours!$F:$F,'FTE 계산'!I$2))</f>
        <v>22</v>
      </c>
      <c r="J288">
        <f>(SUMIFS(monthly_work_hours!$G:$G,monthly_work_hours!$A:$A,'FTE 계산'!$A288,monthly_work_hours!$F:$F,'FTE 계산'!J$2)) - (SUMIFS(monthly_work_hours!$J:$J,monthly_work_hours!$A:$A,'FTE 계산'!$A288,monthly_work_hours!$F:$F,'FTE 계산'!J$2))</f>
        <v>15</v>
      </c>
    </row>
    <row r="289" spans="1:10">
      <c r="A289" t="str">
        <v>G221116</v>
      </c>
      <c r="B289" t="str">
        <f>_xlfn.XLOOKUP(A289,monthly_work_hours!A:A,monthly_work_hours!B:B)</f>
        <v>하종성</v>
      </c>
      <c r="C289" t="str">
        <f>_xlfn.XLOOKUP(A289,monthly_work_hours!A:A,monthly_work_hours!C:C)</f>
        <v>ME사업팀</v>
      </c>
      <c r="D289" t="str">
        <f>_xlfn.XLOOKUP(A289,monthly_work_hours!A:A,monthly_work_hours!D:D)</f>
        <v>선임</v>
      </c>
      <c r="E289">
        <f>SUMIFS(monthly_work_hours!$K:$K,monthly_work_hours!$A:$A,'FTE 계산'!$A289,monthly_work_hours!$F:$F,'FTE 계산'!E$2)</f>
        <v>173.2</v>
      </c>
      <c r="F289">
        <f>SUMIFS(monthly_work_hours!$K:$K,monthly_work_hours!$A:$A,'FTE 계산'!$A289,monthly_work_hours!$F:$F,'FTE 계산'!F$2)</f>
        <v>182.3</v>
      </c>
      <c r="G289">
        <f>SUMIFS(monthly_work_hours!$K:$K,monthly_work_hours!$A:$A,'FTE 계산'!$A289,monthly_work_hours!$F:$F,'FTE 계산'!G$2)</f>
        <v>117.8</v>
      </c>
      <c r="H289">
        <f>(SUMIFS(monthly_work_hours!$G:$G,monthly_work_hours!$A:$A,'FTE 계산'!$A289,monthly_work_hours!$F:$F,'FTE 계산'!H$2)) - (SUMIFS(monthly_work_hours!$J:$J,monthly_work_hours!$A:$A,'FTE 계산'!$A289,monthly_work_hours!$F:$F,'FTE 계산'!H$2))</f>
        <v>18</v>
      </c>
      <c r="I289">
        <f>(SUMIFS(monthly_work_hours!$G:$G,monthly_work_hours!$A:$A,'FTE 계산'!$A289,monthly_work_hours!$F:$F,'FTE 계산'!I$2)) - (SUMIFS(monthly_work_hours!$J:$J,monthly_work_hours!$A:$A,'FTE 계산'!$A289,monthly_work_hours!$F:$F,'FTE 계산'!I$2))</f>
        <v>18</v>
      </c>
      <c r="J289">
        <f>(SUMIFS(monthly_work_hours!$G:$G,monthly_work_hours!$A:$A,'FTE 계산'!$A289,monthly_work_hours!$F:$F,'FTE 계산'!J$2)) - (SUMIFS(monthly_work_hours!$J:$J,monthly_work_hours!$A:$A,'FTE 계산'!$A289,monthly_work_hours!$F:$F,'FTE 계산'!J$2))</f>
        <v>14</v>
      </c>
    </row>
    <row r="290" spans="1:10">
      <c r="A290" t="str">
        <v>G221119</v>
      </c>
      <c r="B290" t="str">
        <f>_xlfn.XLOOKUP(A290,monthly_work_hours!A:A,monthly_work_hours!B:B)</f>
        <v>이재문</v>
      </c>
      <c r="C290" t="str">
        <f>_xlfn.XLOOKUP(A290,monthly_work_hours!A:A,monthly_work_hours!C:C)</f>
        <v>인더스트리얼 설계개발팀</v>
      </c>
      <c r="D290" t="str">
        <f>_xlfn.XLOOKUP(A290,monthly_work_hours!A:A,monthly_work_hours!D:D)</f>
        <v>선임</v>
      </c>
      <c r="E290">
        <f>SUMIFS(monthly_work_hours!$K:$K,monthly_work_hours!$A:$A,'FTE 계산'!$A290,monthly_work_hours!$F:$F,'FTE 계산'!E$2)</f>
        <v>173.5</v>
      </c>
      <c r="F290">
        <f>SUMIFS(monthly_work_hours!$K:$K,monthly_work_hours!$A:$A,'FTE 계산'!$A290,monthly_work_hours!$F:$F,'FTE 계산'!F$2)</f>
        <v>152</v>
      </c>
      <c r="G290">
        <f>SUMIFS(monthly_work_hours!$K:$K,monthly_work_hours!$A:$A,'FTE 계산'!$A290,monthly_work_hours!$F:$F,'FTE 계산'!G$2)</f>
        <v>119.1</v>
      </c>
      <c r="H290">
        <f>(SUMIFS(monthly_work_hours!$G:$G,monthly_work_hours!$A:$A,'FTE 계산'!$A290,monthly_work_hours!$F:$F,'FTE 계산'!H$2)) - (SUMIFS(monthly_work_hours!$J:$J,monthly_work_hours!$A:$A,'FTE 계산'!$A290,monthly_work_hours!$F:$F,'FTE 계산'!H$2))</f>
        <v>17</v>
      </c>
      <c r="I290">
        <f>(SUMIFS(monthly_work_hours!$G:$G,monthly_work_hours!$A:$A,'FTE 계산'!$A290,monthly_work_hours!$F:$F,'FTE 계산'!I$2)) - (SUMIFS(monthly_work_hours!$J:$J,monthly_work_hours!$A:$A,'FTE 계산'!$A290,monthly_work_hours!$F:$F,'FTE 계산'!I$2))</f>
        <v>16</v>
      </c>
      <c r="J290">
        <f>(SUMIFS(monthly_work_hours!$G:$G,monthly_work_hours!$A:$A,'FTE 계산'!$A290,monthly_work_hours!$F:$F,'FTE 계산'!J$2)) - (SUMIFS(monthly_work_hours!$J:$J,monthly_work_hours!$A:$A,'FTE 계산'!$A290,monthly_work_hours!$F:$F,'FTE 계산'!J$2))</f>
        <v>14</v>
      </c>
    </row>
    <row r="291" spans="1:10">
      <c r="A291" t="str">
        <v>G221122</v>
      </c>
      <c r="B291" t="str">
        <f>_xlfn.XLOOKUP(A291,monthly_work_hours!A:A,monthly_work_hours!B:B)</f>
        <v>김철희</v>
      </c>
      <c r="C291" t="str">
        <f>_xlfn.XLOOKUP(A291,monthly_work_hours!A:A,monthly_work_hours!C:C)</f>
        <v>IFS사업팀</v>
      </c>
      <c r="D291" t="str">
        <f>_xlfn.XLOOKUP(A291,monthly_work_hours!A:A,monthly_work_hours!D:D)</f>
        <v>책임</v>
      </c>
      <c r="E291">
        <f>SUMIFS(monthly_work_hours!$K:$K,monthly_work_hours!$A:$A,'FTE 계산'!$A291,monthly_work_hours!$F:$F,'FTE 계산'!E$2)</f>
        <v>135</v>
      </c>
      <c r="F291">
        <f>SUMIFS(monthly_work_hours!$K:$K,monthly_work_hours!$A:$A,'FTE 계산'!$A291,monthly_work_hours!$F:$F,'FTE 계산'!F$2)</f>
        <v>183</v>
      </c>
      <c r="G291">
        <f>SUMIFS(monthly_work_hours!$K:$K,monthly_work_hours!$A:$A,'FTE 계산'!$A291,monthly_work_hours!$F:$F,'FTE 계산'!G$2)</f>
        <v>159</v>
      </c>
      <c r="H291">
        <f>(SUMIFS(monthly_work_hours!$G:$G,monthly_work_hours!$A:$A,'FTE 계산'!$A291,monthly_work_hours!$F:$F,'FTE 계산'!H$2)) - (SUMIFS(monthly_work_hours!$J:$J,monthly_work_hours!$A:$A,'FTE 계산'!$A291,monthly_work_hours!$F:$F,'FTE 계산'!H$2))</f>
        <v>13</v>
      </c>
      <c r="I291">
        <f>(SUMIFS(monthly_work_hours!$G:$G,monthly_work_hours!$A:$A,'FTE 계산'!$A291,monthly_work_hours!$F:$F,'FTE 계산'!I$2)) - (SUMIFS(monthly_work_hours!$J:$J,monthly_work_hours!$A:$A,'FTE 계산'!$A291,monthly_work_hours!$F:$F,'FTE 계산'!I$2))</f>
        <v>18</v>
      </c>
      <c r="J291">
        <f>(SUMIFS(monthly_work_hours!$G:$G,monthly_work_hours!$A:$A,'FTE 계산'!$A291,monthly_work_hours!$F:$F,'FTE 계산'!J$2)) - (SUMIFS(monthly_work_hours!$J:$J,monthly_work_hours!$A:$A,'FTE 계산'!$A291,monthly_work_hours!$F:$F,'FTE 계산'!J$2))</f>
        <v>17</v>
      </c>
    </row>
    <row r="292" spans="1:10">
      <c r="A292" t="str">
        <v>G221123</v>
      </c>
      <c r="B292" t="str">
        <f>_xlfn.XLOOKUP(A292,monthly_work_hours!A:A,monthly_work_hours!B:B)</f>
        <v>안성진</v>
      </c>
      <c r="C292" t="str">
        <f>_xlfn.XLOOKUP(A292,monthly_work_hours!A:A,monthly_work_hours!C:C)</f>
        <v>Trans사업팀</v>
      </c>
      <c r="D292" t="str">
        <f>_xlfn.XLOOKUP(A292,monthly_work_hours!A:A,monthly_work_hours!D:D)</f>
        <v>책임</v>
      </c>
      <c r="E292">
        <f>SUMIFS(monthly_work_hours!$K:$K,monthly_work_hours!$A:$A,'FTE 계산'!$A292,monthly_work_hours!$F:$F,'FTE 계산'!E$2)</f>
        <v>208</v>
      </c>
      <c r="F292">
        <f>SUMIFS(monthly_work_hours!$K:$K,monthly_work_hours!$A:$A,'FTE 계산'!$A292,monthly_work_hours!$F:$F,'FTE 계산'!F$2)</f>
        <v>209.7</v>
      </c>
      <c r="G292">
        <f>SUMIFS(monthly_work_hours!$K:$K,monthly_work_hours!$A:$A,'FTE 계산'!$A292,monthly_work_hours!$F:$F,'FTE 계산'!G$2)</f>
        <v>152.80000000000001</v>
      </c>
      <c r="H292">
        <f>(SUMIFS(monthly_work_hours!$G:$G,monthly_work_hours!$A:$A,'FTE 계산'!$A292,monthly_work_hours!$F:$F,'FTE 계산'!H$2)) - (SUMIFS(monthly_work_hours!$J:$J,monthly_work_hours!$A:$A,'FTE 계산'!$A292,monthly_work_hours!$F:$F,'FTE 계산'!H$2))</f>
        <v>20</v>
      </c>
      <c r="I292">
        <f>(SUMIFS(monthly_work_hours!$G:$G,monthly_work_hours!$A:$A,'FTE 계산'!$A292,monthly_work_hours!$F:$F,'FTE 계산'!I$2)) - (SUMIFS(monthly_work_hours!$J:$J,monthly_work_hours!$A:$A,'FTE 계산'!$A292,monthly_work_hours!$F:$F,'FTE 계산'!I$2))</f>
        <v>21</v>
      </c>
      <c r="J292">
        <f>(SUMIFS(monthly_work_hours!$G:$G,monthly_work_hours!$A:$A,'FTE 계산'!$A292,monthly_work_hours!$F:$F,'FTE 계산'!J$2)) - (SUMIFS(monthly_work_hours!$J:$J,monthly_work_hours!$A:$A,'FTE 계산'!$A292,monthly_work_hours!$F:$F,'FTE 계산'!J$2))</f>
        <v>15</v>
      </c>
    </row>
    <row r="293" spans="1:10">
      <c r="A293" t="str">
        <v>G221124</v>
      </c>
      <c r="B293" t="str">
        <f>_xlfn.XLOOKUP(A293,monthly_work_hours!A:A,monthly_work_hours!B:B)</f>
        <v>변성화</v>
      </c>
      <c r="C293" t="str">
        <f>_xlfn.XLOOKUP(A293,monthly_work_hours!A:A,monthly_work_hours!C:C)</f>
        <v>IFS사업팀</v>
      </c>
      <c r="D293" t="str">
        <f>_xlfn.XLOOKUP(A293,monthly_work_hours!A:A,monthly_work_hours!D:D)</f>
        <v>선임</v>
      </c>
      <c r="E293">
        <f>SUMIFS(monthly_work_hours!$K:$K,monthly_work_hours!$A:$A,'FTE 계산'!$A293,monthly_work_hours!$F:$F,'FTE 계산'!E$2)</f>
        <v>157.1</v>
      </c>
      <c r="F293">
        <f>SUMIFS(monthly_work_hours!$K:$K,monthly_work_hours!$A:$A,'FTE 계산'!$A293,monthly_work_hours!$F:$F,'FTE 계산'!F$2)</f>
        <v>207.9</v>
      </c>
      <c r="G293">
        <f>SUMIFS(monthly_work_hours!$K:$K,monthly_work_hours!$A:$A,'FTE 계산'!$A293,monthly_work_hours!$F:$F,'FTE 계산'!G$2)</f>
        <v>140.4</v>
      </c>
      <c r="H293">
        <f>(SUMIFS(monthly_work_hours!$G:$G,monthly_work_hours!$A:$A,'FTE 계산'!$A293,monthly_work_hours!$F:$F,'FTE 계산'!H$2)) - (SUMIFS(monthly_work_hours!$J:$J,monthly_work_hours!$A:$A,'FTE 계산'!$A293,monthly_work_hours!$F:$F,'FTE 계산'!H$2))</f>
        <v>17</v>
      </c>
      <c r="I293">
        <f>(SUMIFS(monthly_work_hours!$G:$G,monthly_work_hours!$A:$A,'FTE 계산'!$A293,monthly_work_hours!$F:$F,'FTE 계산'!I$2)) - (SUMIFS(monthly_work_hours!$J:$J,monthly_work_hours!$A:$A,'FTE 계산'!$A293,monthly_work_hours!$F:$F,'FTE 계산'!I$2))</f>
        <v>22</v>
      </c>
      <c r="J293">
        <f>(SUMIFS(monthly_work_hours!$G:$G,monthly_work_hours!$A:$A,'FTE 계산'!$A293,monthly_work_hours!$F:$F,'FTE 계산'!J$2)) - (SUMIFS(monthly_work_hours!$J:$J,monthly_work_hours!$A:$A,'FTE 계산'!$A293,monthly_work_hours!$F:$F,'FTE 계산'!J$2))</f>
        <v>17</v>
      </c>
    </row>
    <row r="294" spans="1:10">
      <c r="A294" t="str">
        <v>G221126</v>
      </c>
      <c r="B294" t="str">
        <f>_xlfn.XLOOKUP(A294,monthly_work_hours!A:A,monthly_work_hours!B:B)</f>
        <v>정재록</v>
      </c>
      <c r="C294" t="str">
        <f>_xlfn.XLOOKUP(A294,monthly_work_hours!A:A,monthly_work_hours!C:C)</f>
        <v>Trans사업팀</v>
      </c>
      <c r="D294" t="str">
        <f>_xlfn.XLOOKUP(A294,monthly_work_hours!A:A,monthly_work_hours!D:D)</f>
        <v>선임</v>
      </c>
      <c r="E294">
        <f>SUMIFS(monthly_work_hours!$K:$K,monthly_work_hours!$A:$A,'FTE 계산'!$A294,monthly_work_hours!$F:$F,'FTE 계산'!E$2)</f>
        <v>184</v>
      </c>
      <c r="F294">
        <f>SUMIFS(monthly_work_hours!$K:$K,monthly_work_hours!$A:$A,'FTE 계산'!$A294,monthly_work_hours!$F:$F,'FTE 계산'!F$2)</f>
        <v>176.5</v>
      </c>
      <c r="G294">
        <f>SUMIFS(monthly_work_hours!$K:$K,monthly_work_hours!$A:$A,'FTE 계산'!$A294,monthly_work_hours!$F:$F,'FTE 계산'!G$2)</f>
        <v>136</v>
      </c>
      <c r="H294">
        <f>(SUMIFS(monthly_work_hours!$G:$G,monthly_work_hours!$A:$A,'FTE 계산'!$A294,monthly_work_hours!$F:$F,'FTE 계산'!H$2)) - (SUMIFS(monthly_work_hours!$J:$J,monthly_work_hours!$A:$A,'FTE 계산'!$A294,monthly_work_hours!$F:$F,'FTE 계산'!H$2))</f>
        <v>18</v>
      </c>
      <c r="I294">
        <f>(SUMIFS(monthly_work_hours!$G:$G,monthly_work_hours!$A:$A,'FTE 계산'!$A294,monthly_work_hours!$F:$F,'FTE 계산'!I$2)) - (SUMIFS(monthly_work_hours!$J:$J,monthly_work_hours!$A:$A,'FTE 계산'!$A294,monthly_work_hours!$F:$F,'FTE 계산'!I$2))</f>
        <v>19</v>
      </c>
      <c r="J294">
        <f>(SUMIFS(monthly_work_hours!$G:$G,monthly_work_hours!$A:$A,'FTE 계산'!$A294,monthly_work_hours!$F:$F,'FTE 계산'!J$2)) - (SUMIFS(monthly_work_hours!$J:$J,monthly_work_hours!$A:$A,'FTE 계산'!$A294,monthly_work_hours!$F:$F,'FTE 계산'!J$2))</f>
        <v>15</v>
      </c>
    </row>
    <row r="295" spans="1:10">
      <c r="A295" t="str">
        <v>G221129</v>
      </c>
      <c r="B295" t="str">
        <f>_xlfn.XLOOKUP(A295,monthly_work_hours!A:A,monthly_work_hours!B:B)</f>
        <v>정수일</v>
      </c>
      <c r="C295" t="str">
        <f>_xlfn.XLOOKUP(A295,monthly_work_hours!A:A,monthly_work_hours!C:C)</f>
        <v>GS팀</v>
      </c>
      <c r="D295" t="str">
        <f>_xlfn.XLOOKUP(A295,monthly_work_hours!A:A,monthly_work_hours!D:D)</f>
        <v>책임</v>
      </c>
      <c r="E295">
        <f>SUMIFS(monthly_work_hours!$K:$K,monthly_work_hours!$A:$A,'FTE 계산'!$A295,monthly_work_hours!$F:$F,'FTE 계산'!E$2)</f>
        <v>156.1</v>
      </c>
      <c r="F295">
        <f>SUMIFS(monthly_work_hours!$K:$K,monthly_work_hours!$A:$A,'FTE 계산'!$A295,monthly_work_hours!$F:$F,'FTE 계산'!F$2)</f>
        <v>206.3</v>
      </c>
      <c r="G295">
        <f>SUMIFS(monthly_work_hours!$K:$K,monthly_work_hours!$A:$A,'FTE 계산'!$A295,monthly_work_hours!$F:$F,'FTE 계산'!G$2)</f>
        <v>138.19999999999999</v>
      </c>
      <c r="H295">
        <f>(SUMIFS(monthly_work_hours!$G:$G,monthly_work_hours!$A:$A,'FTE 계산'!$A295,monthly_work_hours!$F:$F,'FTE 계산'!H$2)) - (SUMIFS(monthly_work_hours!$J:$J,monthly_work_hours!$A:$A,'FTE 계산'!$A295,monthly_work_hours!$F:$F,'FTE 계산'!H$2))</f>
        <v>15</v>
      </c>
      <c r="I295">
        <f>(SUMIFS(monthly_work_hours!$G:$G,monthly_work_hours!$A:$A,'FTE 계산'!$A295,monthly_work_hours!$F:$F,'FTE 계산'!I$2)) - (SUMIFS(monthly_work_hours!$J:$J,monthly_work_hours!$A:$A,'FTE 계산'!$A295,monthly_work_hours!$F:$F,'FTE 계산'!I$2))</f>
        <v>21</v>
      </c>
      <c r="J295">
        <f>(SUMIFS(monthly_work_hours!$G:$G,monthly_work_hours!$A:$A,'FTE 계산'!$A295,monthly_work_hours!$F:$F,'FTE 계산'!J$2)) - (SUMIFS(monthly_work_hours!$J:$J,monthly_work_hours!$A:$A,'FTE 계산'!$A295,monthly_work_hours!$F:$F,'FTE 계산'!J$2))</f>
        <v>16</v>
      </c>
    </row>
    <row r="296" spans="1:10">
      <c r="A296" t="str">
        <v>G221132</v>
      </c>
      <c r="B296" t="str">
        <f>_xlfn.XLOOKUP(A296,monthly_work_hours!A:A,monthly_work_hours!B:B)</f>
        <v>김기원</v>
      </c>
      <c r="C296" t="str">
        <f>_xlfn.XLOOKUP(A296,monthly_work_hours!A:A,monthly_work_hours!C:C)</f>
        <v>GS팀</v>
      </c>
      <c r="D296" t="str">
        <f>_xlfn.XLOOKUP(A296,monthly_work_hours!A:A,monthly_work_hours!D:D)</f>
        <v>선임</v>
      </c>
      <c r="E296">
        <f>SUMIFS(monthly_work_hours!$K:$K,monthly_work_hours!$A:$A,'FTE 계산'!$A296,monthly_work_hours!$F:$F,'FTE 계산'!E$2)</f>
        <v>166.9</v>
      </c>
      <c r="F296">
        <f>SUMIFS(monthly_work_hours!$K:$K,monthly_work_hours!$A:$A,'FTE 계산'!$A296,monthly_work_hours!$F:$F,'FTE 계산'!F$2)</f>
        <v>212.6</v>
      </c>
      <c r="G296">
        <f>SUMIFS(monthly_work_hours!$K:$K,monthly_work_hours!$A:$A,'FTE 계산'!$A296,monthly_work_hours!$F:$F,'FTE 계산'!G$2)</f>
        <v>106</v>
      </c>
      <c r="H296">
        <f>(SUMIFS(monthly_work_hours!$G:$G,monthly_work_hours!$A:$A,'FTE 계산'!$A296,monthly_work_hours!$F:$F,'FTE 계산'!H$2)) - (SUMIFS(monthly_work_hours!$J:$J,monthly_work_hours!$A:$A,'FTE 계산'!$A296,monthly_work_hours!$F:$F,'FTE 계산'!H$2))</f>
        <v>16</v>
      </c>
      <c r="I296">
        <f>(SUMIFS(monthly_work_hours!$G:$G,monthly_work_hours!$A:$A,'FTE 계산'!$A296,monthly_work_hours!$F:$F,'FTE 계산'!I$2)) - (SUMIFS(monthly_work_hours!$J:$J,monthly_work_hours!$A:$A,'FTE 계산'!$A296,monthly_work_hours!$F:$F,'FTE 계산'!I$2))</f>
        <v>22</v>
      </c>
      <c r="J296">
        <f>(SUMIFS(monthly_work_hours!$G:$G,monthly_work_hours!$A:$A,'FTE 계산'!$A296,monthly_work_hours!$F:$F,'FTE 계산'!J$2)) - (SUMIFS(monthly_work_hours!$J:$J,monthly_work_hours!$A:$A,'FTE 계산'!$A296,monthly_work_hours!$F:$F,'FTE 계산'!J$2))</f>
        <v>14</v>
      </c>
    </row>
    <row r="297" spans="1:10">
      <c r="A297" t="str">
        <v>G221133</v>
      </c>
      <c r="B297" t="str">
        <f>_xlfn.XLOOKUP(A297,monthly_work_hours!A:A,monthly_work_hours!B:B)</f>
        <v>김법윤</v>
      </c>
      <c r="C297" t="str">
        <f>_xlfn.XLOOKUP(A297,monthly_work_hours!A:A,monthly_work_hours!C:C)</f>
        <v>품질관리팀</v>
      </c>
      <c r="D297" t="str">
        <f>_xlfn.XLOOKUP(A297,monthly_work_hours!A:A,monthly_work_hours!D:D)</f>
        <v>선임</v>
      </c>
      <c r="E297">
        <f>SUMIFS(monthly_work_hours!$K:$K,monthly_work_hours!$A:$A,'FTE 계산'!$A297,monthly_work_hours!$F:$F,'FTE 계산'!E$2)</f>
        <v>145.19999999999999</v>
      </c>
      <c r="F297">
        <f>SUMIFS(monthly_work_hours!$K:$K,monthly_work_hours!$A:$A,'FTE 계산'!$A297,monthly_work_hours!$F:$F,'FTE 계산'!F$2)</f>
        <v>194.6</v>
      </c>
      <c r="G297">
        <f>SUMIFS(monthly_work_hours!$K:$K,monthly_work_hours!$A:$A,'FTE 계산'!$A297,monthly_work_hours!$F:$F,'FTE 계산'!G$2)</f>
        <v>98.1</v>
      </c>
      <c r="H297">
        <f>(SUMIFS(monthly_work_hours!$G:$G,monthly_work_hours!$A:$A,'FTE 계산'!$A297,monthly_work_hours!$F:$F,'FTE 계산'!H$2)) - (SUMIFS(monthly_work_hours!$J:$J,monthly_work_hours!$A:$A,'FTE 계산'!$A297,monthly_work_hours!$F:$F,'FTE 계산'!H$2))</f>
        <v>16</v>
      </c>
      <c r="I297">
        <f>(SUMIFS(monthly_work_hours!$G:$G,monthly_work_hours!$A:$A,'FTE 계산'!$A297,monthly_work_hours!$F:$F,'FTE 계산'!I$2)) - (SUMIFS(monthly_work_hours!$J:$J,monthly_work_hours!$A:$A,'FTE 계산'!$A297,monthly_work_hours!$F:$F,'FTE 계산'!I$2))</f>
        <v>22</v>
      </c>
      <c r="J297">
        <f>(SUMIFS(monthly_work_hours!$G:$G,monthly_work_hours!$A:$A,'FTE 계산'!$A297,monthly_work_hours!$F:$F,'FTE 계산'!J$2)) - (SUMIFS(monthly_work_hours!$J:$J,monthly_work_hours!$A:$A,'FTE 계산'!$A297,monthly_work_hours!$F:$F,'FTE 계산'!J$2))</f>
        <v>15</v>
      </c>
    </row>
    <row r="298" spans="1:10">
      <c r="A298" t="str">
        <v>G221134</v>
      </c>
      <c r="B298" t="str">
        <f>_xlfn.XLOOKUP(A298,monthly_work_hours!A:A,monthly_work_hours!B:B)</f>
        <v>김용하</v>
      </c>
      <c r="C298" t="str">
        <f>_xlfn.XLOOKUP(A298,monthly_work_hours!A:A,monthly_work_hours!C:C)</f>
        <v>ME사업팀</v>
      </c>
      <c r="D298" t="str">
        <f>_xlfn.XLOOKUP(A298,monthly_work_hours!A:A,monthly_work_hours!D:D)</f>
        <v>선임</v>
      </c>
      <c r="E298">
        <f>SUMIFS(monthly_work_hours!$K:$K,monthly_work_hours!$A:$A,'FTE 계산'!$A298,monthly_work_hours!$F:$F,'FTE 계산'!E$2)</f>
        <v>157.1</v>
      </c>
      <c r="F298">
        <f>SUMIFS(monthly_work_hours!$K:$K,monthly_work_hours!$A:$A,'FTE 계산'!$A298,monthly_work_hours!$F:$F,'FTE 계산'!F$2)</f>
        <v>173.4</v>
      </c>
      <c r="G298">
        <f>SUMIFS(monthly_work_hours!$K:$K,monthly_work_hours!$A:$A,'FTE 계산'!$A298,monthly_work_hours!$F:$F,'FTE 계산'!G$2)</f>
        <v>112.8</v>
      </c>
      <c r="H298">
        <f>(SUMIFS(monthly_work_hours!$G:$G,monthly_work_hours!$A:$A,'FTE 계산'!$A298,monthly_work_hours!$F:$F,'FTE 계산'!H$2)) - (SUMIFS(monthly_work_hours!$J:$J,monthly_work_hours!$A:$A,'FTE 계산'!$A298,monthly_work_hours!$F:$F,'FTE 계산'!H$2))</f>
        <v>17</v>
      </c>
      <c r="I298">
        <f>(SUMIFS(monthly_work_hours!$G:$G,monthly_work_hours!$A:$A,'FTE 계산'!$A298,monthly_work_hours!$F:$F,'FTE 계산'!I$2)) - (SUMIFS(monthly_work_hours!$J:$J,monthly_work_hours!$A:$A,'FTE 계산'!$A298,monthly_work_hours!$F:$F,'FTE 계산'!I$2))</f>
        <v>21</v>
      </c>
      <c r="J298">
        <f>(SUMIFS(monthly_work_hours!$G:$G,monthly_work_hours!$A:$A,'FTE 계산'!$A298,monthly_work_hours!$F:$F,'FTE 계산'!J$2)) - (SUMIFS(monthly_work_hours!$J:$J,monthly_work_hours!$A:$A,'FTE 계산'!$A298,monthly_work_hours!$F:$F,'FTE 계산'!J$2))</f>
        <v>14</v>
      </c>
    </row>
    <row r="299" spans="1:10">
      <c r="A299" t="str">
        <v>G221136</v>
      </c>
      <c r="B299" t="str">
        <f>_xlfn.XLOOKUP(A299,monthly_work_hours!A:A,monthly_work_hours!B:B)</f>
        <v>경우현</v>
      </c>
      <c r="C299" t="str">
        <f>_xlfn.XLOOKUP(A299,monthly_work_hours!A:A,monthly_work_hours!C:C)</f>
        <v>GS팀</v>
      </c>
      <c r="D299" t="str">
        <f>_xlfn.XLOOKUP(A299,monthly_work_hours!A:A,monthly_work_hours!D:D)</f>
        <v>책임</v>
      </c>
      <c r="E299">
        <f>SUMIFS(monthly_work_hours!$K:$K,monthly_work_hours!$A:$A,'FTE 계산'!$A299,monthly_work_hours!$F:$F,'FTE 계산'!E$2)</f>
        <v>0</v>
      </c>
      <c r="F299">
        <f>SUMIFS(monthly_work_hours!$K:$K,monthly_work_hours!$A:$A,'FTE 계산'!$A299,monthly_work_hours!$F:$F,'FTE 계산'!F$2)</f>
        <v>0.3</v>
      </c>
      <c r="G299">
        <f>SUMIFS(monthly_work_hours!$K:$K,monthly_work_hours!$A:$A,'FTE 계산'!$A299,monthly_work_hours!$F:$F,'FTE 계산'!G$2)</f>
        <v>0</v>
      </c>
      <c r="H299">
        <f>(SUMIFS(monthly_work_hours!$G:$G,monthly_work_hours!$A:$A,'FTE 계산'!$A299,monthly_work_hours!$F:$F,'FTE 계산'!H$2)) - (SUMIFS(monthly_work_hours!$J:$J,monthly_work_hours!$A:$A,'FTE 계산'!$A299,monthly_work_hours!$F:$F,'FTE 계산'!H$2))</f>
        <v>1</v>
      </c>
      <c r="I299">
        <f>(SUMIFS(monthly_work_hours!$G:$G,monthly_work_hours!$A:$A,'FTE 계산'!$A299,monthly_work_hours!$F:$F,'FTE 계산'!I$2)) - (SUMIFS(monthly_work_hours!$J:$J,monthly_work_hours!$A:$A,'FTE 계산'!$A299,monthly_work_hours!$F:$F,'FTE 계산'!I$2))</f>
        <v>3</v>
      </c>
      <c r="J299">
        <f>(SUMIFS(monthly_work_hours!$G:$G,monthly_work_hours!$A:$A,'FTE 계산'!$A299,monthly_work_hours!$F:$F,'FTE 계산'!J$2)) - (SUMIFS(monthly_work_hours!$J:$J,monthly_work_hours!$A:$A,'FTE 계산'!$A299,monthly_work_hours!$F:$F,'FTE 계산'!J$2))</f>
        <v>0</v>
      </c>
    </row>
    <row r="300" spans="1:10">
      <c r="A300" t="str">
        <v>G221138</v>
      </c>
      <c r="B300" t="str">
        <f>_xlfn.XLOOKUP(A300,monthly_work_hours!A:A,monthly_work_hours!B:B)</f>
        <v>정범준</v>
      </c>
      <c r="C300" t="str">
        <f>_xlfn.XLOOKUP(A300,monthly_work_hours!A:A,monthly_work_hours!C:C)</f>
        <v>GS팀</v>
      </c>
      <c r="D300" t="str">
        <f>_xlfn.XLOOKUP(A300,monthly_work_hours!A:A,monthly_work_hours!D:D)</f>
        <v>선임</v>
      </c>
      <c r="E300">
        <f>SUMIFS(monthly_work_hours!$K:$K,monthly_work_hours!$A:$A,'FTE 계산'!$A300,monthly_work_hours!$F:$F,'FTE 계산'!E$2)</f>
        <v>173.2</v>
      </c>
      <c r="F300">
        <f>SUMIFS(monthly_work_hours!$K:$K,monthly_work_hours!$A:$A,'FTE 계산'!$A300,monthly_work_hours!$F:$F,'FTE 계산'!F$2)</f>
        <v>210</v>
      </c>
      <c r="G300">
        <f>SUMIFS(monthly_work_hours!$K:$K,monthly_work_hours!$A:$A,'FTE 계산'!$A300,monthly_work_hours!$F:$F,'FTE 계산'!G$2)</f>
        <v>110.8</v>
      </c>
      <c r="H300">
        <f>(SUMIFS(monthly_work_hours!$G:$G,monthly_work_hours!$A:$A,'FTE 계산'!$A300,monthly_work_hours!$F:$F,'FTE 계산'!H$2)) - (SUMIFS(monthly_work_hours!$J:$J,monthly_work_hours!$A:$A,'FTE 계산'!$A300,monthly_work_hours!$F:$F,'FTE 계산'!H$2))</f>
        <v>16</v>
      </c>
      <c r="I300">
        <f>(SUMIFS(monthly_work_hours!$G:$G,monthly_work_hours!$A:$A,'FTE 계산'!$A300,monthly_work_hours!$F:$F,'FTE 계산'!I$2)) - (SUMIFS(monthly_work_hours!$J:$J,monthly_work_hours!$A:$A,'FTE 계산'!$A300,monthly_work_hours!$F:$F,'FTE 계산'!I$2))</f>
        <v>21</v>
      </c>
      <c r="J300">
        <f>(SUMIFS(monthly_work_hours!$G:$G,monthly_work_hours!$A:$A,'FTE 계산'!$A300,monthly_work_hours!$F:$F,'FTE 계산'!J$2)) - (SUMIFS(monthly_work_hours!$J:$J,monthly_work_hours!$A:$A,'FTE 계산'!$A300,monthly_work_hours!$F:$F,'FTE 계산'!J$2))</f>
        <v>11</v>
      </c>
    </row>
    <row r="301" spans="1:10">
      <c r="A301" t="str">
        <v>G221148</v>
      </c>
      <c r="B301" t="str">
        <f>_xlfn.XLOOKUP(A301,monthly_work_hours!A:A,monthly_work_hours!B:B)</f>
        <v>강호필</v>
      </c>
      <c r="C301" t="str">
        <f>_xlfn.XLOOKUP(A301,monthly_work_hours!A:A,monthly_work_hours!C:C)</f>
        <v>FL기술지원팀</v>
      </c>
      <c r="D301" t="str">
        <f>_xlfn.XLOOKUP(A301,monthly_work_hours!A:A,monthly_work_hours!D:D)</f>
        <v>책임</v>
      </c>
      <c r="E301">
        <f>SUMIFS(monthly_work_hours!$K:$K,monthly_work_hours!$A:$A,'FTE 계산'!$A301,monthly_work_hours!$F:$F,'FTE 계산'!E$2)</f>
        <v>143.19999999999999</v>
      </c>
      <c r="F301">
        <f>SUMIFS(monthly_work_hours!$K:$K,monthly_work_hours!$A:$A,'FTE 계산'!$A301,monthly_work_hours!$F:$F,'FTE 계산'!F$2)</f>
        <v>180.6</v>
      </c>
      <c r="G301">
        <f>SUMIFS(monthly_work_hours!$K:$K,monthly_work_hours!$A:$A,'FTE 계산'!$A301,monthly_work_hours!$F:$F,'FTE 계산'!G$2)</f>
        <v>141</v>
      </c>
      <c r="H301">
        <f>(SUMIFS(monthly_work_hours!$G:$G,monthly_work_hours!$A:$A,'FTE 계산'!$A301,monthly_work_hours!$F:$F,'FTE 계산'!H$2)) - (SUMIFS(monthly_work_hours!$J:$J,monthly_work_hours!$A:$A,'FTE 계산'!$A301,monthly_work_hours!$F:$F,'FTE 계산'!H$2))</f>
        <v>15</v>
      </c>
      <c r="I301">
        <f>(SUMIFS(monthly_work_hours!$G:$G,monthly_work_hours!$A:$A,'FTE 계산'!$A301,monthly_work_hours!$F:$F,'FTE 계산'!I$2)) - (SUMIFS(monthly_work_hours!$J:$J,monthly_work_hours!$A:$A,'FTE 계산'!$A301,monthly_work_hours!$F:$F,'FTE 계산'!I$2))</f>
        <v>19</v>
      </c>
      <c r="J301">
        <f>(SUMIFS(monthly_work_hours!$G:$G,monthly_work_hours!$A:$A,'FTE 계산'!$A301,monthly_work_hours!$F:$F,'FTE 계산'!J$2)) - (SUMIFS(monthly_work_hours!$J:$J,monthly_work_hours!$A:$A,'FTE 계산'!$A301,monthly_work_hours!$F:$F,'FTE 계산'!J$2))</f>
        <v>16</v>
      </c>
    </row>
    <row r="302" spans="1:10">
      <c r="A302" t="str">
        <v>G221163</v>
      </c>
      <c r="B302" t="str">
        <f>_xlfn.XLOOKUP(A302,monthly_work_hours!A:A,monthly_work_hours!B:B)</f>
        <v>안철균</v>
      </c>
      <c r="C302" t="str">
        <f>_xlfn.XLOOKUP(A302,monthly_work_hours!A:A,monthly_work_hours!C:C)</f>
        <v>FL기술지원팀</v>
      </c>
      <c r="D302" t="str">
        <f>_xlfn.XLOOKUP(A302,monthly_work_hours!A:A,monthly_work_hours!D:D)</f>
        <v>책임</v>
      </c>
      <c r="E302">
        <f>SUMIFS(monthly_work_hours!$K:$K,monthly_work_hours!$A:$A,'FTE 계산'!$A302,monthly_work_hours!$F:$F,'FTE 계산'!E$2)</f>
        <v>194.3</v>
      </c>
      <c r="F302">
        <f>SUMIFS(monthly_work_hours!$K:$K,monthly_work_hours!$A:$A,'FTE 계산'!$A302,monthly_work_hours!$F:$F,'FTE 계산'!F$2)</f>
        <v>168.8</v>
      </c>
      <c r="G302">
        <f>SUMIFS(monthly_work_hours!$K:$K,monthly_work_hours!$A:$A,'FTE 계산'!$A302,monthly_work_hours!$F:$F,'FTE 계산'!G$2)</f>
        <v>130.80000000000001</v>
      </c>
      <c r="H302">
        <f>(SUMIFS(monthly_work_hours!$G:$G,monthly_work_hours!$A:$A,'FTE 계산'!$A302,monthly_work_hours!$F:$F,'FTE 계산'!H$2)) - (SUMIFS(monthly_work_hours!$J:$J,monthly_work_hours!$A:$A,'FTE 계산'!$A302,monthly_work_hours!$F:$F,'FTE 계산'!H$2))</f>
        <v>19</v>
      </c>
      <c r="I302">
        <f>(SUMIFS(monthly_work_hours!$G:$G,monthly_work_hours!$A:$A,'FTE 계산'!$A302,monthly_work_hours!$F:$F,'FTE 계산'!I$2)) - (SUMIFS(monthly_work_hours!$J:$J,monthly_work_hours!$A:$A,'FTE 계산'!$A302,monthly_work_hours!$F:$F,'FTE 계산'!I$2))</f>
        <v>19</v>
      </c>
      <c r="J302">
        <f>(SUMIFS(monthly_work_hours!$G:$G,monthly_work_hours!$A:$A,'FTE 계산'!$A302,monthly_work_hours!$F:$F,'FTE 계산'!J$2)) - (SUMIFS(monthly_work_hours!$J:$J,monthly_work_hours!$A:$A,'FTE 계산'!$A302,monthly_work_hours!$F:$F,'FTE 계산'!J$2))</f>
        <v>14</v>
      </c>
    </row>
    <row r="303" spans="1:10">
      <c r="A303" t="str">
        <v>G221173</v>
      </c>
      <c r="B303" t="str">
        <f>_xlfn.XLOOKUP(A303,monthly_work_hours!A:A,monthly_work_hours!B:B)</f>
        <v>강유선</v>
      </c>
      <c r="C303" t="str">
        <f>_xlfn.XLOOKUP(A303,monthly_work_hours!A:A,monthly_work_hours!C:C)</f>
        <v>PEOPLE팀</v>
      </c>
      <c r="D303" t="str">
        <f>_xlfn.XLOOKUP(A303,monthly_work_hours!A:A,monthly_work_hours!D:D)</f>
        <v>선임</v>
      </c>
      <c r="E303">
        <f>SUMIFS(monthly_work_hours!$K:$K,monthly_work_hours!$A:$A,'FTE 계산'!$A303,monthly_work_hours!$F:$F,'FTE 계산'!E$2)</f>
        <v>214.8</v>
      </c>
      <c r="F303">
        <f>SUMIFS(monthly_work_hours!$K:$K,monthly_work_hours!$A:$A,'FTE 계산'!$A303,monthly_work_hours!$F:$F,'FTE 계산'!F$2)</f>
        <v>206.6</v>
      </c>
      <c r="G303">
        <f>SUMIFS(monthly_work_hours!$K:$K,monthly_work_hours!$A:$A,'FTE 계산'!$A303,monthly_work_hours!$F:$F,'FTE 계산'!G$2)</f>
        <v>145.5</v>
      </c>
      <c r="H303">
        <f>(SUMIFS(monthly_work_hours!$G:$G,monthly_work_hours!$A:$A,'FTE 계산'!$A303,monthly_work_hours!$F:$F,'FTE 계산'!H$2)) - (SUMIFS(monthly_work_hours!$J:$J,monthly_work_hours!$A:$A,'FTE 계산'!$A303,monthly_work_hours!$F:$F,'FTE 계산'!H$2))</f>
        <v>20</v>
      </c>
      <c r="I303">
        <f>(SUMIFS(monthly_work_hours!$G:$G,monthly_work_hours!$A:$A,'FTE 계산'!$A303,monthly_work_hours!$F:$F,'FTE 계산'!I$2)) - (SUMIFS(monthly_work_hours!$J:$J,monthly_work_hours!$A:$A,'FTE 계산'!$A303,monthly_work_hours!$F:$F,'FTE 계산'!I$2))</f>
        <v>23</v>
      </c>
      <c r="J303">
        <f>(SUMIFS(monthly_work_hours!$G:$G,monthly_work_hours!$A:$A,'FTE 계산'!$A303,monthly_work_hours!$F:$F,'FTE 계산'!J$2)) - (SUMIFS(monthly_work_hours!$J:$J,monthly_work_hours!$A:$A,'FTE 계산'!$A303,monthly_work_hours!$F:$F,'FTE 계산'!J$2))</f>
        <v>17</v>
      </c>
    </row>
    <row r="304" spans="1:10">
      <c r="A304" t="str">
        <v>G221174</v>
      </c>
      <c r="B304" t="str">
        <f>_xlfn.XLOOKUP(A304,monthly_work_hours!A:A,monthly_work_hours!B:B)</f>
        <v>김종우</v>
      </c>
      <c r="C304" t="str">
        <f>_xlfn.XLOOKUP(A304,monthly_work_hours!A:A,monthly_work_hours!C:C)</f>
        <v>BI지원팀</v>
      </c>
      <c r="D304" t="str">
        <f>_xlfn.XLOOKUP(A304,monthly_work_hours!A:A,monthly_work_hours!D:D)</f>
        <v>선임</v>
      </c>
      <c r="E304">
        <f>SUMIFS(monthly_work_hours!$K:$K,monthly_work_hours!$A:$A,'FTE 계산'!$A304,monthly_work_hours!$F:$F,'FTE 계산'!E$2)</f>
        <v>176.6</v>
      </c>
      <c r="F304">
        <f>SUMIFS(monthly_work_hours!$K:$K,monthly_work_hours!$A:$A,'FTE 계산'!$A304,monthly_work_hours!$F:$F,'FTE 계산'!F$2)</f>
        <v>190.2</v>
      </c>
      <c r="G304">
        <f>SUMIFS(monthly_work_hours!$K:$K,monthly_work_hours!$A:$A,'FTE 계산'!$A304,monthly_work_hours!$F:$F,'FTE 계산'!G$2)</f>
        <v>167.9</v>
      </c>
      <c r="H304">
        <f>(SUMIFS(monthly_work_hours!$G:$G,monthly_work_hours!$A:$A,'FTE 계산'!$A304,monthly_work_hours!$F:$F,'FTE 계산'!H$2)) - (SUMIFS(monthly_work_hours!$J:$J,monthly_work_hours!$A:$A,'FTE 계산'!$A304,monthly_work_hours!$F:$F,'FTE 계산'!H$2))</f>
        <v>17</v>
      </c>
      <c r="I304">
        <f>(SUMIFS(monthly_work_hours!$G:$G,monthly_work_hours!$A:$A,'FTE 계산'!$A304,monthly_work_hours!$F:$F,'FTE 계산'!I$2)) - (SUMIFS(monthly_work_hours!$J:$J,monthly_work_hours!$A:$A,'FTE 계산'!$A304,monthly_work_hours!$F:$F,'FTE 계산'!I$2))</f>
        <v>19</v>
      </c>
      <c r="J304">
        <f>(SUMIFS(monthly_work_hours!$G:$G,monthly_work_hours!$A:$A,'FTE 계산'!$A304,monthly_work_hours!$F:$F,'FTE 계산'!J$2)) - (SUMIFS(monthly_work_hours!$J:$J,monthly_work_hours!$A:$A,'FTE 계산'!$A304,monthly_work_hours!$F:$F,'FTE 계산'!J$2))</f>
        <v>16</v>
      </c>
    </row>
    <row r="305" spans="1:10">
      <c r="A305" t="str">
        <v>G221178</v>
      </c>
      <c r="B305" t="str">
        <f>_xlfn.XLOOKUP(A305,monthly_work_hours!A:A,monthly_work_hours!B:B)</f>
        <v>박지원</v>
      </c>
      <c r="C305" t="str">
        <f>_xlfn.XLOOKUP(A305,monthly_work_hours!A:A,monthly_work_hours!C:C)</f>
        <v>내부회계관리팀</v>
      </c>
      <c r="D305" t="str">
        <f>_xlfn.XLOOKUP(A305,monthly_work_hours!A:A,monthly_work_hours!D:D)</f>
        <v>선임</v>
      </c>
      <c r="E305">
        <f>SUMIFS(monthly_work_hours!$K:$K,monthly_work_hours!$A:$A,'FTE 계산'!$A305,monthly_work_hours!$F:$F,'FTE 계산'!E$2)</f>
        <v>154.6</v>
      </c>
      <c r="F305">
        <f>SUMIFS(monthly_work_hours!$K:$K,monthly_work_hours!$A:$A,'FTE 계산'!$A305,monthly_work_hours!$F:$F,'FTE 계산'!F$2)</f>
        <v>213.4</v>
      </c>
      <c r="G305">
        <f>SUMIFS(monthly_work_hours!$K:$K,monthly_work_hours!$A:$A,'FTE 계산'!$A305,monthly_work_hours!$F:$F,'FTE 계산'!G$2)</f>
        <v>177.9</v>
      </c>
      <c r="H305">
        <f>(SUMIFS(monthly_work_hours!$G:$G,monthly_work_hours!$A:$A,'FTE 계산'!$A305,monthly_work_hours!$F:$F,'FTE 계산'!H$2)) - (SUMIFS(monthly_work_hours!$J:$J,monthly_work_hours!$A:$A,'FTE 계산'!$A305,monthly_work_hours!$F:$F,'FTE 계산'!H$2))</f>
        <v>15</v>
      </c>
      <c r="I305">
        <f>(SUMIFS(monthly_work_hours!$G:$G,monthly_work_hours!$A:$A,'FTE 계산'!$A305,monthly_work_hours!$F:$F,'FTE 계산'!I$2)) - (SUMIFS(monthly_work_hours!$J:$J,monthly_work_hours!$A:$A,'FTE 계산'!$A305,monthly_work_hours!$F:$F,'FTE 계산'!I$2))</f>
        <v>21</v>
      </c>
      <c r="J305">
        <f>(SUMIFS(monthly_work_hours!$G:$G,monthly_work_hours!$A:$A,'FTE 계산'!$A305,monthly_work_hours!$F:$F,'FTE 계산'!J$2)) - (SUMIFS(monthly_work_hours!$J:$J,monthly_work_hours!$A:$A,'FTE 계산'!$A305,monthly_work_hours!$F:$F,'FTE 계산'!J$2))</f>
        <v>16</v>
      </c>
    </row>
    <row r="306" spans="1:10">
      <c r="A306" t="str">
        <v>G221199</v>
      </c>
      <c r="B306" t="str">
        <f>_xlfn.XLOOKUP(A306,monthly_work_hours!A:A,monthly_work_hours!B:B)</f>
        <v>박민아</v>
      </c>
      <c r="C306" t="str">
        <f>_xlfn.XLOOKUP(A306,monthly_work_hours!A:A,monthly_work_hours!C:C)</f>
        <v>PEOPLE팀</v>
      </c>
      <c r="D306" t="str">
        <f>_xlfn.XLOOKUP(A306,monthly_work_hours!A:A,monthly_work_hours!D:D)</f>
        <v>사원</v>
      </c>
      <c r="E306">
        <f>SUMIFS(monthly_work_hours!$K:$K,monthly_work_hours!$A:$A,'FTE 계산'!$A306,monthly_work_hours!$F:$F,'FTE 계산'!E$2)</f>
        <v>271</v>
      </c>
      <c r="F306">
        <f>SUMIFS(monthly_work_hours!$K:$K,monthly_work_hours!$A:$A,'FTE 계산'!$A306,monthly_work_hours!$F:$F,'FTE 계산'!F$2)</f>
        <v>338.8</v>
      </c>
      <c r="G306">
        <f>SUMIFS(monthly_work_hours!$K:$K,monthly_work_hours!$A:$A,'FTE 계산'!$A306,monthly_work_hours!$F:$F,'FTE 계산'!G$2)</f>
        <v>340.8</v>
      </c>
      <c r="H306">
        <f>(SUMIFS(monthly_work_hours!$G:$G,monthly_work_hours!$A:$A,'FTE 계산'!$A306,monthly_work_hours!$F:$F,'FTE 계산'!H$2)) - (SUMIFS(monthly_work_hours!$J:$J,monthly_work_hours!$A:$A,'FTE 계산'!$A306,monthly_work_hours!$F:$F,'FTE 계산'!H$2))</f>
        <v>18</v>
      </c>
      <c r="I306">
        <f>(SUMIFS(monthly_work_hours!$G:$G,monthly_work_hours!$A:$A,'FTE 계산'!$A306,monthly_work_hours!$F:$F,'FTE 계산'!I$2)) - (SUMIFS(monthly_work_hours!$J:$J,monthly_work_hours!$A:$A,'FTE 계산'!$A306,monthly_work_hours!$F:$F,'FTE 계산'!I$2))</f>
        <v>22</v>
      </c>
      <c r="J306">
        <f>(SUMIFS(monthly_work_hours!$G:$G,monthly_work_hours!$A:$A,'FTE 계산'!$A306,monthly_work_hours!$F:$F,'FTE 계산'!J$2)) - (SUMIFS(monthly_work_hours!$J:$J,monthly_work_hours!$A:$A,'FTE 계산'!$A306,monthly_work_hours!$F:$F,'FTE 계산'!J$2))</f>
        <v>18</v>
      </c>
    </row>
    <row r="307" spans="1:10">
      <c r="A307" t="str">
        <v>G222003</v>
      </c>
      <c r="B307" t="str">
        <f>_xlfn.XLOOKUP(A307,monthly_work_hours!A:A,monthly_work_hours!B:B)</f>
        <v>유왕열</v>
      </c>
      <c r="C307" t="str">
        <f>_xlfn.XLOOKUP(A307,monthly_work_hours!A:A,monthly_work_hours!C:C)</f>
        <v>원가지원팀</v>
      </c>
      <c r="D307" t="str">
        <f>_xlfn.XLOOKUP(A307,monthly_work_hours!A:A,monthly_work_hours!D:D)</f>
        <v>책임</v>
      </c>
      <c r="E307">
        <f>SUMIFS(monthly_work_hours!$K:$K,monthly_work_hours!$A:$A,'FTE 계산'!$A307,monthly_work_hours!$F:$F,'FTE 계산'!E$2)</f>
        <v>190.5</v>
      </c>
      <c r="F307">
        <f>SUMIFS(monthly_work_hours!$K:$K,monthly_work_hours!$A:$A,'FTE 계산'!$A307,monthly_work_hours!$F:$F,'FTE 계산'!F$2)</f>
        <v>191.2</v>
      </c>
      <c r="G307">
        <f>SUMIFS(monthly_work_hours!$K:$K,monthly_work_hours!$A:$A,'FTE 계산'!$A307,monthly_work_hours!$F:$F,'FTE 계산'!G$2)</f>
        <v>147.5</v>
      </c>
      <c r="H307">
        <f>(SUMIFS(monthly_work_hours!$G:$G,monthly_work_hours!$A:$A,'FTE 계산'!$A307,monthly_work_hours!$F:$F,'FTE 계산'!H$2)) - (SUMIFS(monthly_work_hours!$J:$J,monthly_work_hours!$A:$A,'FTE 계산'!$A307,monthly_work_hours!$F:$F,'FTE 계산'!H$2))</f>
        <v>19</v>
      </c>
      <c r="I307">
        <f>(SUMIFS(monthly_work_hours!$G:$G,monthly_work_hours!$A:$A,'FTE 계산'!$A307,monthly_work_hours!$F:$F,'FTE 계산'!I$2)) - (SUMIFS(monthly_work_hours!$J:$J,monthly_work_hours!$A:$A,'FTE 계산'!$A307,monthly_work_hours!$F:$F,'FTE 계산'!I$2))</f>
        <v>19</v>
      </c>
      <c r="J307">
        <f>(SUMIFS(monthly_work_hours!$G:$G,monthly_work_hours!$A:$A,'FTE 계산'!$A307,monthly_work_hours!$F:$F,'FTE 계산'!J$2)) - (SUMIFS(monthly_work_hours!$J:$J,monthly_work_hours!$A:$A,'FTE 계산'!$A307,monthly_work_hours!$F:$F,'FTE 계산'!J$2))</f>
        <v>16</v>
      </c>
    </row>
    <row r="308" spans="1:10">
      <c r="A308" t="str">
        <v>G222004</v>
      </c>
      <c r="B308" t="str">
        <f>_xlfn.XLOOKUP(A308,monthly_work_hours!A:A,monthly_work_hours!B:B)</f>
        <v>윤주선</v>
      </c>
      <c r="C308" t="str">
        <f>_xlfn.XLOOKUP(A308,monthly_work_hours!A:A,monthly_work_hours!C:C)</f>
        <v>정보상황실</v>
      </c>
      <c r="D308" t="str">
        <f>_xlfn.XLOOKUP(A308,monthly_work_hours!A:A,monthly_work_hours!D:D)</f>
        <v>책임</v>
      </c>
      <c r="E308">
        <f>SUMIFS(monthly_work_hours!$K:$K,monthly_work_hours!$A:$A,'FTE 계산'!$A308,monthly_work_hours!$F:$F,'FTE 계산'!E$2)</f>
        <v>201.6</v>
      </c>
      <c r="F308">
        <f>SUMIFS(monthly_work_hours!$K:$K,monthly_work_hours!$A:$A,'FTE 계산'!$A308,monthly_work_hours!$F:$F,'FTE 계산'!F$2)</f>
        <v>198.4</v>
      </c>
      <c r="G308">
        <f>SUMIFS(monthly_work_hours!$K:$K,monthly_work_hours!$A:$A,'FTE 계산'!$A308,monthly_work_hours!$F:$F,'FTE 계산'!G$2)</f>
        <v>167.8</v>
      </c>
      <c r="H308">
        <f>(SUMIFS(monthly_work_hours!$G:$G,monthly_work_hours!$A:$A,'FTE 계산'!$A308,monthly_work_hours!$F:$F,'FTE 계산'!H$2)) - (SUMIFS(monthly_work_hours!$J:$J,monthly_work_hours!$A:$A,'FTE 계산'!$A308,monthly_work_hours!$F:$F,'FTE 계산'!H$2))</f>
        <v>19</v>
      </c>
      <c r="I308">
        <f>(SUMIFS(monthly_work_hours!$G:$G,monthly_work_hours!$A:$A,'FTE 계산'!$A308,monthly_work_hours!$F:$F,'FTE 계산'!I$2)) - (SUMIFS(monthly_work_hours!$J:$J,monthly_work_hours!$A:$A,'FTE 계산'!$A308,monthly_work_hours!$F:$F,'FTE 계산'!I$2))</f>
        <v>19</v>
      </c>
      <c r="J308">
        <f>(SUMIFS(monthly_work_hours!$G:$G,monthly_work_hours!$A:$A,'FTE 계산'!$A308,monthly_work_hours!$F:$F,'FTE 계산'!J$2)) - (SUMIFS(monthly_work_hours!$J:$J,monthly_work_hours!$A:$A,'FTE 계산'!$A308,monthly_work_hours!$F:$F,'FTE 계산'!J$2))</f>
        <v>16</v>
      </c>
    </row>
    <row r="309" spans="1:10">
      <c r="A309" t="str">
        <v>G222005</v>
      </c>
      <c r="B309" t="str">
        <f>_xlfn.XLOOKUP(A309,monthly_work_hours!A:A,monthly_work_hours!B:B)</f>
        <v>이지환</v>
      </c>
      <c r="C309" t="str">
        <f>_xlfn.XLOOKUP(A309,monthly_work_hours!A:A,monthly_work_hours!C:C)</f>
        <v>정보상황실</v>
      </c>
      <c r="D309" t="str">
        <f>_xlfn.XLOOKUP(A309,monthly_work_hours!A:A,monthly_work_hours!D:D)</f>
        <v>책임</v>
      </c>
      <c r="E309">
        <f>SUMIFS(monthly_work_hours!$K:$K,monthly_work_hours!$A:$A,'FTE 계산'!$A309,monthly_work_hours!$F:$F,'FTE 계산'!E$2)</f>
        <v>141.30000000000001</v>
      </c>
      <c r="F309">
        <f>SUMIFS(monthly_work_hours!$K:$K,monthly_work_hours!$A:$A,'FTE 계산'!$A309,monthly_work_hours!$F:$F,'FTE 계산'!F$2)</f>
        <v>195.3</v>
      </c>
      <c r="G309">
        <f>SUMIFS(monthly_work_hours!$K:$K,monthly_work_hours!$A:$A,'FTE 계산'!$A309,monthly_work_hours!$F:$F,'FTE 계산'!G$2)</f>
        <v>155.6</v>
      </c>
      <c r="H309">
        <f>(SUMIFS(monthly_work_hours!$G:$G,monthly_work_hours!$A:$A,'FTE 계산'!$A309,monthly_work_hours!$F:$F,'FTE 계산'!H$2)) - (SUMIFS(monthly_work_hours!$J:$J,monthly_work_hours!$A:$A,'FTE 계산'!$A309,monthly_work_hours!$F:$F,'FTE 계산'!H$2))</f>
        <v>12</v>
      </c>
      <c r="I309">
        <f>(SUMIFS(monthly_work_hours!$G:$G,monthly_work_hours!$A:$A,'FTE 계산'!$A309,monthly_work_hours!$F:$F,'FTE 계산'!I$2)) - (SUMIFS(monthly_work_hours!$J:$J,monthly_work_hours!$A:$A,'FTE 계산'!$A309,monthly_work_hours!$F:$F,'FTE 계산'!I$2))</f>
        <v>18</v>
      </c>
      <c r="J309">
        <f>(SUMIFS(monthly_work_hours!$G:$G,monthly_work_hours!$A:$A,'FTE 계산'!$A309,monthly_work_hours!$F:$F,'FTE 계산'!J$2)) - (SUMIFS(monthly_work_hours!$J:$J,monthly_work_hours!$A:$A,'FTE 계산'!$A309,monthly_work_hours!$F:$F,'FTE 계산'!J$2))</f>
        <v>14</v>
      </c>
    </row>
    <row r="310" spans="1:10">
      <c r="A310" t="str">
        <v>G222006</v>
      </c>
      <c r="B310" t="str">
        <f>_xlfn.XLOOKUP(A310,monthly_work_hours!A:A,monthly_work_hours!B:B)</f>
        <v>김형석</v>
      </c>
      <c r="C310" t="str">
        <f>_xlfn.XLOOKUP(A310,monthly_work_hours!A:A,monthly_work_hours!C:C)</f>
        <v>정보상황실</v>
      </c>
      <c r="D310" t="str">
        <f>_xlfn.XLOOKUP(A310,monthly_work_hours!A:A,monthly_work_hours!D:D)</f>
        <v>책임</v>
      </c>
      <c r="E310">
        <f>SUMIFS(monthly_work_hours!$K:$K,monthly_work_hours!$A:$A,'FTE 계산'!$A310,monthly_work_hours!$F:$F,'FTE 계산'!E$2)</f>
        <v>201.3</v>
      </c>
      <c r="F310">
        <f>SUMIFS(monthly_work_hours!$K:$K,monthly_work_hours!$A:$A,'FTE 계산'!$A310,monthly_work_hours!$F:$F,'FTE 계산'!F$2)</f>
        <v>189</v>
      </c>
      <c r="G310">
        <f>SUMIFS(monthly_work_hours!$K:$K,monthly_work_hours!$A:$A,'FTE 계산'!$A310,monthly_work_hours!$F:$F,'FTE 계산'!G$2)</f>
        <v>162.6</v>
      </c>
      <c r="H310">
        <f>(SUMIFS(monthly_work_hours!$G:$G,monthly_work_hours!$A:$A,'FTE 계산'!$A310,monthly_work_hours!$F:$F,'FTE 계산'!H$2)) - (SUMIFS(monthly_work_hours!$J:$J,monthly_work_hours!$A:$A,'FTE 계산'!$A310,monthly_work_hours!$F:$F,'FTE 계산'!H$2))</f>
        <v>19</v>
      </c>
      <c r="I310">
        <f>(SUMIFS(monthly_work_hours!$G:$G,monthly_work_hours!$A:$A,'FTE 계산'!$A310,monthly_work_hours!$F:$F,'FTE 계산'!I$2)) - (SUMIFS(monthly_work_hours!$J:$J,monthly_work_hours!$A:$A,'FTE 계산'!$A310,monthly_work_hours!$F:$F,'FTE 계산'!I$2))</f>
        <v>19</v>
      </c>
      <c r="J310">
        <f>(SUMIFS(monthly_work_hours!$G:$G,monthly_work_hours!$A:$A,'FTE 계산'!$A310,monthly_work_hours!$F:$F,'FTE 계산'!J$2)) - (SUMIFS(monthly_work_hours!$J:$J,monthly_work_hours!$A:$A,'FTE 계산'!$A310,monthly_work_hours!$F:$F,'FTE 계산'!J$2))</f>
        <v>15</v>
      </c>
    </row>
    <row r="311" spans="1:10">
      <c r="A311" t="str">
        <v>G222007</v>
      </c>
      <c r="B311" t="str">
        <f>_xlfn.XLOOKUP(A311,monthly_work_hours!A:A,monthly_work_hours!B:B)</f>
        <v>전정훈</v>
      </c>
      <c r="C311" t="str">
        <f>_xlfn.XLOOKUP(A311,monthly_work_hours!A:A,monthly_work_hours!C:C)</f>
        <v>정보상황실</v>
      </c>
      <c r="D311" t="str">
        <f>_xlfn.XLOOKUP(A311,monthly_work_hours!A:A,monthly_work_hours!D:D)</f>
        <v>선임</v>
      </c>
      <c r="E311">
        <f>SUMIFS(monthly_work_hours!$K:$K,monthly_work_hours!$A:$A,'FTE 계산'!$A311,monthly_work_hours!$F:$F,'FTE 계산'!E$2)</f>
        <v>172.3</v>
      </c>
      <c r="F311">
        <f>SUMIFS(monthly_work_hours!$K:$K,monthly_work_hours!$A:$A,'FTE 계산'!$A311,monthly_work_hours!$F:$F,'FTE 계산'!F$2)</f>
        <v>175.5</v>
      </c>
      <c r="G311">
        <f>SUMIFS(monthly_work_hours!$K:$K,monthly_work_hours!$A:$A,'FTE 계산'!$A311,monthly_work_hours!$F:$F,'FTE 계산'!G$2)</f>
        <v>135.9</v>
      </c>
      <c r="H311">
        <f>(SUMIFS(monthly_work_hours!$G:$G,monthly_work_hours!$A:$A,'FTE 계산'!$A311,monthly_work_hours!$F:$F,'FTE 계산'!H$2)) - (SUMIFS(monthly_work_hours!$J:$J,monthly_work_hours!$A:$A,'FTE 계산'!$A311,monthly_work_hours!$F:$F,'FTE 계산'!H$2))</f>
        <v>18</v>
      </c>
      <c r="I311">
        <f>(SUMIFS(monthly_work_hours!$G:$G,monthly_work_hours!$A:$A,'FTE 계산'!$A311,monthly_work_hours!$F:$F,'FTE 계산'!I$2)) - (SUMIFS(monthly_work_hours!$J:$J,monthly_work_hours!$A:$A,'FTE 계산'!$A311,monthly_work_hours!$F:$F,'FTE 계산'!I$2))</f>
        <v>18</v>
      </c>
      <c r="J311">
        <f>(SUMIFS(monthly_work_hours!$G:$G,monthly_work_hours!$A:$A,'FTE 계산'!$A311,monthly_work_hours!$F:$F,'FTE 계산'!J$2)) - (SUMIFS(monthly_work_hours!$J:$J,monthly_work_hours!$A:$A,'FTE 계산'!$A311,monthly_work_hours!$F:$F,'FTE 계산'!J$2))</f>
        <v>15</v>
      </c>
    </row>
    <row r="312" spans="1:10">
      <c r="A312" t="str">
        <v>G222008</v>
      </c>
      <c r="B312" t="str">
        <f>_xlfn.XLOOKUP(A312,monthly_work_hours!A:A,monthly_work_hours!B:B)</f>
        <v>김봉건</v>
      </c>
      <c r="C312" t="str">
        <f>_xlfn.XLOOKUP(A312,monthly_work_hours!A:A,monthly_work_hours!C:C)</f>
        <v>품질관리팀</v>
      </c>
      <c r="D312" t="str">
        <f>_xlfn.XLOOKUP(A312,monthly_work_hours!A:A,monthly_work_hours!D:D)</f>
        <v>선임</v>
      </c>
      <c r="E312">
        <f>SUMIFS(monthly_work_hours!$K:$K,monthly_work_hours!$A:$A,'FTE 계산'!$A312,monthly_work_hours!$F:$F,'FTE 계산'!E$2)</f>
        <v>154.69999999999999</v>
      </c>
      <c r="F312">
        <f>SUMIFS(monthly_work_hours!$K:$K,monthly_work_hours!$A:$A,'FTE 계산'!$A312,monthly_work_hours!$F:$F,'FTE 계산'!F$2)</f>
        <v>138</v>
      </c>
      <c r="G312">
        <f>SUMIFS(monthly_work_hours!$K:$K,monthly_work_hours!$A:$A,'FTE 계산'!$A312,monthly_work_hours!$F:$F,'FTE 계산'!G$2)</f>
        <v>146.69999999999999</v>
      </c>
      <c r="H312">
        <f>(SUMIFS(monthly_work_hours!$G:$G,monthly_work_hours!$A:$A,'FTE 계산'!$A312,monthly_work_hours!$F:$F,'FTE 계산'!H$2)) - (SUMIFS(monthly_work_hours!$J:$J,monthly_work_hours!$A:$A,'FTE 계산'!$A312,monthly_work_hours!$F:$F,'FTE 계산'!H$2))</f>
        <v>16</v>
      </c>
      <c r="I312">
        <f>(SUMIFS(monthly_work_hours!$G:$G,monthly_work_hours!$A:$A,'FTE 계산'!$A312,monthly_work_hours!$F:$F,'FTE 계산'!I$2)) - (SUMIFS(monthly_work_hours!$J:$J,monthly_work_hours!$A:$A,'FTE 계산'!$A312,monthly_work_hours!$F:$F,'FTE 계산'!I$2))</f>
        <v>16</v>
      </c>
      <c r="J312">
        <f>(SUMIFS(monthly_work_hours!$G:$G,monthly_work_hours!$A:$A,'FTE 계산'!$A312,monthly_work_hours!$F:$F,'FTE 계산'!J$2)) - (SUMIFS(monthly_work_hours!$J:$J,monthly_work_hours!$A:$A,'FTE 계산'!$A312,monthly_work_hours!$F:$F,'FTE 계산'!J$2))</f>
        <v>17</v>
      </c>
    </row>
    <row r="313" spans="1:10">
      <c r="A313" t="str">
        <v>G222011</v>
      </c>
      <c r="B313" t="str">
        <f>_xlfn.XLOOKUP(A313,monthly_work_hours!A:A,monthly_work_hours!B:B)</f>
        <v>정철규</v>
      </c>
      <c r="C313" t="str">
        <f>_xlfn.XLOOKUP(A313,monthly_work_hours!A:A,monthly_work_hours!C:C)</f>
        <v>자금팀</v>
      </c>
      <c r="D313" t="str">
        <f>_xlfn.XLOOKUP(A313,monthly_work_hours!A:A,monthly_work_hours!D:D)</f>
        <v>선임</v>
      </c>
      <c r="E313">
        <f>SUMIFS(monthly_work_hours!$K:$K,monthly_work_hours!$A:$A,'FTE 계산'!$A313,monthly_work_hours!$F:$F,'FTE 계산'!E$2)</f>
        <v>192.2</v>
      </c>
      <c r="F313">
        <f>SUMIFS(monthly_work_hours!$K:$K,monthly_work_hours!$A:$A,'FTE 계산'!$A313,monthly_work_hours!$F:$F,'FTE 계산'!F$2)</f>
        <v>204.8</v>
      </c>
      <c r="G313">
        <f>SUMIFS(monthly_work_hours!$K:$K,monthly_work_hours!$A:$A,'FTE 계산'!$A313,monthly_work_hours!$F:$F,'FTE 계산'!G$2)</f>
        <v>176.5</v>
      </c>
      <c r="H313">
        <f>(SUMIFS(monthly_work_hours!$G:$G,monthly_work_hours!$A:$A,'FTE 계산'!$A313,monthly_work_hours!$F:$F,'FTE 계산'!H$2)) - (SUMIFS(monthly_work_hours!$J:$J,monthly_work_hours!$A:$A,'FTE 계산'!$A313,monthly_work_hours!$F:$F,'FTE 계산'!H$2))</f>
        <v>19</v>
      </c>
      <c r="I313">
        <f>(SUMIFS(monthly_work_hours!$G:$G,monthly_work_hours!$A:$A,'FTE 계산'!$A313,monthly_work_hours!$F:$F,'FTE 계산'!I$2)) - (SUMIFS(monthly_work_hours!$J:$J,monthly_work_hours!$A:$A,'FTE 계산'!$A313,monthly_work_hours!$F:$F,'FTE 계산'!I$2))</f>
        <v>21</v>
      </c>
      <c r="J313">
        <f>(SUMIFS(monthly_work_hours!$G:$G,monthly_work_hours!$A:$A,'FTE 계산'!$A313,monthly_work_hours!$F:$F,'FTE 계산'!J$2)) - (SUMIFS(monthly_work_hours!$J:$J,monthly_work_hours!$A:$A,'FTE 계산'!$A313,monthly_work_hours!$F:$F,'FTE 계산'!J$2))</f>
        <v>17</v>
      </c>
    </row>
    <row r="314" spans="1:10">
      <c r="A314" t="str">
        <v>G222012</v>
      </c>
      <c r="B314" t="str">
        <f>_xlfn.XLOOKUP(A314,monthly_work_hours!A:A,monthly_work_hours!B:B)</f>
        <v>한지나</v>
      </c>
      <c r="C314" t="str">
        <f>_xlfn.XLOOKUP(A314,monthly_work_hours!A:A,monthly_work_hours!C:C)</f>
        <v>IT 1팀</v>
      </c>
      <c r="D314" t="str">
        <f>_xlfn.XLOOKUP(A314,monthly_work_hours!A:A,monthly_work_hours!D:D)</f>
        <v>사원</v>
      </c>
      <c r="E314">
        <f>SUMIFS(monthly_work_hours!$K:$K,monthly_work_hours!$A:$A,'FTE 계산'!$A314,monthly_work_hours!$F:$F,'FTE 계산'!E$2)</f>
        <v>165.4</v>
      </c>
      <c r="F314">
        <f>SUMIFS(monthly_work_hours!$K:$K,monthly_work_hours!$A:$A,'FTE 계산'!$A314,monthly_work_hours!$F:$F,'FTE 계산'!F$2)</f>
        <v>172.4</v>
      </c>
      <c r="G314">
        <f>SUMIFS(monthly_work_hours!$K:$K,monthly_work_hours!$A:$A,'FTE 계산'!$A314,monthly_work_hours!$F:$F,'FTE 계산'!G$2)</f>
        <v>100.7</v>
      </c>
      <c r="H314">
        <f>(SUMIFS(monthly_work_hours!$G:$G,monthly_work_hours!$A:$A,'FTE 계산'!$A314,monthly_work_hours!$F:$F,'FTE 계산'!H$2)) - (SUMIFS(monthly_work_hours!$J:$J,monthly_work_hours!$A:$A,'FTE 계산'!$A314,monthly_work_hours!$F:$F,'FTE 계산'!H$2))</f>
        <v>18</v>
      </c>
      <c r="I314">
        <f>(SUMIFS(monthly_work_hours!$G:$G,monthly_work_hours!$A:$A,'FTE 계산'!$A314,monthly_work_hours!$F:$F,'FTE 계산'!I$2)) - (SUMIFS(monthly_work_hours!$J:$J,monthly_work_hours!$A:$A,'FTE 계산'!$A314,monthly_work_hours!$F:$F,'FTE 계산'!I$2))</f>
        <v>20</v>
      </c>
      <c r="J314">
        <f>(SUMIFS(monthly_work_hours!$G:$G,monthly_work_hours!$A:$A,'FTE 계산'!$A314,monthly_work_hours!$F:$F,'FTE 계산'!J$2)) - (SUMIFS(monthly_work_hours!$J:$J,monthly_work_hours!$A:$A,'FTE 계산'!$A314,monthly_work_hours!$F:$F,'FTE 계산'!J$2))</f>
        <v>12</v>
      </c>
    </row>
    <row r="315" spans="1:10">
      <c r="A315" t="str">
        <v>G222013</v>
      </c>
      <c r="B315" t="str">
        <f>_xlfn.XLOOKUP(A315,monthly_work_hours!A:A,monthly_work_hours!B:B)</f>
        <v>김지우</v>
      </c>
      <c r="C315" t="str">
        <f>_xlfn.XLOOKUP(A315,monthly_work_hours!A:A,monthly_work_hours!C:C)</f>
        <v>IT 1팀</v>
      </c>
      <c r="D315" t="str">
        <f>_xlfn.XLOOKUP(A315,monthly_work_hours!A:A,monthly_work_hours!D:D)</f>
        <v>사원</v>
      </c>
      <c r="E315">
        <f>SUMIFS(monthly_work_hours!$K:$K,monthly_work_hours!$A:$A,'FTE 계산'!$A315,monthly_work_hours!$F:$F,'FTE 계산'!E$2)</f>
        <v>169.8</v>
      </c>
      <c r="F315">
        <f>SUMIFS(monthly_work_hours!$K:$K,monthly_work_hours!$A:$A,'FTE 계산'!$A315,monthly_work_hours!$F:$F,'FTE 계산'!F$2)</f>
        <v>167.2</v>
      </c>
      <c r="G315">
        <f>SUMIFS(monthly_work_hours!$K:$K,monthly_work_hours!$A:$A,'FTE 계산'!$A315,monthly_work_hours!$F:$F,'FTE 계산'!G$2)</f>
        <v>135.19999999999999</v>
      </c>
      <c r="H315">
        <f>(SUMIFS(monthly_work_hours!$G:$G,monthly_work_hours!$A:$A,'FTE 계산'!$A315,monthly_work_hours!$F:$F,'FTE 계산'!H$2)) - (SUMIFS(monthly_work_hours!$J:$J,monthly_work_hours!$A:$A,'FTE 계산'!$A315,monthly_work_hours!$F:$F,'FTE 계산'!H$2))</f>
        <v>19</v>
      </c>
      <c r="I315">
        <f>(SUMIFS(monthly_work_hours!$G:$G,monthly_work_hours!$A:$A,'FTE 계산'!$A315,monthly_work_hours!$F:$F,'FTE 계산'!I$2)) - (SUMIFS(monthly_work_hours!$J:$J,monthly_work_hours!$A:$A,'FTE 계산'!$A315,monthly_work_hours!$F:$F,'FTE 계산'!I$2))</f>
        <v>17</v>
      </c>
      <c r="J315">
        <f>(SUMIFS(monthly_work_hours!$G:$G,monthly_work_hours!$A:$A,'FTE 계산'!$A315,monthly_work_hours!$F:$F,'FTE 계산'!J$2)) - (SUMIFS(monthly_work_hours!$J:$J,monthly_work_hours!$A:$A,'FTE 계산'!$A315,monthly_work_hours!$F:$F,'FTE 계산'!J$2))</f>
        <v>15</v>
      </c>
    </row>
    <row r="316" spans="1:10">
      <c r="A316" t="str">
        <v>G222016</v>
      </c>
      <c r="B316" t="str">
        <f>_xlfn.XLOOKUP(A316,monthly_work_hours!A:A,monthly_work_hours!B:B)</f>
        <v>이태경</v>
      </c>
      <c r="C316" t="str">
        <f>_xlfn.XLOOKUP(A316,monthly_work_hours!A:A,monthly_work_hours!C:C)</f>
        <v>인더스트리얼 설계개발팀</v>
      </c>
      <c r="D316" t="str">
        <f>_xlfn.XLOOKUP(A316,monthly_work_hours!A:A,monthly_work_hours!D:D)</f>
        <v>책임</v>
      </c>
      <c r="E316">
        <f>SUMIFS(monthly_work_hours!$K:$K,monthly_work_hours!$A:$A,'FTE 계산'!$A316,monthly_work_hours!$F:$F,'FTE 계산'!E$2)</f>
        <v>110.4</v>
      </c>
      <c r="F316">
        <f>SUMIFS(monthly_work_hours!$K:$K,monthly_work_hours!$A:$A,'FTE 계산'!$A316,monthly_work_hours!$F:$F,'FTE 계산'!F$2)</f>
        <v>169.8</v>
      </c>
      <c r="G316">
        <f>SUMIFS(monthly_work_hours!$K:$K,monthly_work_hours!$A:$A,'FTE 계산'!$A316,monthly_work_hours!$F:$F,'FTE 계산'!G$2)</f>
        <v>80.2</v>
      </c>
      <c r="H316">
        <f>(SUMIFS(monthly_work_hours!$G:$G,monthly_work_hours!$A:$A,'FTE 계산'!$A316,monthly_work_hours!$F:$F,'FTE 계산'!H$2)) - (SUMIFS(monthly_work_hours!$J:$J,monthly_work_hours!$A:$A,'FTE 계산'!$A316,monthly_work_hours!$F:$F,'FTE 계산'!H$2))</f>
        <v>13</v>
      </c>
      <c r="I316">
        <f>(SUMIFS(monthly_work_hours!$G:$G,monthly_work_hours!$A:$A,'FTE 계산'!$A316,monthly_work_hours!$F:$F,'FTE 계산'!I$2)) - (SUMIFS(monthly_work_hours!$J:$J,monthly_work_hours!$A:$A,'FTE 계산'!$A316,monthly_work_hours!$F:$F,'FTE 계산'!I$2))</f>
        <v>19</v>
      </c>
      <c r="J316">
        <f>(SUMIFS(monthly_work_hours!$G:$G,monthly_work_hours!$A:$A,'FTE 계산'!$A316,monthly_work_hours!$F:$F,'FTE 계산'!J$2)) - (SUMIFS(monthly_work_hours!$J:$J,monthly_work_hours!$A:$A,'FTE 계산'!$A316,monthly_work_hours!$F:$F,'FTE 계산'!J$2))</f>
        <v>10</v>
      </c>
    </row>
    <row r="317" spans="1:10">
      <c r="A317" t="str">
        <v>G222017</v>
      </c>
      <c r="B317" t="str">
        <f>_xlfn.XLOOKUP(A317,monthly_work_hours!A:A,monthly_work_hours!B:B)</f>
        <v>이진</v>
      </c>
      <c r="C317" t="str">
        <f>_xlfn.XLOOKUP(A317,monthly_work_hours!A:A,monthly_work_hours!C:C)</f>
        <v>PEOPLE팀</v>
      </c>
      <c r="D317" t="str">
        <f>_xlfn.XLOOKUP(A317,monthly_work_hours!A:A,monthly_work_hours!D:D)</f>
        <v>선임</v>
      </c>
      <c r="E317">
        <f>SUMIFS(monthly_work_hours!$K:$K,monthly_work_hours!$A:$A,'FTE 계산'!$A317,monthly_work_hours!$F:$F,'FTE 계산'!E$2)</f>
        <v>222.2</v>
      </c>
      <c r="F317">
        <f>SUMIFS(monthly_work_hours!$K:$K,monthly_work_hours!$A:$A,'FTE 계산'!$A317,monthly_work_hours!$F:$F,'FTE 계산'!F$2)</f>
        <v>226.6</v>
      </c>
      <c r="G317">
        <f>SUMIFS(monthly_work_hours!$K:$K,monthly_work_hours!$A:$A,'FTE 계산'!$A317,monthly_work_hours!$F:$F,'FTE 계산'!G$2)</f>
        <v>312.60000000000002</v>
      </c>
      <c r="H317">
        <f>(SUMIFS(monthly_work_hours!$G:$G,monthly_work_hours!$A:$A,'FTE 계산'!$A317,monthly_work_hours!$F:$F,'FTE 계산'!H$2)) - (SUMIFS(monthly_work_hours!$J:$J,monthly_work_hours!$A:$A,'FTE 계산'!$A317,monthly_work_hours!$F:$F,'FTE 계산'!H$2))</f>
        <v>17</v>
      </c>
      <c r="I317">
        <f>(SUMIFS(monthly_work_hours!$G:$G,monthly_work_hours!$A:$A,'FTE 계산'!$A317,monthly_work_hours!$F:$F,'FTE 계산'!I$2)) - (SUMIFS(monthly_work_hours!$J:$J,monthly_work_hours!$A:$A,'FTE 계산'!$A317,monthly_work_hours!$F:$F,'FTE 계산'!I$2))</f>
        <v>17</v>
      </c>
      <c r="J317">
        <f>(SUMIFS(monthly_work_hours!$G:$G,monthly_work_hours!$A:$A,'FTE 계산'!$A317,monthly_work_hours!$F:$F,'FTE 계산'!J$2)) - (SUMIFS(monthly_work_hours!$J:$J,monthly_work_hours!$A:$A,'FTE 계산'!$A317,monthly_work_hours!$F:$F,'FTE 계산'!J$2))</f>
        <v>17</v>
      </c>
    </row>
    <row r="318" spans="1:10">
      <c r="A318" t="str">
        <v>G222018</v>
      </c>
      <c r="B318" t="str">
        <f>_xlfn.XLOOKUP(A318,monthly_work_hours!A:A,monthly_work_hours!B:B)</f>
        <v>정지호</v>
      </c>
      <c r="C318" t="str">
        <f>_xlfn.XLOOKUP(A318,monthly_work_hours!A:A,monthly_work_hours!C:C)</f>
        <v>PEOPLE팀</v>
      </c>
      <c r="D318" t="str">
        <f>_xlfn.XLOOKUP(A318,monthly_work_hours!A:A,monthly_work_hours!D:D)</f>
        <v>사원</v>
      </c>
      <c r="E318">
        <f>SUMIFS(monthly_work_hours!$K:$K,monthly_work_hours!$A:$A,'FTE 계산'!$A318,monthly_work_hours!$F:$F,'FTE 계산'!E$2)</f>
        <v>243.6</v>
      </c>
      <c r="F318">
        <f>SUMIFS(monthly_work_hours!$K:$K,monthly_work_hours!$A:$A,'FTE 계산'!$A318,monthly_work_hours!$F:$F,'FTE 계산'!F$2)</f>
        <v>284.39999999999998</v>
      </c>
      <c r="G318">
        <f>SUMIFS(monthly_work_hours!$K:$K,monthly_work_hours!$A:$A,'FTE 계산'!$A318,monthly_work_hours!$F:$F,'FTE 계산'!G$2)</f>
        <v>267.39999999999998</v>
      </c>
      <c r="H318">
        <f>(SUMIFS(monthly_work_hours!$G:$G,monthly_work_hours!$A:$A,'FTE 계산'!$A318,monthly_work_hours!$F:$F,'FTE 계산'!H$2)) - (SUMIFS(monthly_work_hours!$J:$J,monthly_work_hours!$A:$A,'FTE 계산'!$A318,monthly_work_hours!$F:$F,'FTE 계산'!H$2))</f>
        <v>18</v>
      </c>
      <c r="I318">
        <f>(SUMIFS(monthly_work_hours!$G:$G,monthly_work_hours!$A:$A,'FTE 계산'!$A318,monthly_work_hours!$F:$F,'FTE 계산'!I$2)) - (SUMIFS(monthly_work_hours!$J:$J,monthly_work_hours!$A:$A,'FTE 계산'!$A318,monthly_work_hours!$F:$F,'FTE 계산'!I$2))</f>
        <v>18</v>
      </c>
      <c r="J318">
        <f>(SUMIFS(monthly_work_hours!$G:$G,monthly_work_hours!$A:$A,'FTE 계산'!$A318,monthly_work_hours!$F:$F,'FTE 계산'!J$2)) - (SUMIFS(monthly_work_hours!$J:$J,monthly_work_hours!$A:$A,'FTE 계산'!$A318,monthly_work_hours!$F:$F,'FTE 계산'!J$2))</f>
        <v>16</v>
      </c>
    </row>
    <row r="319" spans="1:10">
      <c r="A319" t="str">
        <v>G222019</v>
      </c>
      <c r="B319" t="str">
        <f>_xlfn.XLOOKUP(A319,monthly_work_hours!A:A,monthly_work_hours!B:B)</f>
        <v>이동윤</v>
      </c>
      <c r="C319" t="str">
        <f>_xlfn.XLOOKUP(A319,monthly_work_hours!A:A,monthly_work_hours!C:C)</f>
        <v>Trans사업팀</v>
      </c>
      <c r="D319" t="str">
        <f>_xlfn.XLOOKUP(A319,monthly_work_hours!A:A,monthly_work_hours!D:D)</f>
        <v>선임</v>
      </c>
      <c r="E319">
        <f>SUMIFS(monthly_work_hours!$K:$K,monthly_work_hours!$A:$A,'FTE 계산'!$A319,monthly_work_hours!$F:$F,'FTE 계산'!E$2)</f>
        <v>113.5</v>
      </c>
      <c r="F319">
        <f>SUMIFS(monthly_work_hours!$K:$K,monthly_work_hours!$A:$A,'FTE 계산'!$A319,monthly_work_hours!$F:$F,'FTE 계산'!F$2)</f>
        <v>159.6</v>
      </c>
      <c r="G319">
        <f>SUMIFS(monthly_work_hours!$K:$K,monthly_work_hours!$A:$A,'FTE 계산'!$A319,monthly_work_hours!$F:$F,'FTE 계산'!G$2)</f>
        <v>86.1</v>
      </c>
      <c r="H319">
        <f>(SUMIFS(monthly_work_hours!$G:$G,monthly_work_hours!$A:$A,'FTE 계산'!$A319,monthly_work_hours!$F:$F,'FTE 계산'!H$2)) - (SUMIFS(monthly_work_hours!$J:$J,monthly_work_hours!$A:$A,'FTE 계산'!$A319,monthly_work_hours!$F:$F,'FTE 계산'!H$2))</f>
        <v>15</v>
      </c>
      <c r="I319">
        <f>(SUMIFS(monthly_work_hours!$G:$G,monthly_work_hours!$A:$A,'FTE 계산'!$A319,monthly_work_hours!$F:$F,'FTE 계산'!I$2)) - (SUMIFS(monthly_work_hours!$J:$J,monthly_work_hours!$A:$A,'FTE 계산'!$A319,monthly_work_hours!$F:$F,'FTE 계산'!I$2))</f>
        <v>18</v>
      </c>
      <c r="J319">
        <f>(SUMIFS(monthly_work_hours!$G:$G,monthly_work_hours!$A:$A,'FTE 계산'!$A319,monthly_work_hours!$F:$F,'FTE 계산'!J$2)) - (SUMIFS(monthly_work_hours!$J:$J,monthly_work_hours!$A:$A,'FTE 계산'!$A319,monthly_work_hours!$F:$F,'FTE 계산'!J$2))</f>
        <v>12</v>
      </c>
    </row>
    <row r="320" spans="1:10">
      <c r="A320" t="str">
        <v>G222022</v>
      </c>
      <c r="B320" t="str">
        <f>_xlfn.XLOOKUP(A320,monthly_work_hours!A:A,monthly_work_hours!B:B)</f>
        <v>김은지</v>
      </c>
      <c r="C320" t="str">
        <f>_xlfn.XLOOKUP(A320,monthly_work_hours!A:A,monthly_work_hours!C:C)</f>
        <v>FL기술지원팀</v>
      </c>
      <c r="D320" t="str">
        <f>_xlfn.XLOOKUP(A320,monthly_work_hours!A:A,monthly_work_hours!D:D)</f>
        <v>사원</v>
      </c>
      <c r="E320">
        <f>SUMIFS(monthly_work_hours!$K:$K,monthly_work_hours!$A:$A,'FTE 계산'!$A320,monthly_work_hours!$F:$F,'FTE 계산'!E$2)</f>
        <v>181</v>
      </c>
      <c r="F320">
        <f>SUMIFS(monthly_work_hours!$K:$K,monthly_work_hours!$A:$A,'FTE 계산'!$A320,monthly_work_hours!$F:$F,'FTE 계산'!F$2)</f>
        <v>170</v>
      </c>
      <c r="G320">
        <f>SUMIFS(monthly_work_hours!$K:$K,monthly_work_hours!$A:$A,'FTE 계산'!$A320,monthly_work_hours!$F:$F,'FTE 계산'!G$2)</f>
        <v>128.80000000000001</v>
      </c>
      <c r="H320">
        <f>(SUMIFS(monthly_work_hours!$G:$G,monthly_work_hours!$A:$A,'FTE 계산'!$A320,monthly_work_hours!$F:$F,'FTE 계산'!H$2)) - (SUMIFS(monthly_work_hours!$J:$J,monthly_work_hours!$A:$A,'FTE 계산'!$A320,monthly_work_hours!$F:$F,'FTE 계산'!H$2))</f>
        <v>19</v>
      </c>
      <c r="I320">
        <f>(SUMIFS(monthly_work_hours!$G:$G,monthly_work_hours!$A:$A,'FTE 계산'!$A320,monthly_work_hours!$F:$F,'FTE 계산'!I$2)) - (SUMIFS(monthly_work_hours!$J:$J,monthly_work_hours!$A:$A,'FTE 계산'!$A320,monthly_work_hours!$F:$F,'FTE 계산'!I$2))</f>
        <v>18</v>
      </c>
      <c r="J320">
        <f>(SUMIFS(monthly_work_hours!$G:$G,monthly_work_hours!$A:$A,'FTE 계산'!$A320,monthly_work_hours!$F:$F,'FTE 계산'!J$2)) - (SUMIFS(monthly_work_hours!$J:$J,monthly_work_hours!$A:$A,'FTE 계산'!$A320,monthly_work_hours!$F:$F,'FTE 계산'!J$2))</f>
        <v>16</v>
      </c>
    </row>
    <row r="321" spans="1:10">
      <c r="A321" t="str">
        <v>G222023</v>
      </c>
      <c r="B321" t="str">
        <f>_xlfn.XLOOKUP(A321,monthly_work_hours!A:A,monthly_work_hours!B:B)</f>
        <v>배정현</v>
      </c>
      <c r="C321" t="str">
        <f>_xlfn.XLOOKUP(A321,monthly_work_hours!A:A,monthly_work_hours!C:C)</f>
        <v>자산/법무팀</v>
      </c>
      <c r="D321" t="str">
        <f>_xlfn.XLOOKUP(A321,monthly_work_hours!A:A,monthly_work_hours!D:D)</f>
        <v>사원</v>
      </c>
      <c r="E321">
        <f>SUMIFS(monthly_work_hours!$K:$K,monthly_work_hours!$A:$A,'FTE 계산'!$A321,monthly_work_hours!$F:$F,'FTE 계산'!E$2)</f>
        <v>184.7</v>
      </c>
      <c r="F321">
        <f>SUMIFS(monthly_work_hours!$K:$K,monthly_work_hours!$A:$A,'FTE 계산'!$A321,monthly_work_hours!$F:$F,'FTE 계산'!F$2)</f>
        <v>164.6</v>
      </c>
      <c r="G321">
        <f>SUMIFS(monthly_work_hours!$K:$K,monthly_work_hours!$A:$A,'FTE 계산'!$A321,monthly_work_hours!$F:$F,'FTE 계산'!G$2)</f>
        <v>134</v>
      </c>
      <c r="H321">
        <f>(SUMIFS(monthly_work_hours!$G:$G,monthly_work_hours!$A:$A,'FTE 계산'!$A321,monthly_work_hours!$F:$F,'FTE 계산'!H$2)) - (SUMIFS(monthly_work_hours!$J:$J,monthly_work_hours!$A:$A,'FTE 계산'!$A321,monthly_work_hours!$F:$F,'FTE 계산'!H$2))</f>
        <v>19</v>
      </c>
      <c r="I321">
        <f>(SUMIFS(monthly_work_hours!$G:$G,monthly_work_hours!$A:$A,'FTE 계산'!$A321,monthly_work_hours!$F:$F,'FTE 계산'!I$2)) - (SUMIFS(monthly_work_hours!$J:$J,monthly_work_hours!$A:$A,'FTE 계산'!$A321,monthly_work_hours!$F:$F,'FTE 계산'!I$2))</f>
        <v>18</v>
      </c>
      <c r="J321">
        <f>(SUMIFS(monthly_work_hours!$G:$G,monthly_work_hours!$A:$A,'FTE 계산'!$A321,monthly_work_hours!$F:$F,'FTE 계산'!J$2)) - (SUMIFS(monthly_work_hours!$J:$J,monthly_work_hours!$A:$A,'FTE 계산'!$A321,monthly_work_hours!$F:$F,'FTE 계산'!J$2))</f>
        <v>15</v>
      </c>
    </row>
    <row r="322" spans="1:10">
      <c r="A322" t="str">
        <v>G222024</v>
      </c>
      <c r="B322" t="str">
        <f>_xlfn.XLOOKUP(A322,monthly_work_hours!A:A,monthly_work_hours!B:B)</f>
        <v>김현철</v>
      </c>
      <c r="C322" t="str">
        <f>_xlfn.XLOOKUP(A322,monthly_work_hours!A:A,monthly_work_hours!C:C)</f>
        <v>IFS사업팀</v>
      </c>
      <c r="D322" t="str">
        <f>_xlfn.XLOOKUP(A322,monthly_work_hours!A:A,monthly_work_hours!D:D)</f>
        <v>사원</v>
      </c>
      <c r="E322">
        <f>SUMIFS(monthly_work_hours!$K:$K,monthly_work_hours!$A:$A,'FTE 계산'!$A322,monthly_work_hours!$F:$F,'FTE 계산'!E$2)</f>
        <v>151</v>
      </c>
      <c r="F322">
        <f>SUMIFS(monthly_work_hours!$K:$K,monthly_work_hours!$A:$A,'FTE 계산'!$A322,monthly_work_hours!$F:$F,'FTE 계산'!F$2)</f>
        <v>197.1</v>
      </c>
      <c r="G322">
        <f>SUMIFS(monthly_work_hours!$K:$K,monthly_work_hours!$A:$A,'FTE 계산'!$A322,monthly_work_hours!$F:$F,'FTE 계산'!G$2)</f>
        <v>148.4</v>
      </c>
      <c r="H322">
        <f>(SUMIFS(monthly_work_hours!$G:$G,monthly_work_hours!$A:$A,'FTE 계산'!$A322,monthly_work_hours!$F:$F,'FTE 계산'!H$2)) - (SUMIFS(monthly_work_hours!$J:$J,monthly_work_hours!$A:$A,'FTE 계산'!$A322,monthly_work_hours!$F:$F,'FTE 계산'!H$2))</f>
        <v>16</v>
      </c>
      <c r="I322">
        <f>(SUMIFS(monthly_work_hours!$G:$G,monthly_work_hours!$A:$A,'FTE 계산'!$A322,monthly_work_hours!$F:$F,'FTE 계산'!I$2)) - (SUMIFS(monthly_work_hours!$J:$J,monthly_work_hours!$A:$A,'FTE 계산'!$A322,monthly_work_hours!$F:$F,'FTE 계산'!I$2))</f>
        <v>21</v>
      </c>
      <c r="J322">
        <f>(SUMIFS(monthly_work_hours!$G:$G,monthly_work_hours!$A:$A,'FTE 계산'!$A322,monthly_work_hours!$F:$F,'FTE 계산'!J$2)) - (SUMIFS(monthly_work_hours!$J:$J,monthly_work_hours!$A:$A,'FTE 계산'!$A322,monthly_work_hours!$F:$F,'FTE 계산'!J$2))</f>
        <v>17</v>
      </c>
    </row>
    <row r="323" spans="1:10">
      <c r="A323" t="str">
        <v>G222025</v>
      </c>
      <c r="B323" t="str">
        <f>_xlfn.XLOOKUP(A323,monthly_work_hours!A:A,monthly_work_hours!B:B)</f>
        <v>김예미</v>
      </c>
      <c r="C323" t="str">
        <f>_xlfn.XLOOKUP(A323,monthly_work_hours!A:A,monthly_work_hours!C:C)</f>
        <v>IT 1팀</v>
      </c>
      <c r="D323" t="str">
        <f>_xlfn.XLOOKUP(A323,monthly_work_hours!A:A,monthly_work_hours!D:D)</f>
        <v>선임</v>
      </c>
      <c r="E323">
        <f>SUMIFS(monthly_work_hours!$K:$K,monthly_work_hours!$A:$A,'FTE 계산'!$A323,monthly_work_hours!$F:$F,'FTE 계산'!E$2)</f>
        <v>186.6</v>
      </c>
      <c r="F323">
        <f>SUMIFS(monthly_work_hours!$K:$K,monthly_work_hours!$A:$A,'FTE 계산'!$A323,monthly_work_hours!$F:$F,'FTE 계산'!F$2)</f>
        <v>298.7</v>
      </c>
      <c r="G323">
        <f>SUMIFS(monthly_work_hours!$K:$K,monthly_work_hours!$A:$A,'FTE 계산'!$A323,monthly_work_hours!$F:$F,'FTE 계산'!G$2)</f>
        <v>174</v>
      </c>
      <c r="H323">
        <f>(SUMIFS(monthly_work_hours!$G:$G,monthly_work_hours!$A:$A,'FTE 계산'!$A323,monthly_work_hours!$F:$F,'FTE 계산'!H$2)) - (SUMIFS(monthly_work_hours!$J:$J,monthly_work_hours!$A:$A,'FTE 계산'!$A323,monthly_work_hours!$F:$F,'FTE 계산'!H$2))</f>
        <v>18</v>
      </c>
      <c r="I323">
        <f>(SUMIFS(monthly_work_hours!$G:$G,monthly_work_hours!$A:$A,'FTE 계산'!$A323,monthly_work_hours!$F:$F,'FTE 계산'!I$2)) - (SUMIFS(monthly_work_hours!$J:$J,monthly_work_hours!$A:$A,'FTE 계산'!$A323,monthly_work_hours!$F:$F,'FTE 계산'!I$2))</f>
        <v>22</v>
      </c>
      <c r="J323">
        <f>(SUMIFS(monthly_work_hours!$G:$G,monthly_work_hours!$A:$A,'FTE 계산'!$A323,monthly_work_hours!$F:$F,'FTE 계산'!J$2)) - (SUMIFS(monthly_work_hours!$J:$J,monthly_work_hours!$A:$A,'FTE 계산'!$A323,monthly_work_hours!$F:$F,'FTE 계산'!J$2))</f>
        <v>15</v>
      </c>
    </row>
    <row r="324" spans="1:10">
      <c r="A324" t="str">
        <v>G222027</v>
      </c>
      <c r="B324" t="str">
        <f>_xlfn.XLOOKUP(A324,monthly_work_hours!A:A,monthly_work_hours!B:B)</f>
        <v>김예슬</v>
      </c>
      <c r="C324" t="str">
        <f>_xlfn.XLOOKUP(A324,monthly_work_hours!A:A,monthly_work_hours!C:C)</f>
        <v>PEOPLE팀</v>
      </c>
      <c r="D324" t="str">
        <f>_xlfn.XLOOKUP(A324,monthly_work_hours!A:A,monthly_work_hours!D:D)</f>
        <v>사원</v>
      </c>
      <c r="E324">
        <f>SUMIFS(monthly_work_hours!$K:$K,monthly_work_hours!$A:$A,'FTE 계산'!$A324,monthly_work_hours!$F:$F,'FTE 계산'!E$2)</f>
        <v>233.3</v>
      </c>
      <c r="F324">
        <f>SUMIFS(monthly_work_hours!$K:$K,monthly_work_hours!$A:$A,'FTE 계산'!$A324,monthly_work_hours!$F:$F,'FTE 계산'!F$2)</f>
        <v>156.9</v>
      </c>
      <c r="G324">
        <f>SUMIFS(monthly_work_hours!$K:$K,monthly_work_hours!$A:$A,'FTE 계산'!$A324,monthly_work_hours!$F:$F,'FTE 계산'!G$2)</f>
        <v>159.4</v>
      </c>
      <c r="H324">
        <f>(SUMIFS(monthly_work_hours!$G:$G,monthly_work_hours!$A:$A,'FTE 계산'!$A324,monthly_work_hours!$F:$F,'FTE 계산'!H$2)) - (SUMIFS(monthly_work_hours!$J:$J,monthly_work_hours!$A:$A,'FTE 계산'!$A324,monthly_work_hours!$F:$F,'FTE 계산'!H$2))</f>
        <v>20</v>
      </c>
      <c r="I324">
        <f>(SUMIFS(monthly_work_hours!$G:$G,monthly_work_hours!$A:$A,'FTE 계산'!$A324,monthly_work_hours!$F:$F,'FTE 계산'!I$2)) - (SUMIFS(monthly_work_hours!$J:$J,monthly_work_hours!$A:$A,'FTE 계산'!$A324,monthly_work_hours!$F:$F,'FTE 계산'!I$2))</f>
        <v>18</v>
      </c>
      <c r="J324">
        <f>(SUMIFS(monthly_work_hours!$G:$G,monthly_work_hours!$A:$A,'FTE 계산'!$A324,monthly_work_hours!$F:$F,'FTE 계산'!J$2)) - (SUMIFS(monthly_work_hours!$J:$J,monthly_work_hours!$A:$A,'FTE 계산'!$A324,monthly_work_hours!$F:$F,'FTE 계산'!J$2))</f>
        <v>16</v>
      </c>
    </row>
    <row r="325" spans="1:10">
      <c r="A325" t="str">
        <v>G222030</v>
      </c>
      <c r="B325" t="str">
        <f>_xlfn.XLOOKUP(A325,monthly_work_hours!A:A,monthly_work_hours!B:B)</f>
        <v>박예지</v>
      </c>
      <c r="C325" t="str">
        <f>_xlfn.XLOOKUP(A325,monthly_work_hours!A:A,monthly_work_hours!C:C)</f>
        <v>전략팀</v>
      </c>
      <c r="D325" t="str">
        <f>_xlfn.XLOOKUP(A325,monthly_work_hours!A:A,monthly_work_hours!D:D)</f>
        <v>선임</v>
      </c>
      <c r="E325">
        <f>SUMIFS(monthly_work_hours!$K:$K,monthly_work_hours!$A:$A,'FTE 계산'!$A325,monthly_work_hours!$F:$F,'FTE 계산'!E$2)</f>
        <v>163.1</v>
      </c>
      <c r="F325">
        <f>SUMIFS(monthly_work_hours!$K:$K,monthly_work_hours!$A:$A,'FTE 계산'!$A325,monthly_work_hours!$F:$F,'FTE 계산'!F$2)</f>
        <v>531.5</v>
      </c>
      <c r="G325">
        <f>SUMIFS(monthly_work_hours!$K:$K,monthly_work_hours!$A:$A,'FTE 계산'!$A325,monthly_work_hours!$F:$F,'FTE 계산'!G$2)</f>
        <v>132.6</v>
      </c>
      <c r="H325">
        <f>(SUMIFS(monthly_work_hours!$G:$G,monthly_work_hours!$A:$A,'FTE 계산'!$A325,monthly_work_hours!$F:$F,'FTE 계산'!H$2)) - (SUMIFS(monthly_work_hours!$J:$J,monthly_work_hours!$A:$A,'FTE 계산'!$A325,monthly_work_hours!$F:$F,'FTE 계산'!H$2))</f>
        <v>17</v>
      </c>
      <c r="I325">
        <f>(SUMIFS(monthly_work_hours!$G:$G,monthly_work_hours!$A:$A,'FTE 계산'!$A325,monthly_work_hours!$F:$F,'FTE 계산'!I$2)) - (SUMIFS(monthly_work_hours!$J:$J,monthly_work_hours!$A:$A,'FTE 계산'!$A325,monthly_work_hours!$F:$F,'FTE 계산'!I$2))</f>
        <v>22</v>
      </c>
      <c r="J325">
        <f>(SUMIFS(monthly_work_hours!$G:$G,monthly_work_hours!$A:$A,'FTE 계산'!$A325,monthly_work_hours!$F:$F,'FTE 계산'!J$2)) - (SUMIFS(monthly_work_hours!$J:$J,monthly_work_hours!$A:$A,'FTE 계산'!$A325,monthly_work_hours!$F:$F,'FTE 계산'!J$2))</f>
        <v>16</v>
      </c>
    </row>
    <row r="326" spans="1:10">
      <c r="A326" t="str">
        <v>G222031</v>
      </c>
      <c r="B326" t="str">
        <f>_xlfn.XLOOKUP(A326,monthly_work_hours!A:A,monthly_work_hours!B:B)</f>
        <v>강동구</v>
      </c>
      <c r="C326" t="str">
        <f>_xlfn.XLOOKUP(A326,monthly_work_hours!A:A,monthly_work_hours!C:C)</f>
        <v>FL기술지원팀</v>
      </c>
      <c r="D326" t="str">
        <f>_xlfn.XLOOKUP(A326,monthly_work_hours!A:A,monthly_work_hours!D:D)</f>
        <v>사원</v>
      </c>
      <c r="E326">
        <f>SUMIFS(monthly_work_hours!$K:$K,monthly_work_hours!$A:$A,'FTE 계산'!$A326,monthly_work_hours!$F:$F,'FTE 계산'!E$2)</f>
        <v>169.6</v>
      </c>
      <c r="F326">
        <f>SUMIFS(monthly_work_hours!$K:$K,monthly_work_hours!$A:$A,'FTE 계산'!$A326,monthly_work_hours!$F:$F,'FTE 계산'!F$2)</f>
        <v>124</v>
      </c>
      <c r="G326">
        <f>SUMIFS(monthly_work_hours!$K:$K,monthly_work_hours!$A:$A,'FTE 계산'!$A326,monthly_work_hours!$F:$F,'FTE 계산'!G$2)</f>
        <v>138.9</v>
      </c>
      <c r="H326">
        <f>(SUMIFS(monthly_work_hours!$G:$G,monthly_work_hours!$A:$A,'FTE 계산'!$A326,monthly_work_hours!$F:$F,'FTE 계산'!H$2)) - (SUMIFS(monthly_work_hours!$J:$J,monthly_work_hours!$A:$A,'FTE 계산'!$A326,monthly_work_hours!$F:$F,'FTE 계산'!H$2))</f>
        <v>18</v>
      </c>
      <c r="I326">
        <f>(SUMIFS(monthly_work_hours!$G:$G,monthly_work_hours!$A:$A,'FTE 계산'!$A326,monthly_work_hours!$F:$F,'FTE 계산'!I$2)) - (SUMIFS(monthly_work_hours!$J:$J,monthly_work_hours!$A:$A,'FTE 계산'!$A326,monthly_work_hours!$F:$F,'FTE 계산'!I$2))</f>
        <v>13</v>
      </c>
      <c r="J326">
        <f>(SUMIFS(monthly_work_hours!$G:$G,monthly_work_hours!$A:$A,'FTE 계산'!$A326,monthly_work_hours!$F:$F,'FTE 계산'!J$2)) - (SUMIFS(monthly_work_hours!$J:$J,monthly_work_hours!$A:$A,'FTE 계산'!$A326,monthly_work_hours!$F:$F,'FTE 계산'!J$2))</f>
        <v>16</v>
      </c>
    </row>
    <row r="327" spans="1:10">
      <c r="A327" t="str">
        <v>G222032</v>
      </c>
      <c r="B327" t="str">
        <f>_xlfn.XLOOKUP(A327,monthly_work_hours!A:A,monthly_work_hours!B:B)</f>
        <v>김태원</v>
      </c>
      <c r="C327" t="str">
        <f>_xlfn.XLOOKUP(A327,monthly_work_hours!A:A,monthly_work_hours!C:C)</f>
        <v>FL기술지원팀</v>
      </c>
      <c r="D327" t="str">
        <f>_xlfn.XLOOKUP(A327,monthly_work_hours!A:A,monthly_work_hours!D:D)</f>
        <v>사원</v>
      </c>
      <c r="E327">
        <f>SUMIFS(monthly_work_hours!$K:$K,monthly_work_hours!$A:$A,'FTE 계산'!$A327,monthly_work_hours!$F:$F,'FTE 계산'!E$2)</f>
        <v>170.4</v>
      </c>
      <c r="F327">
        <f>SUMIFS(monthly_work_hours!$K:$K,monthly_work_hours!$A:$A,'FTE 계산'!$A327,monthly_work_hours!$F:$F,'FTE 계산'!F$2)</f>
        <v>166</v>
      </c>
      <c r="G327">
        <f>SUMIFS(monthly_work_hours!$K:$K,monthly_work_hours!$A:$A,'FTE 계산'!$A327,monthly_work_hours!$F:$F,'FTE 계산'!G$2)</f>
        <v>127.6</v>
      </c>
      <c r="H327">
        <f>(SUMIFS(monthly_work_hours!$G:$G,monthly_work_hours!$A:$A,'FTE 계산'!$A327,monthly_work_hours!$F:$F,'FTE 계산'!H$2)) - (SUMIFS(monthly_work_hours!$J:$J,monthly_work_hours!$A:$A,'FTE 계산'!$A327,monthly_work_hours!$F:$F,'FTE 계산'!H$2))</f>
        <v>18</v>
      </c>
      <c r="I327">
        <f>(SUMIFS(monthly_work_hours!$G:$G,monthly_work_hours!$A:$A,'FTE 계산'!$A327,monthly_work_hours!$F:$F,'FTE 계산'!I$2)) - (SUMIFS(monthly_work_hours!$J:$J,monthly_work_hours!$A:$A,'FTE 계산'!$A327,monthly_work_hours!$F:$F,'FTE 계산'!I$2))</f>
        <v>18</v>
      </c>
      <c r="J327">
        <f>(SUMIFS(monthly_work_hours!$G:$G,monthly_work_hours!$A:$A,'FTE 계산'!$A327,monthly_work_hours!$F:$F,'FTE 계산'!J$2)) - (SUMIFS(monthly_work_hours!$J:$J,monthly_work_hours!$A:$A,'FTE 계산'!$A327,monthly_work_hours!$F:$F,'FTE 계산'!J$2))</f>
        <v>15</v>
      </c>
    </row>
    <row r="328" spans="1:10">
      <c r="A328" t="str">
        <v>G222035</v>
      </c>
      <c r="B328" t="str">
        <f>_xlfn.XLOOKUP(A328,monthly_work_hours!A:A,monthly_work_hours!B:B)</f>
        <v>곽지훈</v>
      </c>
      <c r="C328" t="str">
        <f>_xlfn.XLOOKUP(A328,monthly_work_hours!A:A,monthly_work_hours!C:C)</f>
        <v>지속가능경영2팀</v>
      </c>
      <c r="D328" t="str">
        <f>_xlfn.XLOOKUP(A328,monthly_work_hours!A:A,monthly_work_hours!D:D)</f>
        <v>책임</v>
      </c>
      <c r="E328">
        <f>SUMIFS(monthly_work_hours!$K:$K,monthly_work_hours!$A:$A,'FTE 계산'!$A328,monthly_work_hours!$F:$F,'FTE 계산'!E$2)</f>
        <v>10.6</v>
      </c>
      <c r="F328">
        <f>SUMIFS(monthly_work_hours!$K:$K,monthly_work_hours!$A:$A,'FTE 계산'!$A328,monthly_work_hours!$F:$F,'FTE 계산'!F$2)</f>
        <v>19.7</v>
      </c>
      <c r="G328">
        <f>SUMIFS(monthly_work_hours!$K:$K,monthly_work_hours!$A:$A,'FTE 계산'!$A328,monthly_work_hours!$F:$F,'FTE 계산'!G$2)</f>
        <v>195.7</v>
      </c>
      <c r="H328">
        <f>(SUMIFS(monthly_work_hours!$G:$G,monthly_work_hours!$A:$A,'FTE 계산'!$A328,monthly_work_hours!$F:$F,'FTE 계산'!H$2)) - (SUMIFS(monthly_work_hours!$J:$J,monthly_work_hours!$A:$A,'FTE 계산'!$A328,monthly_work_hours!$F:$F,'FTE 계산'!H$2))</f>
        <v>3</v>
      </c>
      <c r="I328">
        <f>(SUMIFS(monthly_work_hours!$G:$G,monthly_work_hours!$A:$A,'FTE 계산'!$A328,monthly_work_hours!$F:$F,'FTE 계산'!I$2)) - (SUMIFS(monthly_work_hours!$J:$J,monthly_work_hours!$A:$A,'FTE 계산'!$A328,monthly_work_hours!$F:$F,'FTE 계산'!I$2))</f>
        <v>3</v>
      </c>
      <c r="J328">
        <f>(SUMIFS(monthly_work_hours!$G:$G,monthly_work_hours!$A:$A,'FTE 계산'!$A328,monthly_work_hours!$F:$F,'FTE 계산'!J$2)) - (SUMIFS(monthly_work_hours!$J:$J,monthly_work_hours!$A:$A,'FTE 계산'!$A328,monthly_work_hours!$F:$F,'FTE 계산'!J$2))</f>
        <v>10</v>
      </c>
    </row>
    <row r="329" spans="1:10">
      <c r="A329" t="str">
        <v>G223003</v>
      </c>
      <c r="B329" t="str">
        <f>_xlfn.XLOOKUP(A329,monthly_work_hours!A:A,monthly_work_hours!B:B)</f>
        <v>김태희</v>
      </c>
      <c r="C329" t="str">
        <f>_xlfn.XLOOKUP(A329,monthly_work_hours!A:A,monthly_work_hours!C:C)</f>
        <v>IT 1팀</v>
      </c>
      <c r="D329" t="str">
        <f>_xlfn.XLOOKUP(A329,monthly_work_hours!A:A,monthly_work_hours!D:D)</f>
        <v>사원</v>
      </c>
      <c r="E329">
        <f>SUMIFS(monthly_work_hours!$K:$K,monthly_work_hours!$A:$A,'FTE 계산'!$A329,monthly_work_hours!$F:$F,'FTE 계산'!E$2)</f>
        <v>170.9</v>
      </c>
      <c r="F329">
        <f>SUMIFS(monthly_work_hours!$K:$K,monthly_work_hours!$A:$A,'FTE 계산'!$A329,monthly_work_hours!$F:$F,'FTE 계산'!F$2)</f>
        <v>208.6</v>
      </c>
      <c r="G329">
        <f>SUMIFS(monthly_work_hours!$K:$K,monthly_work_hours!$A:$A,'FTE 계산'!$A329,monthly_work_hours!$F:$F,'FTE 계산'!G$2)</f>
        <v>146.6</v>
      </c>
      <c r="H329">
        <f>(SUMIFS(monthly_work_hours!$G:$G,monthly_work_hours!$A:$A,'FTE 계산'!$A329,monthly_work_hours!$F:$F,'FTE 계산'!H$2)) - (SUMIFS(monthly_work_hours!$J:$J,monthly_work_hours!$A:$A,'FTE 계산'!$A329,monthly_work_hours!$F:$F,'FTE 계산'!H$2))</f>
        <v>19</v>
      </c>
      <c r="I329">
        <f>(SUMIFS(monthly_work_hours!$G:$G,monthly_work_hours!$A:$A,'FTE 계산'!$A329,monthly_work_hours!$F:$F,'FTE 계산'!I$2)) - (SUMIFS(monthly_work_hours!$J:$J,monthly_work_hours!$A:$A,'FTE 계산'!$A329,monthly_work_hours!$F:$F,'FTE 계산'!I$2))</f>
        <v>23</v>
      </c>
      <c r="J329">
        <f>(SUMIFS(monthly_work_hours!$G:$G,monthly_work_hours!$A:$A,'FTE 계산'!$A329,monthly_work_hours!$F:$F,'FTE 계산'!J$2)) - (SUMIFS(monthly_work_hours!$J:$J,monthly_work_hours!$A:$A,'FTE 계산'!$A329,monthly_work_hours!$F:$F,'FTE 계산'!J$2))</f>
        <v>17</v>
      </c>
    </row>
    <row r="330" spans="1:10">
      <c r="A330" t="str">
        <v>G223004</v>
      </c>
      <c r="B330" t="str">
        <f>_xlfn.XLOOKUP(A330,monthly_work_hours!A:A,monthly_work_hours!B:B)</f>
        <v>이호석</v>
      </c>
      <c r="C330" t="str">
        <f>_xlfn.XLOOKUP(A330,monthly_work_hours!A:A,monthly_work_hours!C:C)</f>
        <v>IT 1팀</v>
      </c>
      <c r="D330" t="str">
        <f>_xlfn.XLOOKUP(A330,monthly_work_hours!A:A,monthly_work_hours!D:D)</f>
        <v>선임</v>
      </c>
      <c r="E330">
        <f>SUMIFS(monthly_work_hours!$K:$K,monthly_work_hours!$A:$A,'FTE 계산'!$A330,monthly_work_hours!$F:$F,'FTE 계산'!E$2)</f>
        <v>339.2</v>
      </c>
      <c r="F330">
        <f>SUMIFS(monthly_work_hours!$K:$K,monthly_work_hours!$A:$A,'FTE 계산'!$A330,monthly_work_hours!$F:$F,'FTE 계산'!F$2)</f>
        <v>416.8</v>
      </c>
      <c r="G330">
        <f>SUMIFS(monthly_work_hours!$K:$K,monthly_work_hours!$A:$A,'FTE 계산'!$A330,monthly_work_hours!$F:$F,'FTE 계산'!G$2)</f>
        <v>217.7</v>
      </c>
      <c r="H330">
        <f>(SUMIFS(monthly_work_hours!$G:$G,monthly_work_hours!$A:$A,'FTE 계산'!$A330,monthly_work_hours!$F:$F,'FTE 계산'!H$2)) - (SUMIFS(monthly_work_hours!$J:$J,monthly_work_hours!$A:$A,'FTE 계산'!$A330,monthly_work_hours!$F:$F,'FTE 계산'!H$2))</f>
        <v>20</v>
      </c>
      <c r="I330">
        <f>(SUMIFS(monthly_work_hours!$G:$G,monthly_work_hours!$A:$A,'FTE 계산'!$A330,monthly_work_hours!$F:$F,'FTE 계산'!I$2)) - (SUMIFS(monthly_work_hours!$J:$J,monthly_work_hours!$A:$A,'FTE 계산'!$A330,monthly_work_hours!$F:$F,'FTE 계산'!I$2))</f>
        <v>22</v>
      </c>
      <c r="J330">
        <f>(SUMIFS(monthly_work_hours!$G:$G,monthly_work_hours!$A:$A,'FTE 계산'!$A330,monthly_work_hours!$F:$F,'FTE 계산'!J$2)) - (SUMIFS(monthly_work_hours!$J:$J,monthly_work_hours!$A:$A,'FTE 계산'!$A330,monthly_work_hours!$F:$F,'FTE 계산'!J$2))</f>
        <v>16</v>
      </c>
    </row>
    <row r="331" spans="1:10">
      <c r="A331" t="str">
        <v>G223008</v>
      </c>
      <c r="B331" t="str">
        <f>_xlfn.XLOOKUP(A331,monthly_work_hours!A:A,monthly_work_hours!B:B)</f>
        <v>박지은</v>
      </c>
      <c r="C331" t="str">
        <f>_xlfn.XLOOKUP(A331,monthly_work_hours!A:A,monthly_work_hours!C:C)</f>
        <v>ME사업팀</v>
      </c>
      <c r="D331" t="str">
        <f>_xlfn.XLOOKUP(A331,monthly_work_hours!A:A,monthly_work_hours!D:D)</f>
        <v>사원</v>
      </c>
      <c r="E331">
        <f>SUMIFS(monthly_work_hours!$K:$K,monthly_work_hours!$A:$A,'FTE 계산'!$A331,monthly_work_hours!$F:$F,'FTE 계산'!E$2)</f>
        <v>202</v>
      </c>
      <c r="F331">
        <f>SUMIFS(monthly_work_hours!$K:$K,monthly_work_hours!$A:$A,'FTE 계산'!$A331,monthly_work_hours!$F:$F,'FTE 계산'!F$2)</f>
        <v>197.7</v>
      </c>
      <c r="G331">
        <f>SUMIFS(monthly_work_hours!$K:$K,monthly_work_hours!$A:$A,'FTE 계산'!$A331,monthly_work_hours!$F:$F,'FTE 계산'!G$2)</f>
        <v>133.9</v>
      </c>
      <c r="H331">
        <f>(SUMIFS(monthly_work_hours!$G:$G,monthly_work_hours!$A:$A,'FTE 계산'!$A331,monthly_work_hours!$F:$F,'FTE 계산'!H$2)) - (SUMIFS(monthly_work_hours!$J:$J,monthly_work_hours!$A:$A,'FTE 계산'!$A331,monthly_work_hours!$F:$F,'FTE 계산'!H$2))</f>
        <v>19</v>
      </c>
      <c r="I331">
        <f>(SUMIFS(monthly_work_hours!$G:$G,monthly_work_hours!$A:$A,'FTE 계산'!$A331,monthly_work_hours!$F:$F,'FTE 계산'!I$2)) - (SUMIFS(monthly_work_hours!$J:$J,monthly_work_hours!$A:$A,'FTE 계산'!$A331,monthly_work_hours!$F:$F,'FTE 계산'!I$2))</f>
        <v>19</v>
      </c>
      <c r="J331">
        <f>(SUMIFS(monthly_work_hours!$G:$G,monthly_work_hours!$A:$A,'FTE 계산'!$A331,monthly_work_hours!$F:$F,'FTE 계산'!J$2)) - (SUMIFS(monthly_work_hours!$J:$J,monthly_work_hours!$A:$A,'FTE 계산'!$A331,monthly_work_hours!$F:$F,'FTE 계산'!J$2))</f>
        <v>15</v>
      </c>
    </row>
    <row r="332" spans="1:10">
      <c r="A332" t="str">
        <v>G223009</v>
      </c>
      <c r="B332" t="str">
        <f>_xlfn.XLOOKUP(A332,monthly_work_hours!A:A,monthly_work_hours!B:B)</f>
        <v>류태훈</v>
      </c>
      <c r="C332" t="str">
        <f>_xlfn.XLOOKUP(A332,monthly_work_hours!A:A,monthly_work_hours!C:C)</f>
        <v>IT 1팀</v>
      </c>
      <c r="D332" t="str">
        <f>_xlfn.XLOOKUP(A332,monthly_work_hours!A:A,monthly_work_hours!D:D)</f>
        <v>책임</v>
      </c>
      <c r="E332">
        <f>SUMIFS(monthly_work_hours!$K:$K,monthly_work_hours!$A:$A,'FTE 계산'!$A332,monthly_work_hours!$F:$F,'FTE 계산'!E$2)</f>
        <v>189.1</v>
      </c>
      <c r="F332">
        <f>SUMIFS(monthly_work_hours!$K:$K,monthly_work_hours!$A:$A,'FTE 계산'!$A332,monthly_work_hours!$F:$F,'FTE 계산'!F$2)</f>
        <v>233.1</v>
      </c>
      <c r="G332">
        <f>SUMIFS(monthly_work_hours!$K:$K,monthly_work_hours!$A:$A,'FTE 계산'!$A332,monthly_work_hours!$F:$F,'FTE 계산'!G$2)</f>
        <v>143.80000000000001</v>
      </c>
      <c r="H332">
        <f>(SUMIFS(monthly_work_hours!$G:$G,monthly_work_hours!$A:$A,'FTE 계산'!$A332,monthly_work_hours!$F:$F,'FTE 계산'!H$2)) - (SUMIFS(monthly_work_hours!$J:$J,monthly_work_hours!$A:$A,'FTE 계산'!$A332,monthly_work_hours!$F:$F,'FTE 계산'!H$2))</f>
        <v>16</v>
      </c>
      <c r="I332">
        <f>(SUMIFS(monthly_work_hours!$G:$G,monthly_work_hours!$A:$A,'FTE 계산'!$A332,monthly_work_hours!$F:$F,'FTE 계산'!I$2)) - (SUMIFS(monthly_work_hours!$J:$J,monthly_work_hours!$A:$A,'FTE 계산'!$A332,monthly_work_hours!$F:$F,'FTE 계산'!I$2))</f>
        <v>21</v>
      </c>
      <c r="J332">
        <f>(SUMIFS(monthly_work_hours!$G:$G,monthly_work_hours!$A:$A,'FTE 계산'!$A332,monthly_work_hours!$F:$F,'FTE 계산'!J$2)) - (SUMIFS(monthly_work_hours!$J:$J,monthly_work_hours!$A:$A,'FTE 계산'!$A332,monthly_work_hours!$F:$F,'FTE 계산'!J$2))</f>
        <v>16</v>
      </c>
    </row>
    <row r="333" spans="1:10">
      <c r="A333" t="str">
        <v>G223010</v>
      </c>
      <c r="B333" t="str">
        <f>_xlfn.XLOOKUP(A333,monthly_work_hours!A:A,monthly_work_hours!B:B)</f>
        <v>전규홍</v>
      </c>
      <c r="C333" t="str">
        <f>_xlfn.XLOOKUP(A333,monthly_work_hours!A:A,monthly_work_hours!C:C)</f>
        <v>PI팀</v>
      </c>
      <c r="D333" t="str">
        <f>_xlfn.XLOOKUP(A333,monthly_work_hours!A:A,monthly_work_hours!D:D)</f>
        <v>책임</v>
      </c>
      <c r="E333">
        <f>SUMIFS(monthly_work_hours!$K:$K,monthly_work_hours!$A:$A,'FTE 계산'!$A333,monthly_work_hours!$F:$F,'FTE 계산'!E$2)</f>
        <v>197.2</v>
      </c>
      <c r="F333">
        <f>SUMIFS(monthly_work_hours!$K:$K,monthly_work_hours!$A:$A,'FTE 계산'!$A333,monthly_work_hours!$F:$F,'FTE 계산'!F$2)</f>
        <v>237.6</v>
      </c>
      <c r="G333">
        <f>SUMIFS(monthly_work_hours!$K:$K,monthly_work_hours!$A:$A,'FTE 계산'!$A333,monthly_work_hours!$F:$F,'FTE 계산'!G$2)</f>
        <v>108.4</v>
      </c>
      <c r="H333">
        <f>(SUMIFS(monthly_work_hours!$G:$G,monthly_work_hours!$A:$A,'FTE 계산'!$A333,monthly_work_hours!$F:$F,'FTE 계산'!H$2)) - (SUMIFS(monthly_work_hours!$J:$J,monthly_work_hours!$A:$A,'FTE 계산'!$A333,monthly_work_hours!$F:$F,'FTE 계산'!H$2))</f>
        <v>20</v>
      </c>
      <c r="I333">
        <f>(SUMIFS(monthly_work_hours!$G:$G,monthly_work_hours!$A:$A,'FTE 계산'!$A333,monthly_work_hours!$F:$F,'FTE 계산'!I$2)) - (SUMIFS(monthly_work_hours!$J:$J,monthly_work_hours!$A:$A,'FTE 계산'!$A333,monthly_work_hours!$F:$F,'FTE 계산'!I$2))</f>
        <v>23</v>
      </c>
      <c r="J333">
        <f>(SUMIFS(monthly_work_hours!$G:$G,monthly_work_hours!$A:$A,'FTE 계산'!$A333,monthly_work_hours!$F:$F,'FTE 계산'!J$2)) - (SUMIFS(monthly_work_hours!$J:$J,monthly_work_hours!$A:$A,'FTE 계산'!$A333,monthly_work_hours!$F:$F,'FTE 계산'!J$2))</f>
        <v>13</v>
      </c>
    </row>
    <row r="334" spans="1:10">
      <c r="A334" t="str">
        <v>G223011</v>
      </c>
      <c r="B334" t="str">
        <f>_xlfn.XLOOKUP(A334,monthly_work_hours!A:A,monthly_work_hours!B:B)</f>
        <v>박영욱</v>
      </c>
      <c r="C334" t="str">
        <f>_xlfn.XLOOKUP(A334,monthly_work_hours!A:A,monthly_work_hours!C:C)</f>
        <v>PI팀</v>
      </c>
      <c r="D334" t="str">
        <f>_xlfn.XLOOKUP(A334,monthly_work_hours!A:A,monthly_work_hours!D:D)</f>
        <v>책임</v>
      </c>
      <c r="E334">
        <f>SUMIFS(monthly_work_hours!$K:$K,monthly_work_hours!$A:$A,'FTE 계산'!$A334,monthly_work_hours!$F:$F,'FTE 계산'!E$2)</f>
        <v>145.9</v>
      </c>
      <c r="F334">
        <f>SUMIFS(monthly_work_hours!$K:$K,monthly_work_hours!$A:$A,'FTE 계산'!$A334,monthly_work_hours!$F:$F,'FTE 계산'!F$2)</f>
        <v>256.5</v>
      </c>
      <c r="G334">
        <f>SUMIFS(monthly_work_hours!$K:$K,monthly_work_hours!$A:$A,'FTE 계산'!$A334,monthly_work_hours!$F:$F,'FTE 계산'!G$2)</f>
        <v>151.6</v>
      </c>
      <c r="H334">
        <f>(SUMIFS(monthly_work_hours!$G:$G,monthly_work_hours!$A:$A,'FTE 계산'!$A334,monthly_work_hours!$F:$F,'FTE 계산'!H$2)) - (SUMIFS(monthly_work_hours!$J:$J,monthly_work_hours!$A:$A,'FTE 계산'!$A334,monthly_work_hours!$F:$F,'FTE 계산'!H$2))</f>
        <v>14</v>
      </c>
      <c r="I334">
        <f>(SUMIFS(monthly_work_hours!$G:$G,monthly_work_hours!$A:$A,'FTE 계산'!$A334,monthly_work_hours!$F:$F,'FTE 계산'!I$2)) - (SUMIFS(monthly_work_hours!$J:$J,monthly_work_hours!$A:$A,'FTE 계산'!$A334,monthly_work_hours!$F:$F,'FTE 계산'!I$2))</f>
        <v>23</v>
      </c>
      <c r="J334">
        <f>(SUMIFS(monthly_work_hours!$G:$G,monthly_work_hours!$A:$A,'FTE 계산'!$A334,monthly_work_hours!$F:$F,'FTE 계산'!J$2)) - (SUMIFS(monthly_work_hours!$J:$J,monthly_work_hours!$A:$A,'FTE 계산'!$A334,monthly_work_hours!$F:$F,'FTE 계산'!J$2))</f>
        <v>14</v>
      </c>
    </row>
    <row r="335" spans="1:10">
      <c r="A335" t="str">
        <v>G223012</v>
      </c>
      <c r="B335" t="str">
        <f>_xlfn.XLOOKUP(A335,monthly_work_hours!A:A,monthly_work_hours!B:B)</f>
        <v>김도연</v>
      </c>
      <c r="C335" t="str">
        <f>_xlfn.XLOOKUP(A335,monthly_work_hours!A:A,monthly_work_hours!C:C)</f>
        <v>PI팀</v>
      </c>
      <c r="D335" t="str">
        <f>_xlfn.XLOOKUP(A335,monthly_work_hours!A:A,monthly_work_hours!D:D)</f>
        <v>책임</v>
      </c>
      <c r="E335">
        <f>SUMIFS(monthly_work_hours!$K:$K,monthly_work_hours!$A:$A,'FTE 계산'!$A335,monthly_work_hours!$F:$F,'FTE 계산'!E$2)</f>
        <v>206.2</v>
      </c>
      <c r="F335">
        <f>SUMIFS(monthly_work_hours!$K:$K,monthly_work_hours!$A:$A,'FTE 계산'!$A335,monthly_work_hours!$F:$F,'FTE 계산'!F$2)</f>
        <v>238.6</v>
      </c>
      <c r="G335">
        <f>SUMIFS(monthly_work_hours!$K:$K,monthly_work_hours!$A:$A,'FTE 계산'!$A335,monthly_work_hours!$F:$F,'FTE 계산'!G$2)</f>
        <v>111.3</v>
      </c>
      <c r="H335">
        <f>(SUMIFS(monthly_work_hours!$G:$G,monthly_work_hours!$A:$A,'FTE 계산'!$A335,monthly_work_hours!$F:$F,'FTE 계산'!H$2)) - (SUMIFS(monthly_work_hours!$J:$J,monthly_work_hours!$A:$A,'FTE 계산'!$A335,monthly_work_hours!$F:$F,'FTE 계산'!H$2))</f>
        <v>20</v>
      </c>
      <c r="I335">
        <f>(SUMIFS(monthly_work_hours!$G:$G,monthly_work_hours!$A:$A,'FTE 계산'!$A335,monthly_work_hours!$F:$F,'FTE 계산'!I$2)) - (SUMIFS(monthly_work_hours!$J:$J,monthly_work_hours!$A:$A,'FTE 계산'!$A335,monthly_work_hours!$F:$F,'FTE 계산'!I$2))</f>
        <v>23</v>
      </c>
      <c r="J335">
        <f>(SUMIFS(monthly_work_hours!$G:$G,monthly_work_hours!$A:$A,'FTE 계산'!$A335,monthly_work_hours!$F:$F,'FTE 계산'!J$2)) - (SUMIFS(monthly_work_hours!$J:$J,monthly_work_hours!$A:$A,'FTE 계산'!$A335,monthly_work_hours!$F:$F,'FTE 계산'!J$2))</f>
        <v>10</v>
      </c>
    </row>
    <row r="336" spans="1:10">
      <c r="A336" t="str">
        <v>G223015</v>
      </c>
      <c r="B336" t="str">
        <f>_xlfn.XLOOKUP(A336,monthly_work_hours!A:A,monthly_work_hours!B:B)</f>
        <v>류현주</v>
      </c>
      <c r="C336" t="str">
        <f>_xlfn.XLOOKUP(A336,monthly_work_hours!A:A,monthly_work_hours!C:C)</f>
        <v>Trans사업팀</v>
      </c>
      <c r="D336" t="str">
        <f>_xlfn.XLOOKUP(A336,monthly_work_hours!A:A,monthly_work_hours!D:D)</f>
        <v>사원</v>
      </c>
      <c r="E336">
        <f>SUMIFS(monthly_work_hours!$K:$K,monthly_work_hours!$A:$A,'FTE 계산'!$A336,monthly_work_hours!$F:$F,'FTE 계산'!E$2)</f>
        <v>174.1</v>
      </c>
      <c r="F336">
        <f>SUMIFS(monthly_work_hours!$K:$K,monthly_work_hours!$A:$A,'FTE 계산'!$A336,monthly_work_hours!$F:$F,'FTE 계산'!F$2)</f>
        <v>222.5</v>
      </c>
      <c r="G336">
        <f>SUMIFS(monthly_work_hours!$K:$K,monthly_work_hours!$A:$A,'FTE 계산'!$A336,monthly_work_hours!$F:$F,'FTE 계산'!G$2)</f>
        <v>113.7</v>
      </c>
      <c r="H336">
        <f>(SUMIFS(monthly_work_hours!$G:$G,monthly_work_hours!$A:$A,'FTE 계산'!$A336,monthly_work_hours!$F:$F,'FTE 계산'!H$2)) - (SUMIFS(monthly_work_hours!$J:$J,monthly_work_hours!$A:$A,'FTE 계산'!$A336,monthly_work_hours!$F:$F,'FTE 계산'!H$2))</f>
        <v>18</v>
      </c>
      <c r="I336">
        <f>(SUMIFS(monthly_work_hours!$G:$G,monthly_work_hours!$A:$A,'FTE 계산'!$A336,monthly_work_hours!$F:$F,'FTE 계산'!I$2)) - (SUMIFS(monthly_work_hours!$J:$J,monthly_work_hours!$A:$A,'FTE 계산'!$A336,monthly_work_hours!$F:$F,'FTE 계산'!I$2))</f>
        <v>22</v>
      </c>
      <c r="J336">
        <f>(SUMIFS(monthly_work_hours!$G:$G,monthly_work_hours!$A:$A,'FTE 계산'!$A336,monthly_work_hours!$F:$F,'FTE 계산'!J$2)) - (SUMIFS(monthly_work_hours!$J:$J,monthly_work_hours!$A:$A,'FTE 계산'!$A336,monthly_work_hours!$F:$F,'FTE 계산'!J$2))</f>
        <v>14</v>
      </c>
    </row>
    <row r="337" spans="1:10">
      <c r="A337" t="str">
        <v>G223016</v>
      </c>
      <c r="B337" t="str">
        <f>_xlfn.XLOOKUP(A337,monthly_work_hours!A:A,monthly_work_hours!B:B)</f>
        <v>차준길</v>
      </c>
      <c r="C337" t="str">
        <f>_xlfn.XLOOKUP(A337,monthly_work_hours!A:A,monthly_work_hours!C:C)</f>
        <v>IT 1팀</v>
      </c>
      <c r="D337" t="str">
        <f>_xlfn.XLOOKUP(A337,monthly_work_hours!A:A,monthly_work_hours!D:D)</f>
        <v>선임</v>
      </c>
      <c r="E337">
        <f>SUMIFS(monthly_work_hours!$K:$K,monthly_work_hours!$A:$A,'FTE 계산'!$A337,monthly_work_hours!$F:$F,'FTE 계산'!E$2)</f>
        <v>469.1</v>
      </c>
      <c r="F337">
        <f>SUMIFS(monthly_work_hours!$K:$K,monthly_work_hours!$A:$A,'FTE 계산'!$A337,monthly_work_hours!$F:$F,'FTE 계산'!F$2)</f>
        <v>729</v>
      </c>
      <c r="G337">
        <f>SUMIFS(monthly_work_hours!$K:$K,monthly_work_hours!$A:$A,'FTE 계산'!$A337,monthly_work_hours!$F:$F,'FTE 계산'!G$2)</f>
        <v>592.20000000000005</v>
      </c>
      <c r="H337">
        <f>(SUMIFS(monthly_work_hours!$G:$G,monthly_work_hours!$A:$A,'FTE 계산'!$A337,monthly_work_hours!$F:$F,'FTE 계산'!H$2)) - (SUMIFS(monthly_work_hours!$J:$J,monthly_work_hours!$A:$A,'FTE 계산'!$A337,monthly_work_hours!$F:$F,'FTE 계산'!H$2))</f>
        <v>18</v>
      </c>
      <c r="I337">
        <f>(SUMIFS(monthly_work_hours!$G:$G,monthly_work_hours!$A:$A,'FTE 계산'!$A337,monthly_work_hours!$F:$F,'FTE 계산'!I$2)) - (SUMIFS(monthly_work_hours!$J:$J,monthly_work_hours!$A:$A,'FTE 계산'!$A337,monthly_work_hours!$F:$F,'FTE 계산'!I$2))</f>
        <v>23</v>
      </c>
      <c r="J337">
        <f>(SUMIFS(monthly_work_hours!$G:$G,monthly_work_hours!$A:$A,'FTE 계산'!$A337,monthly_work_hours!$F:$F,'FTE 계산'!J$2)) - (SUMIFS(monthly_work_hours!$J:$J,monthly_work_hours!$A:$A,'FTE 계산'!$A337,monthly_work_hours!$F:$F,'FTE 계산'!J$2))</f>
        <v>18</v>
      </c>
    </row>
    <row r="338" spans="1:10">
      <c r="A338" t="str">
        <v>G223041</v>
      </c>
      <c r="B338" t="str">
        <f>_xlfn.XLOOKUP(A338,monthly_work_hours!A:A,monthly_work_hours!B:B)</f>
        <v>최한활</v>
      </c>
      <c r="C338" t="str">
        <f>_xlfn.XLOOKUP(A338,monthly_work_hours!A:A,monthly_work_hours!C:C)</f>
        <v>인더스트리얼재료팀</v>
      </c>
      <c r="D338" t="str">
        <f>_xlfn.XLOOKUP(A338,monthly_work_hours!A:A,monthly_work_hours!D:D)</f>
        <v>책임</v>
      </c>
      <c r="E338">
        <f>SUMIFS(monthly_work_hours!$K:$K,monthly_work_hours!$A:$A,'FTE 계산'!$A338,monthly_work_hours!$F:$F,'FTE 계산'!E$2)</f>
        <v>174.4</v>
      </c>
      <c r="F338">
        <f>SUMIFS(monthly_work_hours!$K:$K,monthly_work_hours!$A:$A,'FTE 계산'!$A338,monthly_work_hours!$F:$F,'FTE 계산'!F$2)</f>
        <v>169.1</v>
      </c>
      <c r="G338">
        <f>SUMIFS(monthly_work_hours!$K:$K,monthly_work_hours!$A:$A,'FTE 계산'!$A338,monthly_work_hours!$F:$F,'FTE 계산'!G$2)</f>
        <v>141.9</v>
      </c>
      <c r="H338">
        <f>(SUMIFS(monthly_work_hours!$G:$G,monthly_work_hours!$A:$A,'FTE 계산'!$A338,monthly_work_hours!$F:$F,'FTE 계산'!H$2)) - (SUMIFS(monthly_work_hours!$J:$J,monthly_work_hours!$A:$A,'FTE 계산'!$A338,monthly_work_hours!$F:$F,'FTE 계산'!H$2))</f>
        <v>19</v>
      </c>
      <c r="I338">
        <f>(SUMIFS(monthly_work_hours!$G:$G,monthly_work_hours!$A:$A,'FTE 계산'!$A338,monthly_work_hours!$F:$F,'FTE 계산'!I$2)) - (SUMIFS(monthly_work_hours!$J:$J,monthly_work_hours!$A:$A,'FTE 계산'!$A338,monthly_work_hours!$F:$F,'FTE 계산'!I$2))</f>
        <v>18</v>
      </c>
      <c r="J338">
        <f>(SUMIFS(monthly_work_hours!$G:$G,monthly_work_hours!$A:$A,'FTE 계산'!$A338,monthly_work_hours!$F:$F,'FTE 계산'!J$2)) - (SUMIFS(monthly_work_hours!$J:$J,monthly_work_hours!$A:$A,'FTE 계산'!$A338,monthly_work_hours!$F:$F,'FTE 계산'!J$2))</f>
        <v>16</v>
      </c>
    </row>
    <row r="339" spans="1:10">
      <c r="A339" t="str">
        <v>G223042</v>
      </c>
      <c r="B339" t="str">
        <f>_xlfn.XLOOKUP(A339,monthly_work_hours!A:A,monthly_work_hours!B:B)</f>
        <v>정우석</v>
      </c>
      <c r="C339" t="str">
        <f>_xlfn.XLOOKUP(A339,monthly_work_hours!A:A,monthly_work_hours!C:C)</f>
        <v>인더스트리얼재료팀</v>
      </c>
      <c r="D339" t="str">
        <f>_xlfn.XLOOKUP(A339,monthly_work_hours!A:A,monthly_work_hours!D:D)</f>
        <v>선임</v>
      </c>
      <c r="E339">
        <f>SUMIFS(monthly_work_hours!$K:$K,monthly_work_hours!$A:$A,'FTE 계산'!$A339,monthly_work_hours!$F:$F,'FTE 계산'!E$2)</f>
        <v>149.30000000000001</v>
      </c>
      <c r="F339">
        <f>SUMIFS(monthly_work_hours!$K:$K,monthly_work_hours!$A:$A,'FTE 계산'!$A339,monthly_work_hours!$F:$F,'FTE 계산'!F$2)</f>
        <v>190.1</v>
      </c>
      <c r="G339">
        <f>SUMIFS(monthly_work_hours!$K:$K,monthly_work_hours!$A:$A,'FTE 계산'!$A339,monthly_work_hours!$F:$F,'FTE 계산'!G$2)</f>
        <v>128.30000000000001</v>
      </c>
      <c r="H339">
        <f>(SUMIFS(monthly_work_hours!$G:$G,monthly_work_hours!$A:$A,'FTE 계산'!$A339,monthly_work_hours!$F:$F,'FTE 계산'!H$2)) - (SUMIFS(monthly_work_hours!$J:$J,monthly_work_hours!$A:$A,'FTE 계산'!$A339,monthly_work_hours!$F:$F,'FTE 계산'!H$2))</f>
        <v>17</v>
      </c>
      <c r="I339">
        <f>(SUMIFS(monthly_work_hours!$G:$G,monthly_work_hours!$A:$A,'FTE 계산'!$A339,monthly_work_hours!$F:$F,'FTE 계산'!I$2)) - (SUMIFS(monthly_work_hours!$J:$J,monthly_work_hours!$A:$A,'FTE 계산'!$A339,monthly_work_hours!$F:$F,'FTE 계산'!I$2))</f>
        <v>18</v>
      </c>
      <c r="J339">
        <f>(SUMIFS(monthly_work_hours!$G:$G,monthly_work_hours!$A:$A,'FTE 계산'!$A339,monthly_work_hours!$F:$F,'FTE 계산'!J$2)) - (SUMIFS(monthly_work_hours!$J:$J,monthly_work_hours!$A:$A,'FTE 계산'!$A339,monthly_work_hours!$F:$F,'FTE 계산'!J$2))</f>
        <v>15</v>
      </c>
    </row>
    <row r="340" spans="1:10">
      <c r="A340" t="str">
        <v>G223043</v>
      </c>
      <c r="B340" t="str">
        <f>_xlfn.XLOOKUP(A340,monthly_work_hours!A:A,monthly_work_hours!B:B)</f>
        <v>정한수</v>
      </c>
      <c r="C340" t="str">
        <f>_xlfn.XLOOKUP(A340,monthly_work_hours!A:A,monthly_work_hours!C:C)</f>
        <v>기술지원팀</v>
      </c>
      <c r="D340" t="str">
        <f>_xlfn.XLOOKUP(A340,monthly_work_hours!A:A,monthly_work_hours!D:D)</f>
        <v>선임</v>
      </c>
      <c r="E340">
        <f>SUMIFS(monthly_work_hours!$K:$K,monthly_work_hours!$A:$A,'FTE 계산'!$A340,monthly_work_hours!$F:$F,'FTE 계산'!E$2)</f>
        <v>197.5</v>
      </c>
      <c r="F340">
        <f>SUMIFS(monthly_work_hours!$K:$K,monthly_work_hours!$A:$A,'FTE 계산'!$A340,monthly_work_hours!$F:$F,'FTE 계산'!F$2)</f>
        <v>182.4</v>
      </c>
      <c r="G340">
        <f>SUMIFS(monthly_work_hours!$K:$K,monthly_work_hours!$A:$A,'FTE 계산'!$A340,monthly_work_hours!$F:$F,'FTE 계산'!G$2)</f>
        <v>144.1</v>
      </c>
      <c r="H340">
        <f>(SUMIFS(monthly_work_hours!$G:$G,monthly_work_hours!$A:$A,'FTE 계산'!$A340,monthly_work_hours!$F:$F,'FTE 계산'!H$2)) - (SUMIFS(monthly_work_hours!$J:$J,monthly_work_hours!$A:$A,'FTE 계산'!$A340,monthly_work_hours!$F:$F,'FTE 계산'!H$2))</f>
        <v>20</v>
      </c>
      <c r="I340">
        <f>(SUMIFS(monthly_work_hours!$G:$G,monthly_work_hours!$A:$A,'FTE 계산'!$A340,monthly_work_hours!$F:$F,'FTE 계산'!I$2)) - (SUMIFS(monthly_work_hours!$J:$J,monthly_work_hours!$A:$A,'FTE 계산'!$A340,monthly_work_hours!$F:$F,'FTE 계산'!I$2))</f>
        <v>19</v>
      </c>
      <c r="J340">
        <f>(SUMIFS(monthly_work_hours!$G:$G,monthly_work_hours!$A:$A,'FTE 계산'!$A340,monthly_work_hours!$F:$F,'FTE 계산'!J$2)) - (SUMIFS(monthly_work_hours!$J:$J,monthly_work_hours!$A:$A,'FTE 계산'!$A340,monthly_work_hours!$F:$F,'FTE 계산'!J$2))</f>
        <v>16</v>
      </c>
    </row>
    <row r="341" spans="1:10">
      <c r="A341" t="str">
        <v>G223045</v>
      </c>
      <c r="B341" t="str">
        <f>_xlfn.XLOOKUP(A341,monthly_work_hours!A:A,monthly_work_hours!B:B)</f>
        <v>신응익</v>
      </c>
      <c r="C341" t="str">
        <f>_xlfn.XLOOKUP(A341,monthly_work_hours!A:A,monthly_work_hours!C:C)</f>
        <v>기술지원팀</v>
      </c>
      <c r="D341" t="str">
        <f>_xlfn.XLOOKUP(A341,monthly_work_hours!A:A,monthly_work_hours!D:D)</f>
        <v>선임</v>
      </c>
      <c r="E341">
        <f>SUMIFS(monthly_work_hours!$K:$K,monthly_work_hours!$A:$A,'FTE 계산'!$A341,monthly_work_hours!$F:$F,'FTE 계산'!E$2)</f>
        <v>161.4</v>
      </c>
      <c r="F341">
        <f>SUMIFS(monthly_work_hours!$K:$K,monthly_work_hours!$A:$A,'FTE 계산'!$A341,monthly_work_hours!$F:$F,'FTE 계산'!F$2)</f>
        <v>141.5</v>
      </c>
      <c r="G341">
        <f>SUMIFS(monthly_work_hours!$K:$K,monthly_work_hours!$A:$A,'FTE 계산'!$A341,monthly_work_hours!$F:$F,'FTE 계산'!G$2)</f>
        <v>134</v>
      </c>
      <c r="H341">
        <f>(SUMIFS(monthly_work_hours!$G:$G,monthly_work_hours!$A:$A,'FTE 계산'!$A341,monthly_work_hours!$F:$F,'FTE 계산'!H$2)) - (SUMIFS(monthly_work_hours!$J:$J,monthly_work_hours!$A:$A,'FTE 계산'!$A341,monthly_work_hours!$F:$F,'FTE 계산'!H$2))</f>
        <v>18</v>
      </c>
      <c r="I341">
        <f>(SUMIFS(monthly_work_hours!$G:$G,monthly_work_hours!$A:$A,'FTE 계산'!$A341,monthly_work_hours!$F:$F,'FTE 계산'!I$2)) - (SUMIFS(monthly_work_hours!$J:$J,monthly_work_hours!$A:$A,'FTE 계산'!$A341,monthly_work_hours!$F:$F,'FTE 계산'!I$2))</f>
        <v>15</v>
      </c>
      <c r="J341">
        <f>(SUMIFS(monthly_work_hours!$G:$G,monthly_work_hours!$A:$A,'FTE 계산'!$A341,monthly_work_hours!$F:$F,'FTE 계산'!J$2)) - (SUMIFS(monthly_work_hours!$J:$J,monthly_work_hours!$A:$A,'FTE 계산'!$A341,monthly_work_hours!$F:$F,'FTE 계산'!J$2))</f>
        <v>15</v>
      </c>
    </row>
    <row r="342" spans="1:10">
      <c r="A342" t="str">
        <v>G223046</v>
      </c>
      <c r="B342" t="str">
        <f>_xlfn.XLOOKUP(A342,monthly_work_hours!A:A,monthly_work_hours!B:B)</f>
        <v>김건일</v>
      </c>
      <c r="C342" t="str">
        <f>_xlfn.XLOOKUP(A342,monthly_work_hours!A:A,monthly_work_hours!C:C)</f>
        <v>인더스트리얼재료팀</v>
      </c>
      <c r="D342" t="str">
        <f>_xlfn.XLOOKUP(A342,monthly_work_hours!A:A,monthly_work_hours!D:D)</f>
        <v>선임</v>
      </c>
      <c r="E342">
        <f>SUMIFS(monthly_work_hours!$K:$K,monthly_work_hours!$A:$A,'FTE 계산'!$A342,monthly_work_hours!$F:$F,'FTE 계산'!E$2)</f>
        <v>165</v>
      </c>
      <c r="F342">
        <f>SUMIFS(monthly_work_hours!$K:$K,monthly_work_hours!$A:$A,'FTE 계산'!$A342,monthly_work_hours!$F:$F,'FTE 계산'!F$2)</f>
        <v>124.8</v>
      </c>
      <c r="G342">
        <f>SUMIFS(monthly_work_hours!$K:$K,monthly_work_hours!$A:$A,'FTE 계산'!$A342,monthly_work_hours!$F:$F,'FTE 계산'!G$2)</f>
        <v>127.6</v>
      </c>
      <c r="H342">
        <f>(SUMIFS(monthly_work_hours!$G:$G,monthly_work_hours!$A:$A,'FTE 계산'!$A342,monthly_work_hours!$F:$F,'FTE 계산'!H$2)) - (SUMIFS(monthly_work_hours!$J:$J,monthly_work_hours!$A:$A,'FTE 계산'!$A342,monthly_work_hours!$F:$F,'FTE 계산'!H$2))</f>
        <v>18</v>
      </c>
      <c r="I342">
        <f>(SUMIFS(monthly_work_hours!$G:$G,monthly_work_hours!$A:$A,'FTE 계산'!$A342,monthly_work_hours!$F:$F,'FTE 계산'!I$2)) - (SUMIFS(monthly_work_hours!$J:$J,monthly_work_hours!$A:$A,'FTE 계산'!$A342,monthly_work_hours!$F:$F,'FTE 계산'!I$2))</f>
        <v>14</v>
      </c>
      <c r="J342">
        <f>(SUMIFS(monthly_work_hours!$G:$G,monthly_work_hours!$A:$A,'FTE 계산'!$A342,monthly_work_hours!$F:$F,'FTE 계산'!J$2)) - (SUMIFS(monthly_work_hours!$J:$J,monthly_work_hours!$A:$A,'FTE 계산'!$A342,monthly_work_hours!$F:$F,'FTE 계산'!J$2))</f>
        <v>15</v>
      </c>
    </row>
    <row r="343" spans="1:10">
      <c r="A343" t="str">
        <v>G223047</v>
      </c>
      <c r="B343" t="str">
        <f>_xlfn.XLOOKUP(A343,monthly_work_hours!A:A,monthly_work_hours!B:B)</f>
        <v>이종민</v>
      </c>
      <c r="C343" t="str">
        <f>_xlfn.XLOOKUP(A343,monthly_work_hours!A:A,monthly_work_hours!C:C)</f>
        <v>인더스트리얼재료팀</v>
      </c>
      <c r="D343" t="str">
        <f>_xlfn.XLOOKUP(A343,monthly_work_hours!A:A,monthly_work_hours!D:D)</f>
        <v>사원</v>
      </c>
      <c r="E343">
        <f>SUMIFS(monthly_work_hours!$K:$K,monthly_work_hours!$A:$A,'FTE 계산'!$A343,monthly_work_hours!$F:$F,'FTE 계산'!E$2)</f>
        <v>147.9</v>
      </c>
      <c r="F343">
        <f>SUMIFS(monthly_work_hours!$K:$K,monthly_work_hours!$A:$A,'FTE 계산'!$A343,monthly_work_hours!$F:$F,'FTE 계산'!F$2)</f>
        <v>154.69999999999999</v>
      </c>
      <c r="G343">
        <f>SUMIFS(monthly_work_hours!$K:$K,monthly_work_hours!$A:$A,'FTE 계산'!$A343,monthly_work_hours!$F:$F,'FTE 계산'!G$2)</f>
        <v>136.30000000000001</v>
      </c>
      <c r="H343">
        <f>(SUMIFS(monthly_work_hours!$G:$G,monthly_work_hours!$A:$A,'FTE 계산'!$A343,monthly_work_hours!$F:$F,'FTE 계산'!H$2)) - (SUMIFS(monthly_work_hours!$J:$J,monthly_work_hours!$A:$A,'FTE 계산'!$A343,monthly_work_hours!$F:$F,'FTE 계산'!H$2))</f>
        <v>16</v>
      </c>
      <c r="I343">
        <f>(SUMIFS(monthly_work_hours!$G:$G,monthly_work_hours!$A:$A,'FTE 계산'!$A343,monthly_work_hours!$F:$F,'FTE 계산'!I$2)) - (SUMIFS(monthly_work_hours!$J:$J,monthly_work_hours!$A:$A,'FTE 계산'!$A343,monthly_work_hours!$F:$F,'FTE 계산'!I$2))</f>
        <v>17</v>
      </c>
      <c r="J343">
        <f>(SUMIFS(monthly_work_hours!$G:$G,monthly_work_hours!$A:$A,'FTE 계산'!$A343,monthly_work_hours!$F:$F,'FTE 계산'!J$2)) - (SUMIFS(monthly_work_hours!$J:$J,monthly_work_hours!$A:$A,'FTE 계산'!$A343,monthly_work_hours!$F:$F,'FTE 계산'!J$2))</f>
        <v>15</v>
      </c>
    </row>
    <row r="344" spans="1:10">
      <c r="A344" t="str">
        <v>G223050</v>
      </c>
      <c r="B344" t="str">
        <f>_xlfn.XLOOKUP(A344,monthly_work_hours!A:A,monthly_work_hours!B:B)</f>
        <v>최민욱</v>
      </c>
      <c r="C344" t="str">
        <f>_xlfn.XLOOKUP(A344,monthly_work_hours!A:A,monthly_work_hours!C:C)</f>
        <v>신재료연구팀</v>
      </c>
      <c r="D344" t="str">
        <f>_xlfn.XLOOKUP(A344,monthly_work_hours!A:A,monthly_work_hours!D:D)</f>
        <v>책임</v>
      </c>
      <c r="E344">
        <f>SUMIFS(monthly_work_hours!$K:$K,monthly_work_hours!$A:$A,'FTE 계산'!$A344,monthly_work_hours!$F:$F,'FTE 계산'!E$2)</f>
        <v>166.2</v>
      </c>
      <c r="F344">
        <f>SUMIFS(monthly_work_hours!$K:$K,monthly_work_hours!$A:$A,'FTE 계산'!$A344,monthly_work_hours!$F:$F,'FTE 계산'!F$2)</f>
        <v>159.19999999999999</v>
      </c>
      <c r="G344">
        <f>SUMIFS(monthly_work_hours!$K:$K,monthly_work_hours!$A:$A,'FTE 계산'!$A344,monthly_work_hours!$F:$F,'FTE 계산'!G$2)</f>
        <v>126.2</v>
      </c>
      <c r="H344">
        <f>(SUMIFS(monthly_work_hours!$G:$G,monthly_work_hours!$A:$A,'FTE 계산'!$A344,monthly_work_hours!$F:$F,'FTE 계산'!H$2)) - (SUMIFS(monthly_work_hours!$J:$J,monthly_work_hours!$A:$A,'FTE 계산'!$A344,monthly_work_hours!$F:$F,'FTE 계산'!H$2))</f>
        <v>17</v>
      </c>
      <c r="I344">
        <f>(SUMIFS(monthly_work_hours!$G:$G,monthly_work_hours!$A:$A,'FTE 계산'!$A344,monthly_work_hours!$F:$F,'FTE 계산'!I$2)) - (SUMIFS(monthly_work_hours!$J:$J,monthly_work_hours!$A:$A,'FTE 계산'!$A344,monthly_work_hours!$F:$F,'FTE 계산'!I$2))</f>
        <v>16</v>
      </c>
      <c r="J344">
        <f>(SUMIFS(monthly_work_hours!$G:$G,monthly_work_hours!$A:$A,'FTE 계산'!$A344,monthly_work_hours!$F:$F,'FTE 계산'!J$2)) - (SUMIFS(monthly_work_hours!$J:$J,monthly_work_hours!$A:$A,'FTE 계산'!$A344,monthly_work_hours!$F:$F,'FTE 계산'!J$2))</f>
        <v>14</v>
      </c>
    </row>
    <row r="345" spans="1:10">
      <c r="A345" t="str">
        <v>G223051</v>
      </c>
      <c r="B345" t="str">
        <f>_xlfn.XLOOKUP(A345,monthly_work_hours!A:A,monthly_work_hours!B:B)</f>
        <v>서진우</v>
      </c>
      <c r="C345" t="str">
        <f>_xlfn.XLOOKUP(A345,monthly_work_hours!A:A,monthly_work_hours!C:C)</f>
        <v>신재료연구팀</v>
      </c>
      <c r="D345" t="str">
        <f>_xlfn.XLOOKUP(A345,monthly_work_hours!A:A,monthly_work_hours!D:D)</f>
        <v>선임</v>
      </c>
      <c r="E345">
        <f>SUMIFS(monthly_work_hours!$K:$K,monthly_work_hours!$A:$A,'FTE 계산'!$A345,monthly_work_hours!$F:$F,'FTE 계산'!E$2)</f>
        <v>193.7</v>
      </c>
      <c r="F345">
        <f>SUMIFS(monthly_work_hours!$K:$K,monthly_work_hours!$A:$A,'FTE 계산'!$A345,monthly_work_hours!$F:$F,'FTE 계산'!F$2)</f>
        <v>167.6</v>
      </c>
      <c r="G345">
        <f>SUMIFS(monthly_work_hours!$K:$K,monthly_work_hours!$A:$A,'FTE 계산'!$A345,monthly_work_hours!$F:$F,'FTE 계산'!G$2)</f>
        <v>141.69999999999999</v>
      </c>
      <c r="H345">
        <f>(SUMIFS(monthly_work_hours!$G:$G,monthly_work_hours!$A:$A,'FTE 계산'!$A345,monthly_work_hours!$F:$F,'FTE 계산'!H$2)) - (SUMIFS(monthly_work_hours!$J:$J,monthly_work_hours!$A:$A,'FTE 계산'!$A345,monthly_work_hours!$F:$F,'FTE 계산'!H$2))</f>
        <v>19</v>
      </c>
      <c r="I345">
        <f>(SUMIFS(monthly_work_hours!$G:$G,monthly_work_hours!$A:$A,'FTE 계산'!$A345,monthly_work_hours!$F:$F,'FTE 계산'!I$2)) - (SUMIFS(monthly_work_hours!$J:$J,monthly_work_hours!$A:$A,'FTE 계산'!$A345,monthly_work_hours!$F:$F,'FTE 계산'!I$2))</f>
        <v>18</v>
      </c>
      <c r="J345">
        <f>(SUMIFS(monthly_work_hours!$G:$G,monthly_work_hours!$A:$A,'FTE 계산'!$A345,monthly_work_hours!$F:$F,'FTE 계산'!J$2)) - (SUMIFS(monthly_work_hours!$J:$J,monthly_work_hours!$A:$A,'FTE 계산'!$A345,monthly_work_hours!$F:$F,'FTE 계산'!J$2))</f>
        <v>16</v>
      </c>
    </row>
    <row r="346" spans="1:10">
      <c r="A346" t="str">
        <v>G223052</v>
      </c>
      <c r="B346" t="str">
        <f>_xlfn.XLOOKUP(A346,monthly_work_hours!A:A,monthly_work_hours!B:B)</f>
        <v>이윤교</v>
      </c>
      <c r="C346" t="str">
        <f>_xlfn.XLOOKUP(A346,monthly_work_hours!A:A,monthly_work_hours!C:C)</f>
        <v>생산1팀</v>
      </c>
      <c r="D346" t="str">
        <f>_xlfn.XLOOKUP(A346,monthly_work_hours!A:A,monthly_work_hours!D:D)</f>
        <v>사원</v>
      </c>
      <c r="E346">
        <f>SUMIFS(monthly_work_hours!$K:$K,monthly_work_hours!$A:$A,'FTE 계산'!$A346,monthly_work_hours!$F:$F,'FTE 계산'!E$2)</f>
        <v>152.4</v>
      </c>
      <c r="F346">
        <f>SUMIFS(monthly_work_hours!$K:$K,monthly_work_hours!$A:$A,'FTE 계산'!$A346,monthly_work_hours!$F:$F,'FTE 계산'!F$2)</f>
        <v>151</v>
      </c>
      <c r="G346">
        <f>SUMIFS(monthly_work_hours!$K:$K,monthly_work_hours!$A:$A,'FTE 계산'!$A346,monthly_work_hours!$F:$F,'FTE 계산'!G$2)</f>
        <v>126.1</v>
      </c>
      <c r="H346">
        <f>(SUMIFS(monthly_work_hours!$G:$G,monthly_work_hours!$A:$A,'FTE 계산'!$A346,monthly_work_hours!$F:$F,'FTE 계산'!H$2)) - (SUMIFS(monthly_work_hours!$J:$J,monthly_work_hours!$A:$A,'FTE 계산'!$A346,monthly_work_hours!$F:$F,'FTE 계산'!H$2))</f>
        <v>19</v>
      </c>
      <c r="I346">
        <f>(SUMIFS(monthly_work_hours!$G:$G,monthly_work_hours!$A:$A,'FTE 계산'!$A346,monthly_work_hours!$F:$F,'FTE 계산'!I$2)) - (SUMIFS(monthly_work_hours!$J:$J,monthly_work_hours!$A:$A,'FTE 계산'!$A346,monthly_work_hours!$F:$F,'FTE 계산'!I$2))</f>
        <v>18</v>
      </c>
      <c r="J346">
        <f>(SUMIFS(monthly_work_hours!$G:$G,monthly_work_hours!$A:$A,'FTE 계산'!$A346,monthly_work_hours!$F:$F,'FTE 계산'!J$2)) - (SUMIFS(monthly_work_hours!$J:$J,monthly_work_hours!$A:$A,'FTE 계산'!$A346,monthly_work_hours!$F:$F,'FTE 계산'!J$2))</f>
        <v>15</v>
      </c>
    </row>
    <row r="347" spans="1:10">
      <c r="A347" t="str">
        <v>G223054</v>
      </c>
      <c r="B347" t="str">
        <f>_xlfn.XLOOKUP(A347,monthly_work_hours!A:A,monthly_work_hours!B:B)</f>
        <v>송택하</v>
      </c>
      <c r="C347" t="str">
        <f>_xlfn.XLOOKUP(A347,monthly_work_hours!A:A,monthly_work_hours!C:C)</f>
        <v>Defense사업팀</v>
      </c>
      <c r="D347" t="str">
        <f>_xlfn.XLOOKUP(A347,monthly_work_hours!A:A,monthly_work_hours!D:D)</f>
        <v>책임</v>
      </c>
      <c r="E347">
        <f>SUMIFS(monthly_work_hours!$K:$K,monthly_work_hours!$A:$A,'FTE 계산'!$A347,monthly_work_hours!$F:$F,'FTE 계산'!E$2)</f>
        <v>208.1</v>
      </c>
      <c r="F347">
        <f>SUMIFS(monthly_work_hours!$K:$K,monthly_work_hours!$A:$A,'FTE 계산'!$A347,monthly_work_hours!$F:$F,'FTE 계산'!F$2)</f>
        <v>244</v>
      </c>
      <c r="G347">
        <f>SUMIFS(monthly_work_hours!$K:$K,monthly_work_hours!$A:$A,'FTE 계산'!$A347,monthly_work_hours!$F:$F,'FTE 계산'!G$2)</f>
        <v>122.9</v>
      </c>
      <c r="H347">
        <f>(SUMIFS(monthly_work_hours!$G:$G,monthly_work_hours!$A:$A,'FTE 계산'!$A347,monthly_work_hours!$F:$F,'FTE 계산'!H$2)) - (SUMIFS(monthly_work_hours!$J:$J,monthly_work_hours!$A:$A,'FTE 계산'!$A347,monthly_work_hours!$F:$F,'FTE 계산'!H$2))</f>
        <v>19</v>
      </c>
      <c r="I347">
        <f>(SUMIFS(monthly_work_hours!$G:$G,monthly_work_hours!$A:$A,'FTE 계산'!$A347,monthly_work_hours!$F:$F,'FTE 계산'!I$2)) - (SUMIFS(monthly_work_hours!$J:$J,monthly_work_hours!$A:$A,'FTE 계산'!$A347,monthly_work_hours!$F:$F,'FTE 계산'!I$2))</f>
        <v>19</v>
      </c>
      <c r="J347">
        <f>(SUMIFS(monthly_work_hours!$G:$G,monthly_work_hours!$A:$A,'FTE 계산'!$A347,monthly_work_hours!$F:$F,'FTE 계산'!J$2)) - (SUMIFS(monthly_work_hours!$J:$J,monthly_work_hours!$A:$A,'FTE 계산'!$A347,monthly_work_hours!$F:$F,'FTE 계산'!J$2))</f>
        <v>13</v>
      </c>
    </row>
    <row r="348" spans="1:10">
      <c r="A348" t="str">
        <v>G223055</v>
      </c>
      <c r="B348" t="str">
        <f>_xlfn.XLOOKUP(A348,monthly_work_hours!A:A,monthly_work_hours!B:B)</f>
        <v>이봉한</v>
      </c>
      <c r="C348" t="str">
        <f>_xlfn.XLOOKUP(A348,monthly_work_hours!A:A,monthly_work_hours!C:C)</f>
        <v>Defense사업팀</v>
      </c>
      <c r="D348" t="str">
        <f>_xlfn.XLOOKUP(A348,monthly_work_hours!A:A,monthly_work_hours!D:D)</f>
        <v>책임</v>
      </c>
      <c r="E348">
        <f>SUMIFS(monthly_work_hours!$K:$K,monthly_work_hours!$A:$A,'FTE 계산'!$A348,monthly_work_hours!$F:$F,'FTE 계산'!E$2)</f>
        <v>185.6</v>
      </c>
      <c r="F348">
        <f>SUMIFS(monthly_work_hours!$K:$K,monthly_work_hours!$A:$A,'FTE 계산'!$A348,monthly_work_hours!$F:$F,'FTE 계산'!F$2)</f>
        <v>255.5</v>
      </c>
      <c r="G348">
        <f>SUMIFS(monthly_work_hours!$K:$K,monthly_work_hours!$A:$A,'FTE 계산'!$A348,monthly_work_hours!$F:$F,'FTE 계산'!G$2)</f>
        <v>176.8</v>
      </c>
      <c r="H348">
        <f>(SUMIFS(monthly_work_hours!$G:$G,monthly_work_hours!$A:$A,'FTE 계산'!$A348,monthly_work_hours!$F:$F,'FTE 계산'!H$2)) - (SUMIFS(monthly_work_hours!$J:$J,monthly_work_hours!$A:$A,'FTE 계산'!$A348,monthly_work_hours!$F:$F,'FTE 계산'!H$2))</f>
        <v>16</v>
      </c>
      <c r="I348">
        <f>(SUMIFS(monthly_work_hours!$G:$G,monthly_work_hours!$A:$A,'FTE 계산'!$A348,monthly_work_hours!$F:$F,'FTE 계산'!I$2)) - (SUMIFS(monthly_work_hours!$J:$J,monthly_work_hours!$A:$A,'FTE 계산'!$A348,monthly_work_hours!$F:$F,'FTE 계산'!I$2))</f>
        <v>21</v>
      </c>
      <c r="J348">
        <f>(SUMIFS(monthly_work_hours!$G:$G,monthly_work_hours!$A:$A,'FTE 계산'!$A348,monthly_work_hours!$F:$F,'FTE 계산'!J$2)) - (SUMIFS(monthly_work_hours!$J:$J,monthly_work_hours!$A:$A,'FTE 계산'!$A348,monthly_work_hours!$F:$F,'FTE 계산'!J$2))</f>
        <v>16</v>
      </c>
    </row>
    <row r="349" spans="1:10">
      <c r="A349" t="str">
        <v>G223056</v>
      </c>
      <c r="B349" t="str">
        <f>_xlfn.XLOOKUP(A349,monthly_work_hours!A:A,monthly_work_hours!B:B)</f>
        <v>김수연</v>
      </c>
      <c r="C349" t="str">
        <f>_xlfn.XLOOKUP(A349,monthly_work_hours!A:A,monthly_work_hours!C:C)</f>
        <v>Defense사업팀</v>
      </c>
      <c r="D349" t="str">
        <f>_xlfn.XLOOKUP(A349,monthly_work_hours!A:A,monthly_work_hours!D:D)</f>
        <v>책임</v>
      </c>
      <c r="E349">
        <f>SUMIFS(monthly_work_hours!$K:$K,monthly_work_hours!$A:$A,'FTE 계산'!$A349,monthly_work_hours!$F:$F,'FTE 계산'!E$2)</f>
        <v>176.8</v>
      </c>
      <c r="F349">
        <f>SUMIFS(monthly_work_hours!$K:$K,monthly_work_hours!$A:$A,'FTE 계산'!$A349,monthly_work_hours!$F:$F,'FTE 계산'!F$2)</f>
        <v>144.5</v>
      </c>
      <c r="G349">
        <f>SUMIFS(monthly_work_hours!$K:$K,monthly_work_hours!$A:$A,'FTE 계산'!$A349,monthly_work_hours!$F:$F,'FTE 계산'!G$2)</f>
        <v>136</v>
      </c>
      <c r="H349">
        <f>(SUMIFS(monthly_work_hours!$G:$G,monthly_work_hours!$A:$A,'FTE 계산'!$A349,monthly_work_hours!$F:$F,'FTE 계산'!H$2)) - (SUMIFS(monthly_work_hours!$J:$J,monthly_work_hours!$A:$A,'FTE 계산'!$A349,monthly_work_hours!$F:$F,'FTE 계산'!H$2))</f>
        <v>19</v>
      </c>
      <c r="I349">
        <f>(SUMIFS(monthly_work_hours!$G:$G,monthly_work_hours!$A:$A,'FTE 계산'!$A349,monthly_work_hours!$F:$F,'FTE 계산'!I$2)) - (SUMIFS(monthly_work_hours!$J:$J,monthly_work_hours!$A:$A,'FTE 계산'!$A349,monthly_work_hours!$F:$F,'FTE 계산'!I$2))</f>
        <v>17</v>
      </c>
      <c r="J349">
        <f>(SUMIFS(monthly_work_hours!$G:$G,monthly_work_hours!$A:$A,'FTE 계산'!$A349,monthly_work_hours!$F:$F,'FTE 계산'!J$2)) - (SUMIFS(monthly_work_hours!$J:$J,monthly_work_hours!$A:$A,'FTE 계산'!$A349,monthly_work_hours!$F:$F,'FTE 계산'!J$2))</f>
        <v>15</v>
      </c>
    </row>
    <row r="350" spans="1:10">
      <c r="A350" t="str">
        <v>G223057</v>
      </c>
      <c r="B350" t="str">
        <f>_xlfn.XLOOKUP(A350,monthly_work_hours!A:A,monthly_work_hours!B:B)</f>
        <v>안경수</v>
      </c>
      <c r="C350" t="str">
        <f>_xlfn.XLOOKUP(A350,monthly_work_hours!A:A,monthly_work_hours!C:C)</f>
        <v>Defense사업팀</v>
      </c>
      <c r="D350" t="str">
        <f>_xlfn.XLOOKUP(A350,monthly_work_hours!A:A,monthly_work_hours!D:D)</f>
        <v>책임</v>
      </c>
      <c r="E350">
        <f>SUMIFS(monthly_work_hours!$K:$K,monthly_work_hours!$A:$A,'FTE 계산'!$A350,monthly_work_hours!$F:$F,'FTE 계산'!E$2)</f>
        <v>109.8</v>
      </c>
      <c r="F350">
        <f>SUMIFS(monthly_work_hours!$K:$K,monthly_work_hours!$A:$A,'FTE 계산'!$A350,monthly_work_hours!$F:$F,'FTE 계산'!F$2)</f>
        <v>315.8</v>
      </c>
      <c r="G350">
        <f>SUMIFS(monthly_work_hours!$K:$K,monthly_work_hours!$A:$A,'FTE 계산'!$A350,monthly_work_hours!$F:$F,'FTE 계산'!G$2)</f>
        <v>195.9</v>
      </c>
      <c r="H350">
        <f>(SUMIFS(monthly_work_hours!$G:$G,monthly_work_hours!$A:$A,'FTE 계산'!$A350,monthly_work_hours!$F:$F,'FTE 계산'!H$2)) - (SUMIFS(monthly_work_hours!$J:$J,monthly_work_hours!$A:$A,'FTE 계산'!$A350,monthly_work_hours!$F:$F,'FTE 계산'!H$2))</f>
        <v>12</v>
      </c>
      <c r="I350">
        <f>(SUMIFS(monthly_work_hours!$G:$G,monthly_work_hours!$A:$A,'FTE 계산'!$A350,monthly_work_hours!$F:$F,'FTE 계산'!I$2)) - (SUMIFS(monthly_work_hours!$J:$J,monthly_work_hours!$A:$A,'FTE 계산'!$A350,monthly_work_hours!$F:$F,'FTE 계산'!I$2))</f>
        <v>18</v>
      </c>
      <c r="J350">
        <f>(SUMIFS(monthly_work_hours!$G:$G,monthly_work_hours!$A:$A,'FTE 계산'!$A350,monthly_work_hours!$F:$F,'FTE 계산'!J$2)) - (SUMIFS(monthly_work_hours!$J:$J,monthly_work_hours!$A:$A,'FTE 계산'!$A350,monthly_work_hours!$F:$F,'FTE 계산'!J$2))</f>
        <v>14</v>
      </c>
    </row>
    <row r="351" spans="1:10">
      <c r="A351" t="str">
        <v>G223058</v>
      </c>
      <c r="B351" t="str">
        <f>_xlfn.XLOOKUP(A351,monthly_work_hours!A:A,monthly_work_hours!B:B)</f>
        <v>김진태</v>
      </c>
      <c r="C351" t="str">
        <f>_xlfn.XLOOKUP(A351,monthly_work_hours!A:A,monthly_work_hours!C:C)</f>
        <v>Defense사업팀</v>
      </c>
      <c r="D351" t="str">
        <f>_xlfn.XLOOKUP(A351,monthly_work_hours!A:A,monthly_work_hours!D:D)</f>
        <v>선임</v>
      </c>
      <c r="E351">
        <f>SUMIFS(monthly_work_hours!$K:$K,monthly_work_hours!$A:$A,'FTE 계산'!$A351,monthly_work_hours!$F:$F,'FTE 계산'!E$2)</f>
        <v>185.8</v>
      </c>
      <c r="F351">
        <f>SUMIFS(monthly_work_hours!$K:$K,monthly_work_hours!$A:$A,'FTE 계산'!$A351,monthly_work_hours!$F:$F,'FTE 계산'!F$2)</f>
        <v>144.30000000000001</v>
      </c>
      <c r="G351">
        <f>SUMIFS(monthly_work_hours!$K:$K,monthly_work_hours!$A:$A,'FTE 계산'!$A351,monthly_work_hours!$F:$F,'FTE 계산'!G$2)</f>
        <v>139</v>
      </c>
      <c r="H351">
        <f>(SUMIFS(monthly_work_hours!$G:$G,monthly_work_hours!$A:$A,'FTE 계산'!$A351,monthly_work_hours!$F:$F,'FTE 계산'!H$2)) - (SUMIFS(monthly_work_hours!$J:$J,monthly_work_hours!$A:$A,'FTE 계산'!$A351,monthly_work_hours!$F:$F,'FTE 계산'!H$2))</f>
        <v>19</v>
      </c>
      <c r="I351">
        <f>(SUMIFS(monthly_work_hours!$G:$G,monthly_work_hours!$A:$A,'FTE 계산'!$A351,monthly_work_hours!$F:$F,'FTE 계산'!I$2)) - (SUMIFS(monthly_work_hours!$J:$J,monthly_work_hours!$A:$A,'FTE 계산'!$A351,monthly_work_hours!$F:$F,'FTE 계산'!I$2))</f>
        <v>15</v>
      </c>
      <c r="J351">
        <f>(SUMIFS(monthly_work_hours!$G:$G,monthly_work_hours!$A:$A,'FTE 계산'!$A351,monthly_work_hours!$F:$F,'FTE 계산'!J$2)) - (SUMIFS(monthly_work_hours!$J:$J,monthly_work_hours!$A:$A,'FTE 계산'!$A351,monthly_work_hours!$F:$F,'FTE 계산'!J$2))</f>
        <v>15</v>
      </c>
    </row>
    <row r="352" spans="1:10">
      <c r="A352" t="str">
        <v>G223060</v>
      </c>
      <c r="B352" t="str">
        <f>_xlfn.XLOOKUP(A352,monthly_work_hours!A:A,monthly_work_hours!B:B)</f>
        <v>한혜수</v>
      </c>
      <c r="C352" t="str">
        <f>_xlfn.XLOOKUP(A352,monthly_work_hours!A:A,monthly_work_hours!C:C)</f>
        <v>Defense사업팀</v>
      </c>
      <c r="D352" t="str">
        <f>_xlfn.XLOOKUP(A352,monthly_work_hours!A:A,monthly_work_hours!D:D)</f>
        <v>사원</v>
      </c>
      <c r="E352">
        <f>SUMIFS(monthly_work_hours!$K:$K,monthly_work_hours!$A:$A,'FTE 계산'!$A352,monthly_work_hours!$F:$F,'FTE 계산'!E$2)</f>
        <v>157.5</v>
      </c>
      <c r="F352">
        <f>SUMIFS(monthly_work_hours!$K:$K,monthly_work_hours!$A:$A,'FTE 계산'!$A352,monthly_work_hours!$F:$F,'FTE 계산'!F$2)</f>
        <v>148.4</v>
      </c>
      <c r="G352">
        <f>SUMIFS(monthly_work_hours!$K:$K,monthly_work_hours!$A:$A,'FTE 계산'!$A352,monthly_work_hours!$F:$F,'FTE 계산'!G$2)</f>
        <v>141</v>
      </c>
      <c r="H352">
        <f>(SUMIFS(monthly_work_hours!$G:$G,monthly_work_hours!$A:$A,'FTE 계산'!$A352,monthly_work_hours!$F:$F,'FTE 계산'!H$2)) - (SUMIFS(monthly_work_hours!$J:$J,monthly_work_hours!$A:$A,'FTE 계산'!$A352,monthly_work_hours!$F:$F,'FTE 계산'!H$2))</f>
        <v>17</v>
      </c>
      <c r="I352">
        <f>(SUMIFS(monthly_work_hours!$G:$G,monthly_work_hours!$A:$A,'FTE 계산'!$A352,monthly_work_hours!$F:$F,'FTE 계산'!I$2)) - (SUMIFS(monthly_work_hours!$J:$J,monthly_work_hours!$A:$A,'FTE 계산'!$A352,monthly_work_hours!$F:$F,'FTE 계산'!I$2))</f>
        <v>16</v>
      </c>
      <c r="J352">
        <f>(SUMIFS(monthly_work_hours!$G:$G,monthly_work_hours!$A:$A,'FTE 계산'!$A352,monthly_work_hours!$F:$F,'FTE 계산'!J$2)) - (SUMIFS(monthly_work_hours!$J:$J,monthly_work_hours!$A:$A,'FTE 계산'!$A352,monthly_work_hours!$F:$F,'FTE 계산'!J$2))</f>
        <v>16</v>
      </c>
    </row>
    <row r="353" spans="1:10">
      <c r="A353" t="str">
        <v>G223062</v>
      </c>
      <c r="B353" t="str">
        <f>_xlfn.XLOOKUP(A353,monthly_work_hours!A:A,monthly_work_hours!B:B)</f>
        <v>김영식</v>
      </c>
      <c r="C353" t="str">
        <f>_xlfn.XLOOKUP(A353,monthly_work_hours!A:A,monthly_work_hours!C:C)</f>
        <v>기술지원팀</v>
      </c>
      <c r="D353" t="str">
        <f>_xlfn.XLOOKUP(A353,monthly_work_hours!A:A,monthly_work_hours!D:D)</f>
        <v>선임</v>
      </c>
      <c r="E353">
        <f>SUMIFS(monthly_work_hours!$K:$K,monthly_work_hours!$A:$A,'FTE 계산'!$A353,monthly_work_hours!$F:$F,'FTE 계산'!E$2)</f>
        <v>159.1</v>
      </c>
      <c r="F353">
        <f>SUMIFS(monthly_work_hours!$K:$K,monthly_work_hours!$A:$A,'FTE 계산'!$A353,monthly_work_hours!$F:$F,'FTE 계산'!F$2)</f>
        <v>140.6</v>
      </c>
      <c r="G353">
        <f>SUMIFS(monthly_work_hours!$K:$K,monthly_work_hours!$A:$A,'FTE 계산'!$A353,monthly_work_hours!$F:$F,'FTE 계산'!G$2)</f>
        <v>116.2</v>
      </c>
      <c r="H353">
        <f>(SUMIFS(monthly_work_hours!$G:$G,monthly_work_hours!$A:$A,'FTE 계산'!$A353,monthly_work_hours!$F:$F,'FTE 계산'!H$2)) - (SUMIFS(monthly_work_hours!$J:$J,monthly_work_hours!$A:$A,'FTE 계산'!$A353,monthly_work_hours!$F:$F,'FTE 계산'!H$2))</f>
        <v>17</v>
      </c>
      <c r="I353">
        <f>(SUMIFS(monthly_work_hours!$G:$G,monthly_work_hours!$A:$A,'FTE 계산'!$A353,monthly_work_hours!$F:$F,'FTE 계산'!I$2)) - (SUMIFS(monthly_work_hours!$J:$J,monthly_work_hours!$A:$A,'FTE 계산'!$A353,monthly_work_hours!$F:$F,'FTE 계산'!I$2))</f>
        <v>17</v>
      </c>
      <c r="J353">
        <f>(SUMIFS(monthly_work_hours!$G:$G,monthly_work_hours!$A:$A,'FTE 계산'!$A353,monthly_work_hours!$F:$F,'FTE 계산'!J$2)) - (SUMIFS(monthly_work_hours!$J:$J,monthly_work_hours!$A:$A,'FTE 계산'!$A353,monthly_work_hours!$F:$F,'FTE 계산'!J$2))</f>
        <v>14</v>
      </c>
    </row>
    <row r="354" spans="1:10">
      <c r="A354" t="str">
        <v>G223063</v>
      </c>
      <c r="B354" t="str">
        <f>_xlfn.XLOOKUP(A354,monthly_work_hours!A:A,monthly_work_hours!B:B)</f>
        <v>이상현</v>
      </c>
      <c r="C354" t="str">
        <f>_xlfn.XLOOKUP(A354,monthly_work_hours!A:A,monthly_work_hours!C:C)</f>
        <v>TPE개발팀</v>
      </c>
      <c r="D354" t="str">
        <f>_xlfn.XLOOKUP(A354,monthly_work_hours!A:A,monthly_work_hours!D:D)</f>
        <v>선임</v>
      </c>
      <c r="E354">
        <f>SUMIFS(monthly_work_hours!$K:$K,monthly_work_hours!$A:$A,'FTE 계산'!$A354,monthly_work_hours!$F:$F,'FTE 계산'!E$2)</f>
        <v>146.6</v>
      </c>
      <c r="F354">
        <f>SUMIFS(monthly_work_hours!$K:$K,monthly_work_hours!$A:$A,'FTE 계산'!$A354,monthly_work_hours!$F:$F,'FTE 계산'!F$2)</f>
        <v>136.80000000000001</v>
      </c>
      <c r="G354">
        <f>SUMIFS(monthly_work_hours!$K:$K,monthly_work_hours!$A:$A,'FTE 계산'!$A354,monthly_work_hours!$F:$F,'FTE 계산'!G$2)</f>
        <v>150.80000000000001</v>
      </c>
      <c r="H354">
        <f>(SUMIFS(monthly_work_hours!$G:$G,monthly_work_hours!$A:$A,'FTE 계산'!$A354,monthly_work_hours!$F:$F,'FTE 계산'!H$2)) - (SUMIFS(monthly_work_hours!$J:$J,monthly_work_hours!$A:$A,'FTE 계산'!$A354,monthly_work_hours!$F:$F,'FTE 계산'!H$2))</f>
        <v>16</v>
      </c>
      <c r="I354">
        <f>(SUMIFS(monthly_work_hours!$G:$G,monthly_work_hours!$A:$A,'FTE 계산'!$A354,monthly_work_hours!$F:$F,'FTE 계산'!I$2)) - (SUMIFS(monthly_work_hours!$J:$J,monthly_work_hours!$A:$A,'FTE 계산'!$A354,monthly_work_hours!$F:$F,'FTE 계산'!I$2))</f>
        <v>15</v>
      </c>
      <c r="J354">
        <f>(SUMIFS(monthly_work_hours!$G:$G,monthly_work_hours!$A:$A,'FTE 계산'!$A354,monthly_work_hours!$F:$F,'FTE 계산'!J$2)) - (SUMIFS(monthly_work_hours!$J:$J,monthly_work_hours!$A:$A,'FTE 계산'!$A354,monthly_work_hours!$F:$F,'FTE 계산'!J$2))</f>
        <v>17</v>
      </c>
    </row>
    <row r="355" spans="1:10">
      <c r="A355" t="str">
        <v>G223064</v>
      </c>
      <c r="B355" t="str">
        <f>_xlfn.XLOOKUP(A355,monthly_work_hours!A:A,monthly_work_hours!B:B)</f>
        <v>박소현</v>
      </c>
      <c r="C355" t="str">
        <f>_xlfn.XLOOKUP(A355,monthly_work_hours!A:A,monthly_work_hours!C:C)</f>
        <v>TPE개발팀</v>
      </c>
      <c r="D355" t="str">
        <f>_xlfn.XLOOKUP(A355,monthly_work_hours!A:A,monthly_work_hours!D:D)</f>
        <v>선임</v>
      </c>
      <c r="E355">
        <f>SUMIFS(monthly_work_hours!$K:$K,monthly_work_hours!$A:$A,'FTE 계산'!$A355,monthly_work_hours!$F:$F,'FTE 계산'!E$2)</f>
        <v>321</v>
      </c>
      <c r="F355">
        <f>SUMIFS(monthly_work_hours!$K:$K,monthly_work_hours!$A:$A,'FTE 계산'!$A355,monthly_work_hours!$F:$F,'FTE 계산'!F$2)</f>
        <v>281.2</v>
      </c>
      <c r="G355">
        <f>SUMIFS(monthly_work_hours!$K:$K,monthly_work_hours!$A:$A,'FTE 계산'!$A355,monthly_work_hours!$F:$F,'FTE 계산'!G$2)</f>
        <v>166.6</v>
      </c>
      <c r="H355">
        <f>(SUMIFS(monthly_work_hours!$G:$G,monthly_work_hours!$A:$A,'FTE 계산'!$A355,monthly_work_hours!$F:$F,'FTE 계산'!H$2)) - (SUMIFS(monthly_work_hours!$J:$J,monthly_work_hours!$A:$A,'FTE 계산'!$A355,monthly_work_hours!$F:$F,'FTE 계산'!H$2))</f>
        <v>19</v>
      </c>
      <c r="I355">
        <f>(SUMIFS(monthly_work_hours!$G:$G,monthly_work_hours!$A:$A,'FTE 계산'!$A355,monthly_work_hours!$F:$F,'FTE 계산'!I$2)) - (SUMIFS(monthly_work_hours!$J:$J,monthly_work_hours!$A:$A,'FTE 계산'!$A355,monthly_work_hours!$F:$F,'FTE 계산'!I$2))</f>
        <v>17</v>
      </c>
      <c r="J355">
        <f>(SUMIFS(monthly_work_hours!$G:$G,monthly_work_hours!$A:$A,'FTE 계산'!$A355,monthly_work_hours!$F:$F,'FTE 계산'!J$2)) - (SUMIFS(monthly_work_hours!$J:$J,monthly_work_hours!$A:$A,'FTE 계산'!$A355,monthly_work_hours!$F:$F,'FTE 계산'!J$2))</f>
        <v>15</v>
      </c>
    </row>
    <row r="356" spans="1:10">
      <c r="A356" t="str">
        <v>G223065</v>
      </c>
      <c r="B356" t="str">
        <f>_xlfn.XLOOKUP(A356,monthly_work_hours!A:A,monthly_work_hours!B:B)</f>
        <v>박창현</v>
      </c>
      <c r="C356" t="str">
        <f>_xlfn.XLOOKUP(A356,monthly_work_hours!A:A,monthly_work_hours!C:C)</f>
        <v>TPE개발팀</v>
      </c>
      <c r="D356" t="str">
        <f>_xlfn.XLOOKUP(A356,monthly_work_hours!A:A,monthly_work_hours!D:D)</f>
        <v>선임</v>
      </c>
      <c r="E356">
        <f>SUMIFS(monthly_work_hours!$K:$K,monthly_work_hours!$A:$A,'FTE 계산'!$A356,monthly_work_hours!$F:$F,'FTE 계산'!E$2)</f>
        <v>131</v>
      </c>
      <c r="F356">
        <f>SUMIFS(monthly_work_hours!$K:$K,monthly_work_hours!$A:$A,'FTE 계산'!$A356,monthly_work_hours!$F:$F,'FTE 계산'!F$2)</f>
        <v>158.1</v>
      </c>
      <c r="G356">
        <f>SUMIFS(monthly_work_hours!$K:$K,monthly_work_hours!$A:$A,'FTE 계산'!$A356,monthly_work_hours!$F:$F,'FTE 계산'!G$2)</f>
        <v>120.7</v>
      </c>
      <c r="H356">
        <f>(SUMIFS(monthly_work_hours!$G:$G,monthly_work_hours!$A:$A,'FTE 계산'!$A356,monthly_work_hours!$F:$F,'FTE 계산'!H$2)) - (SUMIFS(monthly_work_hours!$J:$J,monthly_work_hours!$A:$A,'FTE 계산'!$A356,monthly_work_hours!$F:$F,'FTE 계산'!H$2))</f>
        <v>16</v>
      </c>
      <c r="I356">
        <f>(SUMIFS(monthly_work_hours!$G:$G,monthly_work_hours!$A:$A,'FTE 계산'!$A356,monthly_work_hours!$F:$F,'FTE 계산'!I$2)) - (SUMIFS(monthly_work_hours!$J:$J,monthly_work_hours!$A:$A,'FTE 계산'!$A356,monthly_work_hours!$F:$F,'FTE 계산'!I$2))</f>
        <v>18</v>
      </c>
      <c r="J356">
        <f>(SUMIFS(monthly_work_hours!$G:$G,monthly_work_hours!$A:$A,'FTE 계산'!$A356,monthly_work_hours!$F:$F,'FTE 계산'!J$2)) - (SUMIFS(monthly_work_hours!$J:$J,monthly_work_hours!$A:$A,'FTE 계산'!$A356,monthly_work_hours!$F:$F,'FTE 계산'!J$2))</f>
        <v>15</v>
      </c>
    </row>
    <row r="357" spans="1:10">
      <c r="A357" t="str">
        <v>G223068</v>
      </c>
      <c r="B357" t="str">
        <f>_xlfn.XLOOKUP(A357,monthly_work_hours!A:A,monthly_work_hours!B:B)</f>
        <v>김수현</v>
      </c>
      <c r="C357" t="str">
        <f>_xlfn.XLOOKUP(A357,monthly_work_hours!A:A,monthly_work_hours!C:C)</f>
        <v>ME사업팀</v>
      </c>
      <c r="D357" t="str">
        <f>_xlfn.XLOOKUP(A357,monthly_work_hours!A:A,monthly_work_hours!D:D)</f>
        <v>책임</v>
      </c>
      <c r="E357">
        <f>SUMIFS(monthly_work_hours!$K:$K,monthly_work_hours!$A:$A,'FTE 계산'!$A357,monthly_work_hours!$F:$F,'FTE 계산'!E$2)</f>
        <v>166.6</v>
      </c>
      <c r="F357">
        <f>SUMIFS(monthly_work_hours!$K:$K,monthly_work_hours!$A:$A,'FTE 계산'!$A357,monthly_work_hours!$F:$F,'FTE 계산'!F$2)</f>
        <v>174.1</v>
      </c>
      <c r="G357">
        <f>SUMIFS(monthly_work_hours!$K:$K,monthly_work_hours!$A:$A,'FTE 계산'!$A357,monthly_work_hours!$F:$F,'FTE 계산'!G$2)</f>
        <v>161.4</v>
      </c>
      <c r="H357">
        <f>(SUMIFS(monthly_work_hours!$G:$G,monthly_work_hours!$A:$A,'FTE 계산'!$A357,monthly_work_hours!$F:$F,'FTE 계산'!H$2)) - (SUMIFS(monthly_work_hours!$J:$J,monthly_work_hours!$A:$A,'FTE 계산'!$A357,monthly_work_hours!$F:$F,'FTE 계산'!H$2))</f>
        <v>18</v>
      </c>
      <c r="I357">
        <f>(SUMIFS(monthly_work_hours!$G:$G,monthly_work_hours!$A:$A,'FTE 계산'!$A357,monthly_work_hours!$F:$F,'FTE 계산'!I$2)) - (SUMIFS(monthly_work_hours!$J:$J,monthly_work_hours!$A:$A,'FTE 계산'!$A357,monthly_work_hours!$F:$F,'FTE 계산'!I$2))</f>
        <v>17</v>
      </c>
      <c r="J357">
        <f>(SUMIFS(monthly_work_hours!$G:$G,monthly_work_hours!$A:$A,'FTE 계산'!$A357,monthly_work_hours!$F:$F,'FTE 계산'!J$2)) - (SUMIFS(monthly_work_hours!$J:$J,monthly_work_hours!$A:$A,'FTE 계산'!$A357,monthly_work_hours!$F:$F,'FTE 계산'!J$2))</f>
        <v>17</v>
      </c>
    </row>
    <row r="358" spans="1:10">
      <c r="A358" t="str">
        <v>G223070</v>
      </c>
      <c r="B358" t="str">
        <f>_xlfn.XLOOKUP(A358,monthly_work_hours!A:A,monthly_work_hours!B:B)</f>
        <v>변정수</v>
      </c>
      <c r="C358" t="str">
        <f>_xlfn.XLOOKUP(A358,monthly_work_hours!A:A,monthly_work_hours!C:C)</f>
        <v>Defense사업팀</v>
      </c>
      <c r="D358" t="str">
        <f>_xlfn.XLOOKUP(A358,monthly_work_hours!A:A,monthly_work_hours!D:D)</f>
        <v>선임</v>
      </c>
      <c r="E358">
        <f>SUMIFS(monthly_work_hours!$K:$K,monthly_work_hours!$A:$A,'FTE 계산'!$A358,monthly_work_hours!$F:$F,'FTE 계산'!E$2)</f>
        <v>113.8</v>
      </c>
      <c r="F358">
        <f>SUMIFS(monthly_work_hours!$K:$K,monthly_work_hours!$A:$A,'FTE 계산'!$A358,monthly_work_hours!$F:$F,'FTE 계산'!F$2)</f>
        <v>97</v>
      </c>
      <c r="G358">
        <f>SUMIFS(monthly_work_hours!$K:$K,monthly_work_hours!$A:$A,'FTE 계산'!$A358,monthly_work_hours!$F:$F,'FTE 계산'!G$2)</f>
        <v>74.7</v>
      </c>
      <c r="H358">
        <f>(SUMIFS(monthly_work_hours!$G:$G,monthly_work_hours!$A:$A,'FTE 계산'!$A358,monthly_work_hours!$F:$F,'FTE 계산'!H$2)) - (SUMIFS(monthly_work_hours!$J:$J,monthly_work_hours!$A:$A,'FTE 계산'!$A358,monthly_work_hours!$F:$F,'FTE 계산'!H$2))</f>
        <v>12</v>
      </c>
      <c r="I358">
        <f>(SUMIFS(monthly_work_hours!$G:$G,monthly_work_hours!$A:$A,'FTE 계산'!$A358,monthly_work_hours!$F:$F,'FTE 계산'!I$2)) - (SUMIFS(monthly_work_hours!$J:$J,monthly_work_hours!$A:$A,'FTE 계산'!$A358,monthly_work_hours!$F:$F,'FTE 계산'!I$2))</f>
        <v>10</v>
      </c>
      <c r="J358">
        <f>(SUMIFS(monthly_work_hours!$G:$G,monthly_work_hours!$A:$A,'FTE 계산'!$A358,monthly_work_hours!$F:$F,'FTE 계산'!J$2)) - (SUMIFS(monthly_work_hours!$J:$J,monthly_work_hours!$A:$A,'FTE 계산'!$A358,monthly_work_hours!$F:$F,'FTE 계산'!J$2))</f>
        <v>10</v>
      </c>
    </row>
    <row r="359" spans="1:10">
      <c r="A359" t="str">
        <v>G223071</v>
      </c>
      <c r="B359" t="str">
        <f>_xlfn.XLOOKUP(A359,monthly_work_hours!A:A,monthly_work_hours!B:B)</f>
        <v>김종관</v>
      </c>
      <c r="C359" t="str">
        <f>_xlfn.XLOOKUP(A359,monthly_work_hours!A:A,monthly_work_hours!C:C)</f>
        <v>ME사업팀</v>
      </c>
      <c r="D359" t="str">
        <f>_xlfn.XLOOKUP(A359,monthly_work_hours!A:A,monthly_work_hours!D:D)</f>
        <v>선임</v>
      </c>
      <c r="E359">
        <f>SUMIFS(monthly_work_hours!$K:$K,monthly_work_hours!$A:$A,'FTE 계산'!$A359,monthly_work_hours!$F:$F,'FTE 계산'!E$2)</f>
        <v>180.6</v>
      </c>
      <c r="F359">
        <f>SUMIFS(monthly_work_hours!$K:$K,monthly_work_hours!$A:$A,'FTE 계산'!$A359,monthly_work_hours!$F:$F,'FTE 계산'!F$2)</f>
        <v>162.9</v>
      </c>
      <c r="G359">
        <f>SUMIFS(monthly_work_hours!$K:$K,monthly_work_hours!$A:$A,'FTE 계산'!$A359,monthly_work_hours!$F:$F,'FTE 계산'!G$2)</f>
        <v>155.4</v>
      </c>
      <c r="H359">
        <f>(SUMIFS(monthly_work_hours!$G:$G,monthly_work_hours!$A:$A,'FTE 계산'!$A359,monthly_work_hours!$F:$F,'FTE 계산'!H$2)) - (SUMIFS(monthly_work_hours!$J:$J,monthly_work_hours!$A:$A,'FTE 계산'!$A359,monthly_work_hours!$F:$F,'FTE 계산'!H$2))</f>
        <v>17</v>
      </c>
      <c r="I359">
        <f>(SUMIFS(monthly_work_hours!$G:$G,monthly_work_hours!$A:$A,'FTE 계산'!$A359,monthly_work_hours!$F:$F,'FTE 계산'!I$2)) - (SUMIFS(monthly_work_hours!$J:$J,monthly_work_hours!$A:$A,'FTE 계산'!$A359,monthly_work_hours!$F:$F,'FTE 계산'!I$2))</f>
        <v>18</v>
      </c>
      <c r="J359">
        <f>(SUMIFS(monthly_work_hours!$G:$G,monthly_work_hours!$A:$A,'FTE 계산'!$A359,monthly_work_hours!$F:$F,'FTE 계산'!J$2)) - (SUMIFS(monthly_work_hours!$J:$J,monthly_work_hours!$A:$A,'FTE 계산'!$A359,monthly_work_hours!$F:$F,'FTE 계산'!J$2))</f>
        <v>16</v>
      </c>
    </row>
    <row r="360" spans="1:10">
      <c r="A360" t="str">
        <v>G223072</v>
      </c>
      <c r="B360" t="str">
        <f>_xlfn.XLOOKUP(A360,monthly_work_hours!A:A,monthly_work_hours!B:B)</f>
        <v>김태근</v>
      </c>
      <c r="C360" t="str">
        <f>_xlfn.XLOOKUP(A360,monthly_work_hours!A:A,monthly_work_hours!C:C)</f>
        <v>DI팀</v>
      </c>
      <c r="D360" t="str">
        <f>_xlfn.XLOOKUP(A360,monthly_work_hours!A:A,monthly_work_hours!D:D)</f>
        <v>책임</v>
      </c>
      <c r="E360">
        <f>SUMIFS(monthly_work_hours!$K:$K,monthly_work_hours!$A:$A,'FTE 계산'!$A360,monthly_work_hours!$F:$F,'FTE 계산'!E$2)</f>
        <v>160.19999999999999</v>
      </c>
      <c r="F360">
        <f>SUMIFS(monthly_work_hours!$K:$K,monthly_work_hours!$A:$A,'FTE 계산'!$A360,monthly_work_hours!$F:$F,'FTE 계산'!F$2)</f>
        <v>155</v>
      </c>
      <c r="G360">
        <f>SUMIFS(monthly_work_hours!$K:$K,monthly_work_hours!$A:$A,'FTE 계산'!$A360,monthly_work_hours!$F:$F,'FTE 계산'!G$2)</f>
        <v>142.80000000000001</v>
      </c>
      <c r="H360">
        <f>(SUMIFS(monthly_work_hours!$G:$G,monthly_work_hours!$A:$A,'FTE 계산'!$A360,monthly_work_hours!$F:$F,'FTE 계산'!H$2)) - (SUMIFS(monthly_work_hours!$J:$J,monthly_work_hours!$A:$A,'FTE 계산'!$A360,monthly_work_hours!$F:$F,'FTE 계산'!H$2))</f>
        <v>16</v>
      </c>
      <c r="I360">
        <f>(SUMIFS(monthly_work_hours!$G:$G,monthly_work_hours!$A:$A,'FTE 계산'!$A360,monthly_work_hours!$F:$F,'FTE 계산'!I$2)) - (SUMIFS(monthly_work_hours!$J:$J,monthly_work_hours!$A:$A,'FTE 계산'!$A360,monthly_work_hours!$F:$F,'FTE 계산'!I$2))</f>
        <v>17</v>
      </c>
      <c r="J360">
        <f>(SUMIFS(monthly_work_hours!$G:$G,monthly_work_hours!$A:$A,'FTE 계산'!$A360,monthly_work_hours!$F:$F,'FTE 계산'!J$2)) - (SUMIFS(monthly_work_hours!$J:$J,monthly_work_hours!$A:$A,'FTE 계산'!$A360,monthly_work_hours!$F:$F,'FTE 계산'!J$2))</f>
        <v>15</v>
      </c>
    </row>
    <row r="361" spans="1:10">
      <c r="A361" t="str">
        <v>G223073</v>
      </c>
      <c r="B361" t="str">
        <f>_xlfn.XLOOKUP(A361,monthly_work_hours!A:A,monthly_work_hours!B:B)</f>
        <v>박석환</v>
      </c>
      <c r="C361" t="str">
        <f>_xlfn.XLOOKUP(A361,monthly_work_hours!A:A,monthly_work_hours!C:C)</f>
        <v>DI팀</v>
      </c>
      <c r="D361" t="str">
        <f>_xlfn.XLOOKUP(A361,monthly_work_hours!A:A,monthly_work_hours!D:D)</f>
        <v>책임</v>
      </c>
      <c r="E361">
        <f>SUMIFS(monthly_work_hours!$K:$K,monthly_work_hours!$A:$A,'FTE 계산'!$A361,monthly_work_hours!$F:$F,'FTE 계산'!E$2)</f>
        <v>165.6</v>
      </c>
      <c r="F361">
        <f>SUMIFS(monthly_work_hours!$K:$K,monthly_work_hours!$A:$A,'FTE 계산'!$A361,monthly_work_hours!$F:$F,'FTE 계산'!F$2)</f>
        <v>157</v>
      </c>
      <c r="G361">
        <f>SUMIFS(monthly_work_hours!$K:$K,monthly_work_hours!$A:$A,'FTE 계산'!$A361,monthly_work_hours!$F:$F,'FTE 계산'!G$2)</f>
        <v>126.9</v>
      </c>
      <c r="H361">
        <f>(SUMIFS(monthly_work_hours!$G:$G,monthly_work_hours!$A:$A,'FTE 계산'!$A361,monthly_work_hours!$F:$F,'FTE 계산'!H$2)) - (SUMIFS(monthly_work_hours!$J:$J,monthly_work_hours!$A:$A,'FTE 계산'!$A361,monthly_work_hours!$F:$F,'FTE 계산'!H$2))</f>
        <v>17</v>
      </c>
      <c r="I361">
        <f>(SUMIFS(monthly_work_hours!$G:$G,monthly_work_hours!$A:$A,'FTE 계산'!$A361,monthly_work_hours!$F:$F,'FTE 계산'!I$2)) - (SUMIFS(monthly_work_hours!$J:$J,monthly_work_hours!$A:$A,'FTE 계산'!$A361,monthly_work_hours!$F:$F,'FTE 계산'!I$2))</f>
        <v>16</v>
      </c>
      <c r="J361">
        <f>(SUMIFS(monthly_work_hours!$G:$G,monthly_work_hours!$A:$A,'FTE 계산'!$A361,monthly_work_hours!$F:$F,'FTE 계산'!J$2)) - (SUMIFS(monthly_work_hours!$J:$J,monthly_work_hours!$A:$A,'FTE 계산'!$A361,monthly_work_hours!$F:$F,'FTE 계산'!J$2))</f>
        <v>14</v>
      </c>
    </row>
    <row r="362" spans="1:10">
      <c r="A362" t="str">
        <v>G223074</v>
      </c>
      <c r="B362" t="str">
        <f>_xlfn.XLOOKUP(A362,monthly_work_hours!A:A,monthly_work_hours!B:B)</f>
        <v>김지은</v>
      </c>
      <c r="C362" t="str">
        <f>_xlfn.XLOOKUP(A362,monthly_work_hours!A:A,monthly_work_hours!C:C)</f>
        <v>DI팀</v>
      </c>
      <c r="D362" t="str">
        <f>_xlfn.XLOOKUP(A362,monthly_work_hours!A:A,monthly_work_hours!D:D)</f>
        <v>선임</v>
      </c>
      <c r="E362">
        <f>SUMIFS(monthly_work_hours!$K:$K,monthly_work_hours!$A:$A,'FTE 계산'!$A362,monthly_work_hours!$F:$F,'FTE 계산'!E$2)</f>
        <v>153.6</v>
      </c>
      <c r="F362">
        <f>SUMIFS(monthly_work_hours!$K:$K,monthly_work_hours!$A:$A,'FTE 계산'!$A362,monthly_work_hours!$F:$F,'FTE 계산'!F$2)</f>
        <v>154.19999999999999</v>
      </c>
      <c r="G362">
        <f>SUMIFS(monthly_work_hours!$K:$K,monthly_work_hours!$A:$A,'FTE 계산'!$A362,monthly_work_hours!$F:$F,'FTE 계산'!G$2)</f>
        <v>124.1</v>
      </c>
      <c r="H362">
        <f>(SUMIFS(monthly_work_hours!$G:$G,monthly_work_hours!$A:$A,'FTE 계산'!$A362,monthly_work_hours!$F:$F,'FTE 계산'!H$2)) - (SUMIFS(monthly_work_hours!$J:$J,monthly_work_hours!$A:$A,'FTE 계산'!$A362,monthly_work_hours!$F:$F,'FTE 계산'!H$2))</f>
        <v>18</v>
      </c>
      <c r="I362">
        <f>(SUMIFS(monthly_work_hours!$G:$G,monthly_work_hours!$A:$A,'FTE 계산'!$A362,monthly_work_hours!$F:$F,'FTE 계산'!I$2)) - (SUMIFS(monthly_work_hours!$J:$J,monthly_work_hours!$A:$A,'FTE 계산'!$A362,monthly_work_hours!$F:$F,'FTE 계산'!I$2))</f>
        <v>19</v>
      </c>
      <c r="J362">
        <f>(SUMIFS(monthly_work_hours!$G:$G,monthly_work_hours!$A:$A,'FTE 계산'!$A362,monthly_work_hours!$F:$F,'FTE 계산'!J$2)) - (SUMIFS(monthly_work_hours!$J:$J,monthly_work_hours!$A:$A,'FTE 계산'!$A362,monthly_work_hours!$F:$F,'FTE 계산'!J$2))</f>
        <v>15</v>
      </c>
    </row>
    <row r="363" spans="1:10">
      <c r="A363" t="str">
        <v>G223077</v>
      </c>
      <c r="B363" t="str">
        <f>_xlfn.XLOOKUP(A363,monthly_work_hours!A:A,monthly_work_hours!B:B)</f>
        <v>전정민</v>
      </c>
      <c r="C363" t="str">
        <f>_xlfn.XLOOKUP(A363,monthly_work_hours!A:A,monthly_work_hours!C:C)</f>
        <v>기술지원팀</v>
      </c>
      <c r="D363" t="str">
        <f>_xlfn.XLOOKUP(A363,monthly_work_hours!A:A,monthly_work_hours!D:D)</f>
        <v>책임</v>
      </c>
      <c r="E363">
        <f>SUMIFS(monthly_work_hours!$K:$K,monthly_work_hours!$A:$A,'FTE 계산'!$A363,monthly_work_hours!$F:$F,'FTE 계산'!E$2)</f>
        <v>169.4</v>
      </c>
      <c r="F363">
        <f>SUMIFS(monthly_work_hours!$K:$K,monthly_work_hours!$A:$A,'FTE 계산'!$A363,monthly_work_hours!$F:$F,'FTE 계산'!F$2)</f>
        <v>161.19999999999999</v>
      </c>
      <c r="G363">
        <f>SUMIFS(monthly_work_hours!$K:$K,monthly_work_hours!$A:$A,'FTE 계산'!$A363,monthly_work_hours!$F:$F,'FTE 계산'!G$2)</f>
        <v>142.9</v>
      </c>
      <c r="H363">
        <f>(SUMIFS(monthly_work_hours!$G:$G,monthly_work_hours!$A:$A,'FTE 계산'!$A363,monthly_work_hours!$F:$F,'FTE 계산'!H$2)) - (SUMIFS(monthly_work_hours!$J:$J,monthly_work_hours!$A:$A,'FTE 계산'!$A363,monthly_work_hours!$F:$F,'FTE 계산'!H$2))</f>
        <v>18</v>
      </c>
      <c r="I363">
        <f>(SUMIFS(monthly_work_hours!$G:$G,monthly_work_hours!$A:$A,'FTE 계산'!$A363,monthly_work_hours!$F:$F,'FTE 계산'!I$2)) - (SUMIFS(monthly_work_hours!$J:$J,monthly_work_hours!$A:$A,'FTE 계산'!$A363,monthly_work_hours!$F:$F,'FTE 계산'!I$2))</f>
        <v>19</v>
      </c>
      <c r="J363">
        <f>(SUMIFS(monthly_work_hours!$G:$G,monthly_work_hours!$A:$A,'FTE 계산'!$A363,monthly_work_hours!$F:$F,'FTE 계산'!J$2)) - (SUMIFS(monthly_work_hours!$J:$J,monthly_work_hours!$A:$A,'FTE 계산'!$A363,monthly_work_hours!$F:$F,'FTE 계산'!J$2))</f>
        <v>16</v>
      </c>
    </row>
    <row r="364" spans="1:10">
      <c r="A364" t="str">
        <v>G223078</v>
      </c>
      <c r="B364" t="str">
        <f>_xlfn.XLOOKUP(A364,monthly_work_hours!A:A,monthly_work_hours!B:B)</f>
        <v>정현수</v>
      </c>
      <c r="C364" t="str">
        <f>_xlfn.XLOOKUP(A364,monthly_work_hours!A:A,monthly_work_hours!C:C)</f>
        <v>재료개발실</v>
      </c>
      <c r="D364" t="str">
        <f>_xlfn.XLOOKUP(A364,monthly_work_hours!A:A,monthly_work_hours!D:D)</f>
        <v>책임</v>
      </c>
      <c r="E364">
        <f>SUMIFS(monthly_work_hours!$K:$K,monthly_work_hours!$A:$A,'FTE 계산'!$A364,monthly_work_hours!$F:$F,'FTE 계산'!E$2)</f>
        <v>151.4</v>
      </c>
      <c r="F364">
        <f>SUMIFS(monthly_work_hours!$K:$K,monthly_work_hours!$A:$A,'FTE 계산'!$A364,monthly_work_hours!$F:$F,'FTE 계산'!F$2)</f>
        <v>158.4</v>
      </c>
      <c r="G364">
        <f>SUMIFS(monthly_work_hours!$K:$K,monthly_work_hours!$A:$A,'FTE 계산'!$A364,monthly_work_hours!$F:$F,'FTE 계산'!G$2)</f>
        <v>129.6</v>
      </c>
      <c r="H364">
        <f>(SUMIFS(monthly_work_hours!$G:$G,monthly_work_hours!$A:$A,'FTE 계산'!$A364,monthly_work_hours!$F:$F,'FTE 계산'!H$2)) - (SUMIFS(monthly_work_hours!$J:$J,monthly_work_hours!$A:$A,'FTE 계산'!$A364,monthly_work_hours!$F:$F,'FTE 계산'!H$2))</f>
        <v>17</v>
      </c>
      <c r="I364">
        <f>(SUMIFS(monthly_work_hours!$G:$G,monthly_work_hours!$A:$A,'FTE 계산'!$A364,monthly_work_hours!$F:$F,'FTE 계산'!I$2)) - (SUMIFS(monthly_work_hours!$J:$J,monthly_work_hours!$A:$A,'FTE 계산'!$A364,monthly_work_hours!$F:$F,'FTE 계산'!I$2))</f>
        <v>17</v>
      </c>
      <c r="J364">
        <f>(SUMIFS(monthly_work_hours!$G:$G,monthly_work_hours!$A:$A,'FTE 계산'!$A364,monthly_work_hours!$F:$F,'FTE 계산'!J$2)) - (SUMIFS(monthly_work_hours!$J:$J,monthly_work_hours!$A:$A,'FTE 계산'!$A364,monthly_work_hours!$F:$F,'FTE 계산'!J$2))</f>
        <v>14</v>
      </c>
    </row>
    <row r="365" spans="1:10">
      <c r="A365" t="str">
        <v>G223079</v>
      </c>
      <c r="B365" t="str">
        <f>_xlfn.XLOOKUP(A365,monthly_work_hours!A:A,monthly_work_hours!B:B)</f>
        <v>백흠우</v>
      </c>
      <c r="C365" t="str">
        <f>_xlfn.XLOOKUP(A365,monthly_work_hours!A:A,monthly_work_hours!C:C)</f>
        <v>FL재료팀</v>
      </c>
      <c r="D365" t="str">
        <f>_xlfn.XLOOKUP(A365,monthly_work_hours!A:A,monthly_work_hours!D:D)</f>
        <v>책임</v>
      </c>
      <c r="E365">
        <f>SUMIFS(monthly_work_hours!$K:$K,monthly_work_hours!$A:$A,'FTE 계산'!$A365,monthly_work_hours!$F:$F,'FTE 계산'!E$2)</f>
        <v>139.6</v>
      </c>
      <c r="F365">
        <f>SUMIFS(monthly_work_hours!$K:$K,monthly_work_hours!$A:$A,'FTE 계산'!$A365,monthly_work_hours!$F:$F,'FTE 계산'!F$2)</f>
        <v>74.2</v>
      </c>
      <c r="G365">
        <f>SUMIFS(monthly_work_hours!$K:$K,monthly_work_hours!$A:$A,'FTE 계산'!$A365,monthly_work_hours!$F:$F,'FTE 계산'!G$2)</f>
        <v>0</v>
      </c>
      <c r="H365">
        <f>(SUMIFS(monthly_work_hours!$G:$G,monthly_work_hours!$A:$A,'FTE 계산'!$A365,monthly_work_hours!$F:$F,'FTE 계산'!H$2)) - (SUMIFS(monthly_work_hours!$J:$J,monthly_work_hours!$A:$A,'FTE 계산'!$A365,monthly_work_hours!$F:$F,'FTE 계산'!H$2))</f>
        <v>16</v>
      </c>
      <c r="I365">
        <f>(SUMIFS(monthly_work_hours!$G:$G,monthly_work_hours!$A:$A,'FTE 계산'!$A365,monthly_work_hours!$F:$F,'FTE 계산'!I$2)) - (SUMIFS(monthly_work_hours!$J:$J,monthly_work_hours!$A:$A,'FTE 계산'!$A365,monthly_work_hours!$F:$F,'FTE 계산'!I$2))</f>
        <v>8</v>
      </c>
      <c r="J365">
        <f>(SUMIFS(monthly_work_hours!$G:$G,monthly_work_hours!$A:$A,'FTE 계산'!$A365,monthly_work_hours!$F:$F,'FTE 계산'!J$2)) - (SUMIFS(monthly_work_hours!$J:$J,monthly_work_hours!$A:$A,'FTE 계산'!$A365,monthly_work_hours!$F:$F,'FTE 계산'!J$2))</f>
        <v>0</v>
      </c>
    </row>
    <row r="366" spans="1:10">
      <c r="A366" t="str">
        <v>G223081</v>
      </c>
      <c r="B366" t="str">
        <f>_xlfn.XLOOKUP(A366,monthly_work_hours!A:A,monthly_work_hours!B:B)</f>
        <v>고경훈</v>
      </c>
      <c r="C366" t="str">
        <f>_xlfn.XLOOKUP(A366,monthly_work_hours!A:A,monthly_work_hours!C:C)</f>
        <v>기술지원팀</v>
      </c>
      <c r="D366" t="str">
        <f>_xlfn.XLOOKUP(A366,monthly_work_hours!A:A,monthly_work_hours!D:D)</f>
        <v>선임</v>
      </c>
      <c r="E366">
        <f>SUMIFS(monthly_work_hours!$K:$K,monthly_work_hours!$A:$A,'FTE 계산'!$A366,monthly_work_hours!$F:$F,'FTE 계산'!E$2)</f>
        <v>164.7</v>
      </c>
      <c r="F366">
        <f>SUMIFS(monthly_work_hours!$K:$K,monthly_work_hours!$A:$A,'FTE 계산'!$A366,monthly_work_hours!$F:$F,'FTE 계산'!F$2)</f>
        <v>131</v>
      </c>
      <c r="G366">
        <f>SUMIFS(monthly_work_hours!$K:$K,monthly_work_hours!$A:$A,'FTE 계산'!$A366,monthly_work_hours!$F:$F,'FTE 계산'!G$2)</f>
        <v>138.5</v>
      </c>
      <c r="H366">
        <f>(SUMIFS(monthly_work_hours!$G:$G,monthly_work_hours!$A:$A,'FTE 계산'!$A366,monthly_work_hours!$F:$F,'FTE 계산'!H$2)) - (SUMIFS(monthly_work_hours!$J:$J,monthly_work_hours!$A:$A,'FTE 계산'!$A366,monthly_work_hours!$F:$F,'FTE 계산'!H$2))</f>
        <v>18</v>
      </c>
      <c r="I366">
        <f>(SUMIFS(monthly_work_hours!$G:$G,monthly_work_hours!$A:$A,'FTE 계산'!$A366,monthly_work_hours!$F:$F,'FTE 계산'!I$2)) - (SUMIFS(monthly_work_hours!$J:$J,monthly_work_hours!$A:$A,'FTE 계산'!$A366,monthly_work_hours!$F:$F,'FTE 계산'!I$2))</f>
        <v>15</v>
      </c>
      <c r="J366">
        <f>(SUMIFS(monthly_work_hours!$G:$G,monthly_work_hours!$A:$A,'FTE 계산'!$A366,monthly_work_hours!$F:$F,'FTE 계산'!J$2)) - (SUMIFS(monthly_work_hours!$J:$J,monthly_work_hours!$A:$A,'FTE 계산'!$A366,monthly_work_hours!$F:$F,'FTE 계산'!J$2))</f>
        <v>16</v>
      </c>
    </row>
    <row r="367" spans="1:10">
      <c r="A367" t="str">
        <v>G223082</v>
      </c>
      <c r="B367" t="str">
        <f>_xlfn.XLOOKUP(A367,monthly_work_hours!A:A,monthly_work_hours!B:B)</f>
        <v>한창욱</v>
      </c>
      <c r="C367" t="str">
        <f>_xlfn.XLOOKUP(A367,monthly_work_hours!A:A,monthly_work_hours!C:C)</f>
        <v>SL재료팀</v>
      </c>
      <c r="D367" t="str">
        <f>_xlfn.XLOOKUP(A367,monthly_work_hours!A:A,monthly_work_hours!D:D)</f>
        <v>선임</v>
      </c>
      <c r="E367">
        <f>SUMIFS(monthly_work_hours!$K:$K,monthly_work_hours!$A:$A,'FTE 계산'!$A367,monthly_work_hours!$F:$F,'FTE 계산'!E$2)</f>
        <v>161.19999999999999</v>
      </c>
      <c r="F367">
        <f>SUMIFS(monthly_work_hours!$K:$K,monthly_work_hours!$A:$A,'FTE 계산'!$A367,monthly_work_hours!$F:$F,'FTE 계산'!F$2)</f>
        <v>201.5</v>
      </c>
      <c r="G367">
        <f>SUMIFS(monthly_work_hours!$K:$K,monthly_work_hours!$A:$A,'FTE 계산'!$A367,monthly_work_hours!$F:$F,'FTE 계산'!G$2)</f>
        <v>133.5</v>
      </c>
      <c r="H367">
        <f>(SUMIFS(monthly_work_hours!$G:$G,monthly_work_hours!$A:$A,'FTE 계산'!$A367,monthly_work_hours!$F:$F,'FTE 계산'!H$2)) - (SUMIFS(monthly_work_hours!$J:$J,monthly_work_hours!$A:$A,'FTE 계산'!$A367,monthly_work_hours!$F:$F,'FTE 계산'!H$2))</f>
        <v>17</v>
      </c>
      <c r="I367">
        <f>(SUMIFS(monthly_work_hours!$G:$G,monthly_work_hours!$A:$A,'FTE 계산'!$A367,monthly_work_hours!$F:$F,'FTE 계산'!I$2)) - (SUMIFS(monthly_work_hours!$J:$J,monthly_work_hours!$A:$A,'FTE 계산'!$A367,monthly_work_hours!$F:$F,'FTE 계산'!I$2))</f>
        <v>19</v>
      </c>
      <c r="J367">
        <f>(SUMIFS(monthly_work_hours!$G:$G,monthly_work_hours!$A:$A,'FTE 계산'!$A367,monthly_work_hours!$F:$F,'FTE 계산'!J$2)) - (SUMIFS(monthly_work_hours!$J:$J,monthly_work_hours!$A:$A,'FTE 계산'!$A367,monthly_work_hours!$F:$F,'FTE 계산'!J$2))</f>
        <v>15</v>
      </c>
    </row>
    <row r="368" spans="1:10">
      <c r="A368" t="str">
        <v>G223083</v>
      </c>
      <c r="B368" t="str">
        <f>_xlfn.XLOOKUP(A368,monthly_work_hours!A:A,monthly_work_hours!B:B)</f>
        <v>김주원</v>
      </c>
      <c r="C368" t="str">
        <f>_xlfn.XLOOKUP(A368,monthly_work_hours!A:A,monthly_work_hours!C:C)</f>
        <v>SL재료팀</v>
      </c>
      <c r="D368" t="str">
        <f>_xlfn.XLOOKUP(A368,monthly_work_hours!A:A,monthly_work_hours!D:D)</f>
        <v>선임</v>
      </c>
      <c r="E368">
        <f>SUMIFS(monthly_work_hours!$K:$K,monthly_work_hours!$A:$A,'FTE 계산'!$A368,monthly_work_hours!$F:$F,'FTE 계산'!E$2)</f>
        <v>142.1</v>
      </c>
      <c r="F368">
        <f>SUMIFS(monthly_work_hours!$K:$K,monthly_work_hours!$A:$A,'FTE 계산'!$A368,monthly_work_hours!$F:$F,'FTE 계산'!F$2)</f>
        <v>171.4</v>
      </c>
      <c r="G368">
        <f>SUMIFS(monthly_work_hours!$K:$K,monthly_work_hours!$A:$A,'FTE 계산'!$A368,monthly_work_hours!$F:$F,'FTE 계산'!G$2)</f>
        <v>144.5</v>
      </c>
      <c r="H368">
        <f>(SUMIFS(monthly_work_hours!$G:$G,monthly_work_hours!$A:$A,'FTE 계산'!$A368,monthly_work_hours!$F:$F,'FTE 계산'!H$2)) - (SUMIFS(monthly_work_hours!$J:$J,monthly_work_hours!$A:$A,'FTE 계산'!$A368,monthly_work_hours!$F:$F,'FTE 계산'!H$2))</f>
        <v>15</v>
      </c>
      <c r="I368">
        <f>(SUMIFS(monthly_work_hours!$G:$G,monthly_work_hours!$A:$A,'FTE 계산'!$A368,monthly_work_hours!$F:$F,'FTE 계산'!I$2)) - (SUMIFS(monthly_work_hours!$J:$J,monthly_work_hours!$A:$A,'FTE 계산'!$A368,monthly_work_hours!$F:$F,'FTE 계산'!I$2))</f>
        <v>18</v>
      </c>
      <c r="J368">
        <f>(SUMIFS(monthly_work_hours!$G:$G,monthly_work_hours!$A:$A,'FTE 계산'!$A368,monthly_work_hours!$F:$F,'FTE 계산'!J$2)) - (SUMIFS(monthly_work_hours!$J:$J,monthly_work_hours!$A:$A,'FTE 계산'!$A368,monthly_work_hours!$F:$F,'FTE 계산'!J$2))</f>
        <v>16</v>
      </c>
    </row>
    <row r="369" spans="1:10">
      <c r="A369" t="str">
        <v>G223084</v>
      </c>
      <c r="B369" t="str">
        <f>_xlfn.XLOOKUP(A369,monthly_work_hours!A:A,monthly_work_hours!B:B)</f>
        <v>모성우</v>
      </c>
      <c r="C369" t="str">
        <f>_xlfn.XLOOKUP(A369,monthly_work_hours!A:A,monthly_work_hours!C:C)</f>
        <v>FL재료팀</v>
      </c>
      <c r="D369" t="str">
        <f>_xlfn.XLOOKUP(A369,monthly_work_hours!A:A,monthly_work_hours!D:D)</f>
        <v>선임</v>
      </c>
      <c r="E369">
        <f>SUMIFS(monthly_work_hours!$K:$K,monthly_work_hours!$A:$A,'FTE 계산'!$A369,monthly_work_hours!$F:$F,'FTE 계산'!E$2)</f>
        <v>150.80000000000001</v>
      </c>
      <c r="F369">
        <f>SUMIFS(monthly_work_hours!$K:$K,monthly_work_hours!$A:$A,'FTE 계산'!$A369,monthly_work_hours!$F:$F,'FTE 계산'!F$2)</f>
        <v>166.2</v>
      </c>
      <c r="G369">
        <f>SUMIFS(monthly_work_hours!$K:$K,monthly_work_hours!$A:$A,'FTE 계산'!$A369,monthly_work_hours!$F:$F,'FTE 계산'!G$2)</f>
        <v>137.5</v>
      </c>
      <c r="H369">
        <f>(SUMIFS(monthly_work_hours!$G:$G,monthly_work_hours!$A:$A,'FTE 계산'!$A369,monthly_work_hours!$F:$F,'FTE 계산'!H$2)) - (SUMIFS(monthly_work_hours!$J:$J,monthly_work_hours!$A:$A,'FTE 계산'!$A369,monthly_work_hours!$F:$F,'FTE 계산'!H$2))</f>
        <v>18</v>
      </c>
      <c r="I369">
        <f>(SUMIFS(monthly_work_hours!$G:$G,monthly_work_hours!$A:$A,'FTE 계산'!$A369,monthly_work_hours!$F:$F,'FTE 계산'!I$2)) - (SUMIFS(monthly_work_hours!$J:$J,monthly_work_hours!$A:$A,'FTE 계산'!$A369,monthly_work_hours!$F:$F,'FTE 계산'!I$2))</f>
        <v>18</v>
      </c>
      <c r="J369">
        <f>(SUMIFS(monthly_work_hours!$G:$G,monthly_work_hours!$A:$A,'FTE 계산'!$A369,monthly_work_hours!$F:$F,'FTE 계산'!J$2)) - (SUMIFS(monthly_work_hours!$J:$J,monthly_work_hours!$A:$A,'FTE 계산'!$A369,monthly_work_hours!$F:$F,'FTE 계산'!J$2))</f>
        <v>16</v>
      </c>
    </row>
    <row r="370" spans="1:10">
      <c r="A370" t="str">
        <v>G223086</v>
      </c>
      <c r="B370" t="str">
        <f>_xlfn.XLOOKUP(A370,monthly_work_hours!A:A,monthly_work_hours!B:B)</f>
        <v>신광섭</v>
      </c>
      <c r="C370" t="str">
        <f>_xlfn.XLOOKUP(A370,monthly_work_hours!A:A,monthly_work_hours!C:C)</f>
        <v>환경안전팀</v>
      </c>
      <c r="D370" t="str">
        <f>_xlfn.XLOOKUP(A370,monthly_work_hours!A:A,monthly_work_hours!D:D)</f>
        <v>책임</v>
      </c>
      <c r="E370">
        <f>SUMIFS(monthly_work_hours!$K:$K,monthly_work_hours!$A:$A,'FTE 계산'!$A370,monthly_work_hours!$F:$F,'FTE 계산'!E$2)</f>
        <v>190.3</v>
      </c>
      <c r="F370">
        <f>SUMIFS(monthly_work_hours!$K:$K,monthly_work_hours!$A:$A,'FTE 계산'!$A370,monthly_work_hours!$F:$F,'FTE 계산'!F$2)</f>
        <v>195.2</v>
      </c>
      <c r="G370">
        <f>SUMIFS(monthly_work_hours!$K:$K,monthly_work_hours!$A:$A,'FTE 계산'!$A370,monthly_work_hours!$F:$F,'FTE 계산'!G$2)</f>
        <v>157.6</v>
      </c>
      <c r="H370">
        <f>(SUMIFS(monthly_work_hours!$G:$G,monthly_work_hours!$A:$A,'FTE 계산'!$A370,monthly_work_hours!$F:$F,'FTE 계산'!H$2)) - (SUMIFS(monthly_work_hours!$J:$J,monthly_work_hours!$A:$A,'FTE 계산'!$A370,monthly_work_hours!$F:$F,'FTE 계산'!H$2))</f>
        <v>19</v>
      </c>
      <c r="I370">
        <f>(SUMIFS(monthly_work_hours!$G:$G,monthly_work_hours!$A:$A,'FTE 계산'!$A370,monthly_work_hours!$F:$F,'FTE 계산'!I$2)) - (SUMIFS(monthly_work_hours!$J:$J,monthly_work_hours!$A:$A,'FTE 계산'!$A370,monthly_work_hours!$F:$F,'FTE 계산'!I$2))</f>
        <v>19</v>
      </c>
      <c r="J370">
        <f>(SUMIFS(monthly_work_hours!$G:$G,monthly_work_hours!$A:$A,'FTE 계산'!$A370,monthly_work_hours!$F:$F,'FTE 계산'!J$2)) - (SUMIFS(monthly_work_hours!$J:$J,monthly_work_hours!$A:$A,'FTE 계산'!$A370,monthly_work_hours!$F:$F,'FTE 계산'!J$2))</f>
        <v>16</v>
      </c>
    </row>
    <row r="371" spans="1:10">
      <c r="A371" t="str">
        <v>G223087</v>
      </c>
      <c r="B371" t="str">
        <f>_xlfn.XLOOKUP(A371,monthly_work_hours!A:A,monthly_work_hours!B:B)</f>
        <v>임진오</v>
      </c>
      <c r="C371" t="str">
        <f>_xlfn.XLOOKUP(A371,monthly_work_hours!A:A,monthly_work_hours!C:C)</f>
        <v>ER팀</v>
      </c>
      <c r="D371" t="str">
        <f>_xlfn.XLOOKUP(A371,monthly_work_hours!A:A,monthly_work_hours!D:D)</f>
        <v>선임</v>
      </c>
      <c r="E371">
        <f>SUMIFS(monthly_work_hours!$K:$K,monthly_work_hours!$A:$A,'FTE 계산'!$A371,monthly_work_hours!$F:$F,'FTE 계산'!E$2)</f>
        <v>136.9</v>
      </c>
      <c r="F371">
        <f>SUMIFS(monthly_work_hours!$K:$K,monthly_work_hours!$A:$A,'FTE 계산'!$A371,monthly_work_hours!$F:$F,'FTE 계산'!F$2)</f>
        <v>155.4</v>
      </c>
      <c r="G371">
        <f>SUMIFS(monthly_work_hours!$K:$K,monthly_work_hours!$A:$A,'FTE 계산'!$A371,monthly_work_hours!$F:$F,'FTE 계산'!G$2)</f>
        <v>114.4</v>
      </c>
      <c r="H371">
        <f>(SUMIFS(monthly_work_hours!$G:$G,monthly_work_hours!$A:$A,'FTE 계산'!$A371,monthly_work_hours!$F:$F,'FTE 계산'!H$2)) - (SUMIFS(monthly_work_hours!$J:$J,monthly_work_hours!$A:$A,'FTE 계산'!$A371,monthly_work_hours!$F:$F,'FTE 계산'!H$2))</f>
        <v>18</v>
      </c>
      <c r="I371">
        <f>(SUMIFS(monthly_work_hours!$G:$G,monthly_work_hours!$A:$A,'FTE 계산'!$A371,monthly_work_hours!$F:$F,'FTE 계산'!I$2)) - (SUMIFS(monthly_work_hours!$J:$J,monthly_work_hours!$A:$A,'FTE 계산'!$A371,monthly_work_hours!$F:$F,'FTE 계산'!I$2))</f>
        <v>16</v>
      </c>
      <c r="J371">
        <f>(SUMIFS(monthly_work_hours!$G:$G,monthly_work_hours!$A:$A,'FTE 계산'!$A371,monthly_work_hours!$F:$F,'FTE 계산'!J$2)) - (SUMIFS(monthly_work_hours!$J:$J,monthly_work_hours!$A:$A,'FTE 계산'!$A371,monthly_work_hours!$F:$F,'FTE 계산'!J$2))</f>
        <v>13</v>
      </c>
    </row>
    <row r="372" spans="1:10">
      <c r="A372" t="str">
        <v>G223088</v>
      </c>
      <c r="B372" t="str">
        <f>_xlfn.XLOOKUP(A372,monthly_work_hours!A:A,monthly_work_hours!B:B)</f>
        <v>이제훈</v>
      </c>
      <c r="C372" t="str">
        <f>_xlfn.XLOOKUP(A372,monthly_work_hours!A:A,monthly_work_hours!C:C)</f>
        <v>환경안전팀</v>
      </c>
      <c r="D372" t="str">
        <f>_xlfn.XLOOKUP(A372,monthly_work_hours!A:A,monthly_work_hours!D:D)</f>
        <v>선임</v>
      </c>
      <c r="E372">
        <f>SUMIFS(monthly_work_hours!$K:$K,monthly_work_hours!$A:$A,'FTE 계산'!$A372,monthly_work_hours!$F:$F,'FTE 계산'!E$2)</f>
        <v>209.4</v>
      </c>
      <c r="F372">
        <f>SUMIFS(monthly_work_hours!$K:$K,monthly_work_hours!$A:$A,'FTE 계산'!$A372,monthly_work_hours!$F:$F,'FTE 계산'!F$2)</f>
        <v>261.60000000000002</v>
      </c>
      <c r="G372">
        <f>SUMIFS(monthly_work_hours!$K:$K,monthly_work_hours!$A:$A,'FTE 계산'!$A372,monthly_work_hours!$F:$F,'FTE 계산'!G$2)</f>
        <v>156.6</v>
      </c>
      <c r="H372">
        <f>(SUMIFS(monthly_work_hours!$G:$G,monthly_work_hours!$A:$A,'FTE 계산'!$A372,monthly_work_hours!$F:$F,'FTE 계산'!H$2)) - (SUMIFS(monthly_work_hours!$J:$J,monthly_work_hours!$A:$A,'FTE 계산'!$A372,monthly_work_hours!$F:$F,'FTE 계산'!H$2))</f>
        <v>18</v>
      </c>
      <c r="I372">
        <f>(SUMIFS(monthly_work_hours!$G:$G,monthly_work_hours!$A:$A,'FTE 계산'!$A372,monthly_work_hours!$F:$F,'FTE 계산'!I$2)) - (SUMIFS(monthly_work_hours!$J:$J,monthly_work_hours!$A:$A,'FTE 계산'!$A372,monthly_work_hours!$F:$F,'FTE 계산'!I$2))</f>
        <v>18</v>
      </c>
      <c r="J372">
        <f>(SUMIFS(monthly_work_hours!$G:$G,monthly_work_hours!$A:$A,'FTE 계산'!$A372,monthly_work_hours!$F:$F,'FTE 계산'!J$2)) - (SUMIFS(monthly_work_hours!$J:$J,monthly_work_hours!$A:$A,'FTE 계산'!$A372,monthly_work_hours!$F:$F,'FTE 계산'!J$2))</f>
        <v>16</v>
      </c>
    </row>
    <row r="373" spans="1:10">
      <c r="A373" t="str">
        <v>G223089</v>
      </c>
      <c r="B373" t="str">
        <f>_xlfn.XLOOKUP(A373,monthly_work_hours!A:A,monthly_work_hours!B:B)</f>
        <v>박현진</v>
      </c>
      <c r="C373" t="str">
        <f>_xlfn.XLOOKUP(A373,monthly_work_hours!A:A,monthly_work_hours!C:C)</f>
        <v>환경안전팀</v>
      </c>
      <c r="D373" t="str">
        <f>_xlfn.XLOOKUP(A373,monthly_work_hours!A:A,monthly_work_hours!D:D)</f>
        <v>선임</v>
      </c>
      <c r="E373">
        <f>SUMIFS(monthly_work_hours!$K:$K,monthly_work_hours!$A:$A,'FTE 계산'!$A373,monthly_work_hours!$F:$F,'FTE 계산'!E$2)</f>
        <v>51.4</v>
      </c>
      <c r="F373">
        <f>SUMIFS(monthly_work_hours!$K:$K,monthly_work_hours!$A:$A,'FTE 계산'!$A373,monthly_work_hours!$F:$F,'FTE 계산'!F$2)</f>
        <v>32</v>
      </c>
      <c r="G373">
        <f>SUMIFS(monthly_work_hours!$K:$K,monthly_work_hours!$A:$A,'FTE 계산'!$A373,monthly_work_hours!$F:$F,'FTE 계산'!G$2)</f>
        <v>163.30000000000001</v>
      </c>
      <c r="H373">
        <f>(SUMIFS(monthly_work_hours!$G:$G,monthly_work_hours!$A:$A,'FTE 계산'!$A373,monthly_work_hours!$F:$F,'FTE 계산'!H$2)) - (SUMIFS(monthly_work_hours!$J:$J,monthly_work_hours!$A:$A,'FTE 계산'!$A373,monthly_work_hours!$F:$F,'FTE 계산'!H$2))</f>
        <v>9</v>
      </c>
      <c r="I373">
        <f>(SUMIFS(monthly_work_hours!$G:$G,monthly_work_hours!$A:$A,'FTE 계산'!$A373,monthly_work_hours!$F:$F,'FTE 계산'!I$2)) - (SUMIFS(monthly_work_hours!$J:$J,monthly_work_hours!$A:$A,'FTE 계산'!$A373,monthly_work_hours!$F:$F,'FTE 계산'!I$2))</f>
        <v>6</v>
      </c>
      <c r="J373">
        <f>(SUMIFS(monthly_work_hours!$G:$G,monthly_work_hours!$A:$A,'FTE 계산'!$A373,monthly_work_hours!$F:$F,'FTE 계산'!J$2)) - (SUMIFS(monthly_work_hours!$J:$J,monthly_work_hours!$A:$A,'FTE 계산'!$A373,monthly_work_hours!$F:$F,'FTE 계산'!J$2))</f>
        <v>9</v>
      </c>
    </row>
    <row r="374" spans="1:10">
      <c r="A374" t="str">
        <v>G223090</v>
      </c>
      <c r="B374" t="str">
        <f>_xlfn.XLOOKUP(A374,monthly_work_hours!A:A,monthly_work_hours!B:B)</f>
        <v>최민웅</v>
      </c>
      <c r="C374" t="str">
        <f>_xlfn.XLOOKUP(A374,monthly_work_hours!A:A,monthly_work_hours!C:C)</f>
        <v>기획팀</v>
      </c>
      <c r="D374" t="str">
        <f>_xlfn.XLOOKUP(A374,monthly_work_hours!A:A,monthly_work_hours!D:D)</f>
        <v>책임</v>
      </c>
      <c r="E374">
        <f>SUMIFS(monthly_work_hours!$K:$K,monthly_work_hours!$A:$A,'FTE 계산'!$A374,monthly_work_hours!$F:$F,'FTE 계산'!E$2)</f>
        <v>131.4</v>
      </c>
      <c r="F374">
        <f>SUMIFS(monthly_work_hours!$K:$K,monthly_work_hours!$A:$A,'FTE 계산'!$A374,monthly_work_hours!$F:$F,'FTE 계산'!F$2)</f>
        <v>187.2</v>
      </c>
      <c r="G374">
        <f>SUMIFS(monthly_work_hours!$K:$K,monthly_work_hours!$A:$A,'FTE 계산'!$A374,monthly_work_hours!$F:$F,'FTE 계산'!G$2)</f>
        <v>156.6</v>
      </c>
      <c r="H374">
        <f>(SUMIFS(monthly_work_hours!$G:$G,monthly_work_hours!$A:$A,'FTE 계산'!$A374,monthly_work_hours!$F:$F,'FTE 계산'!H$2)) - (SUMIFS(monthly_work_hours!$J:$J,monthly_work_hours!$A:$A,'FTE 계산'!$A374,monthly_work_hours!$F:$F,'FTE 계산'!H$2))</f>
        <v>13</v>
      </c>
      <c r="I374">
        <f>(SUMIFS(monthly_work_hours!$G:$G,monthly_work_hours!$A:$A,'FTE 계산'!$A374,monthly_work_hours!$F:$F,'FTE 계산'!I$2)) - (SUMIFS(monthly_work_hours!$J:$J,monthly_work_hours!$A:$A,'FTE 계산'!$A374,monthly_work_hours!$F:$F,'FTE 계산'!I$2))</f>
        <v>19</v>
      </c>
      <c r="J374">
        <f>(SUMIFS(monthly_work_hours!$G:$G,monthly_work_hours!$A:$A,'FTE 계산'!$A374,monthly_work_hours!$F:$F,'FTE 계산'!J$2)) - (SUMIFS(monthly_work_hours!$J:$J,monthly_work_hours!$A:$A,'FTE 계산'!$A374,monthly_work_hours!$F:$F,'FTE 계산'!J$2))</f>
        <v>17</v>
      </c>
    </row>
    <row r="375" spans="1:10">
      <c r="A375" t="str">
        <v>G223092</v>
      </c>
      <c r="B375" t="str">
        <f>_xlfn.XLOOKUP(A375,monthly_work_hours!A:A,monthly_work_hours!B:B)</f>
        <v>김호용</v>
      </c>
      <c r="C375" t="str">
        <f>_xlfn.XLOOKUP(A375,monthly_work_hours!A:A,monthly_work_hours!C:C)</f>
        <v>기획팀</v>
      </c>
      <c r="D375" t="str">
        <f>_xlfn.XLOOKUP(A375,monthly_work_hours!A:A,monthly_work_hours!D:D)</f>
        <v>선임</v>
      </c>
      <c r="E375">
        <f>SUMIFS(monthly_work_hours!$K:$K,monthly_work_hours!$A:$A,'FTE 계산'!$A375,monthly_work_hours!$F:$F,'FTE 계산'!E$2)</f>
        <v>173.2</v>
      </c>
      <c r="F375">
        <f>SUMIFS(monthly_work_hours!$K:$K,monthly_work_hours!$A:$A,'FTE 계산'!$A375,monthly_work_hours!$F:$F,'FTE 계산'!F$2)</f>
        <v>166.2</v>
      </c>
      <c r="G375">
        <f>SUMIFS(monthly_work_hours!$K:$K,monthly_work_hours!$A:$A,'FTE 계산'!$A375,monthly_work_hours!$F:$F,'FTE 계산'!G$2)</f>
        <v>133.19999999999999</v>
      </c>
      <c r="H375">
        <f>(SUMIFS(monthly_work_hours!$G:$G,monthly_work_hours!$A:$A,'FTE 계산'!$A375,monthly_work_hours!$F:$F,'FTE 계산'!H$2)) - (SUMIFS(monthly_work_hours!$J:$J,monthly_work_hours!$A:$A,'FTE 계산'!$A375,monthly_work_hours!$F:$F,'FTE 계산'!H$2))</f>
        <v>18</v>
      </c>
      <c r="I375">
        <f>(SUMIFS(monthly_work_hours!$G:$G,monthly_work_hours!$A:$A,'FTE 계산'!$A375,monthly_work_hours!$F:$F,'FTE 계산'!I$2)) - (SUMIFS(monthly_work_hours!$J:$J,monthly_work_hours!$A:$A,'FTE 계산'!$A375,monthly_work_hours!$F:$F,'FTE 계산'!I$2))</f>
        <v>19</v>
      </c>
      <c r="J375">
        <f>(SUMIFS(monthly_work_hours!$G:$G,monthly_work_hours!$A:$A,'FTE 계산'!$A375,monthly_work_hours!$F:$F,'FTE 계산'!J$2)) - (SUMIFS(monthly_work_hours!$J:$J,monthly_work_hours!$A:$A,'FTE 계산'!$A375,monthly_work_hours!$F:$F,'FTE 계산'!J$2))</f>
        <v>15</v>
      </c>
    </row>
    <row r="376" spans="1:10">
      <c r="A376" t="str">
        <v>G223093</v>
      </c>
      <c r="B376" t="str">
        <f>_xlfn.XLOOKUP(A376,monthly_work_hours!A:A,monthly_work_hours!B:B)</f>
        <v>조지남</v>
      </c>
      <c r="C376" t="str">
        <f>_xlfn.XLOOKUP(A376,monthly_work_hours!A:A,monthly_work_hours!C:C)</f>
        <v>Defense사업팀</v>
      </c>
      <c r="D376" t="str">
        <f>_xlfn.XLOOKUP(A376,monthly_work_hours!A:A,monthly_work_hours!D:D)</f>
        <v>선임</v>
      </c>
      <c r="E376">
        <f>SUMIFS(monthly_work_hours!$K:$K,monthly_work_hours!$A:$A,'FTE 계산'!$A376,monthly_work_hours!$F:$F,'FTE 계산'!E$2)</f>
        <v>164.4</v>
      </c>
      <c r="F376">
        <f>SUMIFS(monthly_work_hours!$K:$K,monthly_work_hours!$A:$A,'FTE 계산'!$A376,monthly_work_hours!$F:$F,'FTE 계산'!F$2)</f>
        <v>156.6</v>
      </c>
      <c r="G376">
        <f>SUMIFS(monthly_work_hours!$K:$K,monthly_work_hours!$A:$A,'FTE 계산'!$A376,monthly_work_hours!$F:$F,'FTE 계산'!G$2)</f>
        <v>164</v>
      </c>
      <c r="H376">
        <f>(SUMIFS(monthly_work_hours!$G:$G,monthly_work_hours!$A:$A,'FTE 계산'!$A376,monthly_work_hours!$F:$F,'FTE 계산'!H$2)) - (SUMIFS(monthly_work_hours!$J:$J,monthly_work_hours!$A:$A,'FTE 계산'!$A376,monthly_work_hours!$F:$F,'FTE 계산'!H$2))</f>
        <v>17</v>
      </c>
      <c r="I376">
        <f>(SUMIFS(monthly_work_hours!$G:$G,monthly_work_hours!$A:$A,'FTE 계산'!$A376,monthly_work_hours!$F:$F,'FTE 계산'!I$2)) - (SUMIFS(monthly_work_hours!$J:$J,monthly_work_hours!$A:$A,'FTE 계산'!$A376,monthly_work_hours!$F:$F,'FTE 계산'!I$2))</f>
        <v>17</v>
      </c>
      <c r="J376">
        <f>(SUMIFS(monthly_work_hours!$G:$G,monthly_work_hours!$A:$A,'FTE 계산'!$A376,monthly_work_hours!$F:$F,'FTE 계산'!J$2)) - (SUMIFS(monthly_work_hours!$J:$J,monthly_work_hours!$A:$A,'FTE 계산'!$A376,monthly_work_hours!$F:$F,'FTE 계산'!J$2))</f>
        <v>16</v>
      </c>
    </row>
    <row r="377" spans="1:10">
      <c r="A377" t="str">
        <v>G223094</v>
      </c>
      <c r="B377" t="str">
        <f>_xlfn.XLOOKUP(A377,monthly_work_hours!A:A,monthly_work_hours!B:B)</f>
        <v>박성훈</v>
      </c>
      <c r="C377" t="str">
        <f>_xlfn.XLOOKUP(A377,monthly_work_hours!A:A,monthly_work_hours!C:C)</f>
        <v>ER팀</v>
      </c>
      <c r="D377" t="str">
        <f>_xlfn.XLOOKUP(A377,monthly_work_hours!A:A,monthly_work_hours!D:D)</f>
        <v>선임</v>
      </c>
      <c r="E377">
        <f>SUMIFS(monthly_work_hours!$K:$K,monthly_work_hours!$A:$A,'FTE 계산'!$A377,monthly_work_hours!$F:$F,'FTE 계산'!E$2)</f>
        <v>207.1</v>
      </c>
      <c r="F377">
        <f>SUMIFS(monthly_work_hours!$K:$K,monthly_work_hours!$A:$A,'FTE 계산'!$A377,monthly_work_hours!$F:$F,'FTE 계산'!F$2)</f>
        <v>234.9</v>
      </c>
      <c r="G377">
        <f>SUMIFS(monthly_work_hours!$K:$K,monthly_work_hours!$A:$A,'FTE 계산'!$A377,monthly_work_hours!$F:$F,'FTE 계산'!G$2)</f>
        <v>204.7</v>
      </c>
      <c r="H377">
        <f>(SUMIFS(monthly_work_hours!$G:$G,monthly_work_hours!$A:$A,'FTE 계산'!$A377,monthly_work_hours!$F:$F,'FTE 계산'!H$2)) - (SUMIFS(monthly_work_hours!$J:$J,monthly_work_hours!$A:$A,'FTE 계산'!$A377,monthly_work_hours!$F:$F,'FTE 계산'!H$2))</f>
        <v>18</v>
      </c>
      <c r="I377">
        <f>(SUMIFS(monthly_work_hours!$G:$G,monthly_work_hours!$A:$A,'FTE 계산'!$A377,monthly_work_hours!$F:$F,'FTE 계산'!I$2)) - (SUMIFS(monthly_work_hours!$J:$J,monthly_work_hours!$A:$A,'FTE 계산'!$A377,monthly_work_hours!$F:$F,'FTE 계산'!I$2))</f>
        <v>19</v>
      </c>
      <c r="J377">
        <f>(SUMIFS(monthly_work_hours!$G:$G,monthly_work_hours!$A:$A,'FTE 계산'!$A377,monthly_work_hours!$F:$F,'FTE 계산'!J$2)) - (SUMIFS(monthly_work_hours!$J:$J,monthly_work_hours!$A:$A,'FTE 계산'!$A377,monthly_work_hours!$F:$F,'FTE 계산'!J$2))</f>
        <v>17</v>
      </c>
    </row>
    <row r="378" spans="1:10">
      <c r="A378" t="str">
        <v>G223095</v>
      </c>
      <c r="B378" t="str">
        <f>_xlfn.XLOOKUP(A378,monthly_work_hours!A:A,monthly_work_hours!B:B)</f>
        <v>우인호</v>
      </c>
      <c r="C378" t="str">
        <f>_xlfn.XLOOKUP(A378,monthly_work_hours!A:A,monthly_work_hours!C:C)</f>
        <v>환경안전팀</v>
      </c>
      <c r="D378" t="str">
        <f>_xlfn.XLOOKUP(A378,monthly_work_hours!A:A,monthly_work_hours!D:D)</f>
        <v>선임</v>
      </c>
      <c r="E378">
        <f>SUMIFS(monthly_work_hours!$K:$K,monthly_work_hours!$A:$A,'FTE 계산'!$A378,monthly_work_hours!$F:$F,'FTE 계산'!E$2)</f>
        <v>168.3</v>
      </c>
      <c r="F378">
        <f>SUMIFS(monthly_work_hours!$K:$K,monthly_work_hours!$A:$A,'FTE 계산'!$A378,monthly_work_hours!$F:$F,'FTE 계산'!F$2)</f>
        <v>206</v>
      </c>
      <c r="G378">
        <f>SUMIFS(monthly_work_hours!$K:$K,monthly_work_hours!$A:$A,'FTE 계산'!$A378,monthly_work_hours!$F:$F,'FTE 계산'!G$2)</f>
        <v>101.2</v>
      </c>
      <c r="H378">
        <f>(SUMIFS(monthly_work_hours!$G:$G,monthly_work_hours!$A:$A,'FTE 계산'!$A378,monthly_work_hours!$F:$F,'FTE 계산'!H$2)) - (SUMIFS(monthly_work_hours!$J:$J,monthly_work_hours!$A:$A,'FTE 계산'!$A378,monthly_work_hours!$F:$F,'FTE 계산'!H$2))</f>
        <v>17</v>
      </c>
      <c r="I378">
        <f>(SUMIFS(monthly_work_hours!$G:$G,monthly_work_hours!$A:$A,'FTE 계산'!$A378,monthly_work_hours!$F:$F,'FTE 계산'!I$2)) - (SUMIFS(monthly_work_hours!$J:$J,monthly_work_hours!$A:$A,'FTE 계산'!$A378,monthly_work_hours!$F:$F,'FTE 계산'!I$2))</f>
        <v>19</v>
      </c>
      <c r="J378">
        <f>(SUMIFS(monthly_work_hours!$G:$G,monthly_work_hours!$A:$A,'FTE 계산'!$A378,monthly_work_hours!$F:$F,'FTE 계산'!J$2)) - (SUMIFS(monthly_work_hours!$J:$J,monthly_work_hours!$A:$A,'FTE 계산'!$A378,monthly_work_hours!$F:$F,'FTE 계산'!J$2))</f>
        <v>13</v>
      </c>
    </row>
    <row r="379" spans="1:10">
      <c r="A379" t="str">
        <v>G223099</v>
      </c>
      <c r="B379" t="str">
        <f>_xlfn.XLOOKUP(A379,monthly_work_hours!A:A,monthly_work_hours!B:B)</f>
        <v>김상봉</v>
      </c>
      <c r="C379" t="str">
        <f>_xlfn.XLOOKUP(A379,monthly_work_hours!A:A,monthly_work_hours!C:C)</f>
        <v>자금팀</v>
      </c>
      <c r="D379" t="str">
        <f>_xlfn.XLOOKUP(A379,monthly_work_hours!A:A,monthly_work_hours!D:D)</f>
        <v>책임</v>
      </c>
      <c r="E379">
        <f>SUMIFS(monthly_work_hours!$K:$K,monthly_work_hours!$A:$A,'FTE 계산'!$A379,monthly_work_hours!$F:$F,'FTE 계산'!E$2)</f>
        <v>168</v>
      </c>
      <c r="F379">
        <f>SUMIFS(monthly_work_hours!$K:$K,monthly_work_hours!$A:$A,'FTE 계산'!$A379,monthly_work_hours!$F:$F,'FTE 계산'!F$2)</f>
        <v>220.3</v>
      </c>
      <c r="G379">
        <f>SUMIFS(monthly_work_hours!$K:$K,monthly_work_hours!$A:$A,'FTE 계산'!$A379,monthly_work_hours!$F:$F,'FTE 계산'!G$2)</f>
        <v>246.3</v>
      </c>
      <c r="H379">
        <f>(SUMIFS(monthly_work_hours!$G:$G,monthly_work_hours!$A:$A,'FTE 계산'!$A379,monthly_work_hours!$F:$F,'FTE 계산'!H$2)) - (SUMIFS(monthly_work_hours!$J:$J,monthly_work_hours!$A:$A,'FTE 계산'!$A379,monthly_work_hours!$F:$F,'FTE 계산'!H$2))</f>
        <v>16</v>
      </c>
      <c r="I379">
        <f>(SUMIFS(monthly_work_hours!$G:$G,monthly_work_hours!$A:$A,'FTE 계산'!$A379,monthly_work_hours!$F:$F,'FTE 계산'!I$2)) - (SUMIFS(monthly_work_hours!$J:$J,monthly_work_hours!$A:$A,'FTE 계산'!$A379,monthly_work_hours!$F:$F,'FTE 계산'!I$2))</f>
        <v>22</v>
      </c>
      <c r="J379">
        <f>(SUMIFS(monthly_work_hours!$G:$G,monthly_work_hours!$A:$A,'FTE 계산'!$A379,monthly_work_hours!$F:$F,'FTE 계산'!J$2)) - (SUMIFS(monthly_work_hours!$J:$J,monthly_work_hours!$A:$A,'FTE 계산'!$A379,monthly_work_hours!$F:$F,'FTE 계산'!J$2))</f>
        <v>17</v>
      </c>
    </row>
    <row r="380" spans="1:10">
      <c r="A380" t="str">
        <v>G223100</v>
      </c>
      <c r="B380" t="str">
        <f>_xlfn.XLOOKUP(A380,monthly_work_hours!A:A,monthly_work_hours!B:B)</f>
        <v>김민수</v>
      </c>
      <c r="C380" t="str">
        <f>_xlfn.XLOOKUP(A380,monthly_work_hours!A:A,monthly_work_hours!C:C)</f>
        <v>회계팀</v>
      </c>
      <c r="D380" t="str">
        <f>_xlfn.XLOOKUP(A380,monthly_work_hours!A:A,monthly_work_hours!D:D)</f>
        <v>선임</v>
      </c>
      <c r="E380">
        <f>SUMIFS(monthly_work_hours!$K:$K,monthly_work_hours!$A:$A,'FTE 계산'!$A380,monthly_work_hours!$F:$F,'FTE 계산'!E$2)</f>
        <v>164.4</v>
      </c>
      <c r="F380">
        <f>SUMIFS(monthly_work_hours!$K:$K,monthly_work_hours!$A:$A,'FTE 계산'!$A380,monthly_work_hours!$F:$F,'FTE 계산'!F$2)</f>
        <v>360.4</v>
      </c>
      <c r="G380">
        <f>SUMIFS(monthly_work_hours!$K:$K,monthly_work_hours!$A:$A,'FTE 계산'!$A380,monthly_work_hours!$F:$F,'FTE 계산'!G$2)</f>
        <v>444.3</v>
      </c>
      <c r="H380">
        <f>(SUMIFS(monthly_work_hours!$G:$G,monthly_work_hours!$A:$A,'FTE 계산'!$A380,monthly_work_hours!$F:$F,'FTE 계산'!H$2)) - (SUMIFS(monthly_work_hours!$J:$J,monthly_work_hours!$A:$A,'FTE 계산'!$A380,monthly_work_hours!$F:$F,'FTE 계산'!H$2))</f>
        <v>18</v>
      </c>
      <c r="I380">
        <f>(SUMIFS(monthly_work_hours!$G:$G,monthly_work_hours!$A:$A,'FTE 계산'!$A380,monthly_work_hours!$F:$F,'FTE 계산'!I$2)) - (SUMIFS(monthly_work_hours!$J:$J,monthly_work_hours!$A:$A,'FTE 계산'!$A380,monthly_work_hours!$F:$F,'FTE 계산'!I$2))</f>
        <v>19</v>
      </c>
      <c r="J380">
        <f>(SUMIFS(monthly_work_hours!$G:$G,monthly_work_hours!$A:$A,'FTE 계산'!$A380,monthly_work_hours!$F:$F,'FTE 계산'!J$2)) - (SUMIFS(monthly_work_hours!$J:$J,monthly_work_hours!$A:$A,'FTE 계산'!$A380,monthly_work_hours!$F:$F,'FTE 계산'!J$2))</f>
        <v>17</v>
      </c>
    </row>
    <row r="381" spans="1:10">
      <c r="A381" t="str">
        <v>G223101</v>
      </c>
      <c r="B381" t="str">
        <f>_xlfn.XLOOKUP(A381,monthly_work_hours!A:A,monthly_work_hours!B:B)</f>
        <v>김신욱</v>
      </c>
      <c r="C381" t="str">
        <f>_xlfn.XLOOKUP(A381,monthly_work_hours!A:A,monthly_work_hours!C:C)</f>
        <v>회계팀</v>
      </c>
      <c r="D381" t="str">
        <f>_xlfn.XLOOKUP(A381,monthly_work_hours!A:A,monthly_work_hours!D:D)</f>
        <v>선임</v>
      </c>
      <c r="E381">
        <f>SUMIFS(monthly_work_hours!$K:$K,monthly_work_hours!$A:$A,'FTE 계산'!$A381,monthly_work_hours!$F:$F,'FTE 계산'!E$2)</f>
        <v>162</v>
      </c>
      <c r="F381">
        <f>SUMIFS(monthly_work_hours!$K:$K,monthly_work_hours!$A:$A,'FTE 계산'!$A381,monthly_work_hours!$F:$F,'FTE 계산'!F$2)</f>
        <v>216.4</v>
      </c>
      <c r="G381">
        <f>SUMIFS(monthly_work_hours!$K:$K,monthly_work_hours!$A:$A,'FTE 계산'!$A381,monthly_work_hours!$F:$F,'FTE 계산'!G$2)</f>
        <v>168.5</v>
      </c>
      <c r="H381">
        <f>(SUMIFS(monthly_work_hours!$G:$G,monthly_work_hours!$A:$A,'FTE 계산'!$A381,monthly_work_hours!$F:$F,'FTE 계산'!H$2)) - (SUMIFS(monthly_work_hours!$J:$J,monthly_work_hours!$A:$A,'FTE 계산'!$A381,monthly_work_hours!$F:$F,'FTE 계산'!H$2))</f>
        <v>14</v>
      </c>
      <c r="I381">
        <f>(SUMIFS(monthly_work_hours!$G:$G,monthly_work_hours!$A:$A,'FTE 계산'!$A381,monthly_work_hours!$F:$F,'FTE 계산'!I$2)) - (SUMIFS(monthly_work_hours!$J:$J,monthly_work_hours!$A:$A,'FTE 계산'!$A381,monthly_work_hours!$F:$F,'FTE 계산'!I$2))</f>
        <v>21</v>
      </c>
      <c r="J381">
        <f>(SUMIFS(monthly_work_hours!$G:$G,monthly_work_hours!$A:$A,'FTE 계산'!$A381,monthly_work_hours!$F:$F,'FTE 계산'!J$2)) - (SUMIFS(monthly_work_hours!$J:$J,monthly_work_hours!$A:$A,'FTE 계산'!$A381,monthly_work_hours!$F:$F,'FTE 계산'!J$2))</f>
        <v>17</v>
      </c>
    </row>
    <row r="382" spans="1:10">
      <c r="A382" t="str">
        <v>G223103</v>
      </c>
      <c r="B382" t="str">
        <f>_xlfn.XLOOKUP(A382,monthly_work_hours!A:A,monthly_work_hours!B:B)</f>
        <v>윤선호</v>
      </c>
      <c r="C382" t="str">
        <f>_xlfn.XLOOKUP(A382,monthly_work_hours!A:A,monthly_work_hours!C:C)</f>
        <v>Defense생산팀</v>
      </c>
      <c r="D382" t="str">
        <f>_xlfn.XLOOKUP(A382,monthly_work_hours!A:A,monthly_work_hours!D:D)</f>
        <v>책임</v>
      </c>
      <c r="E382">
        <f>SUMIFS(monthly_work_hours!$K:$K,monthly_work_hours!$A:$A,'FTE 계산'!$A382,monthly_work_hours!$F:$F,'FTE 계산'!E$2)</f>
        <v>110</v>
      </c>
      <c r="F382">
        <f>SUMIFS(monthly_work_hours!$K:$K,monthly_work_hours!$A:$A,'FTE 계산'!$A382,monthly_work_hours!$F:$F,'FTE 계산'!F$2)</f>
        <v>164.2</v>
      </c>
      <c r="G382">
        <f>SUMIFS(monthly_work_hours!$K:$K,monthly_work_hours!$A:$A,'FTE 계산'!$A382,monthly_work_hours!$F:$F,'FTE 계산'!G$2)</f>
        <v>125.6</v>
      </c>
      <c r="H382">
        <f>(SUMIFS(monthly_work_hours!$G:$G,monthly_work_hours!$A:$A,'FTE 계산'!$A382,monthly_work_hours!$F:$F,'FTE 계산'!H$2)) - (SUMIFS(monthly_work_hours!$J:$J,monthly_work_hours!$A:$A,'FTE 계산'!$A382,monthly_work_hours!$F:$F,'FTE 계산'!H$2))</f>
        <v>13</v>
      </c>
      <c r="I382">
        <f>(SUMIFS(monthly_work_hours!$G:$G,monthly_work_hours!$A:$A,'FTE 계산'!$A382,monthly_work_hours!$F:$F,'FTE 계산'!I$2)) - (SUMIFS(monthly_work_hours!$J:$J,monthly_work_hours!$A:$A,'FTE 계산'!$A382,monthly_work_hours!$F:$F,'FTE 계산'!I$2))</f>
        <v>19</v>
      </c>
      <c r="J382">
        <f>(SUMIFS(monthly_work_hours!$G:$G,monthly_work_hours!$A:$A,'FTE 계산'!$A382,monthly_work_hours!$F:$F,'FTE 계산'!J$2)) - (SUMIFS(monthly_work_hours!$J:$J,monthly_work_hours!$A:$A,'FTE 계산'!$A382,monthly_work_hours!$F:$F,'FTE 계산'!J$2))</f>
        <v>15</v>
      </c>
    </row>
    <row r="383" spans="1:10">
      <c r="A383" t="str">
        <v>G223106</v>
      </c>
      <c r="B383" t="str">
        <f>_xlfn.XLOOKUP(A383,monthly_work_hours!A:A,monthly_work_hours!B:B)</f>
        <v>장원우</v>
      </c>
      <c r="C383" t="str">
        <f>_xlfn.XLOOKUP(A383,monthly_work_hours!A:A,monthly_work_hours!C:C)</f>
        <v>품질경영팀</v>
      </c>
      <c r="D383" t="str">
        <f>_xlfn.XLOOKUP(A383,monthly_work_hours!A:A,monthly_work_hours!D:D)</f>
        <v>선임</v>
      </c>
      <c r="E383">
        <f>SUMIFS(monthly_work_hours!$K:$K,monthly_work_hours!$A:$A,'FTE 계산'!$A383,monthly_work_hours!$F:$F,'FTE 계산'!E$2)</f>
        <v>157.1</v>
      </c>
      <c r="F383">
        <f>SUMIFS(monthly_work_hours!$K:$K,monthly_work_hours!$A:$A,'FTE 계산'!$A383,monthly_work_hours!$F:$F,'FTE 계산'!F$2)</f>
        <v>203.8</v>
      </c>
      <c r="G383">
        <f>SUMIFS(monthly_work_hours!$K:$K,monthly_work_hours!$A:$A,'FTE 계산'!$A383,monthly_work_hours!$F:$F,'FTE 계산'!G$2)</f>
        <v>157.1</v>
      </c>
      <c r="H383">
        <f>(SUMIFS(monthly_work_hours!$G:$G,monthly_work_hours!$A:$A,'FTE 계산'!$A383,monthly_work_hours!$F:$F,'FTE 계산'!H$2)) - (SUMIFS(monthly_work_hours!$J:$J,monthly_work_hours!$A:$A,'FTE 계산'!$A383,monthly_work_hours!$F:$F,'FTE 계산'!H$2))</f>
        <v>13</v>
      </c>
      <c r="I383">
        <f>(SUMIFS(monthly_work_hours!$G:$G,monthly_work_hours!$A:$A,'FTE 계산'!$A383,monthly_work_hours!$F:$F,'FTE 계산'!I$2)) - (SUMIFS(monthly_work_hours!$J:$J,monthly_work_hours!$A:$A,'FTE 계산'!$A383,monthly_work_hours!$F:$F,'FTE 계산'!I$2))</f>
        <v>19</v>
      </c>
      <c r="J383">
        <f>(SUMIFS(monthly_work_hours!$G:$G,monthly_work_hours!$A:$A,'FTE 계산'!$A383,monthly_work_hours!$F:$F,'FTE 계산'!J$2)) - (SUMIFS(monthly_work_hours!$J:$J,monthly_work_hours!$A:$A,'FTE 계산'!$A383,monthly_work_hours!$F:$F,'FTE 계산'!J$2))</f>
        <v>15</v>
      </c>
    </row>
    <row r="384" spans="1:10">
      <c r="A384" t="str">
        <v>G223169</v>
      </c>
      <c r="B384" t="str">
        <f>_xlfn.XLOOKUP(A384,monthly_work_hours!A:A,monthly_work_hours!B:B)</f>
        <v>김경렬</v>
      </c>
      <c r="C384" t="str">
        <f>_xlfn.XLOOKUP(A384,monthly_work_hours!A:A,monthly_work_hours!C:C)</f>
        <v>Defense생산팀</v>
      </c>
      <c r="D384" t="str">
        <f>_xlfn.XLOOKUP(A384,monthly_work_hours!A:A,monthly_work_hours!D:D)</f>
        <v>기능주임</v>
      </c>
      <c r="E384">
        <f>SUMIFS(monthly_work_hours!$K:$K,monthly_work_hours!$A:$A,'FTE 계산'!$A384,monthly_work_hours!$F:$F,'FTE 계산'!E$2)</f>
        <v>2.2000000000000002</v>
      </c>
      <c r="F384">
        <f>SUMIFS(monthly_work_hours!$K:$K,monthly_work_hours!$A:$A,'FTE 계산'!$A384,monthly_work_hours!$F:$F,'FTE 계산'!F$2)</f>
        <v>13.8</v>
      </c>
      <c r="G384">
        <f>SUMIFS(monthly_work_hours!$K:$K,monthly_work_hours!$A:$A,'FTE 계산'!$A384,monthly_work_hours!$F:$F,'FTE 계산'!G$2)</f>
        <v>2.8</v>
      </c>
      <c r="H384">
        <f>(SUMIFS(monthly_work_hours!$G:$G,monthly_work_hours!$A:$A,'FTE 계산'!$A384,monthly_work_hours!$F:$F,'FTE 계산'!H$2)) - (SUMIFS(monthly_work_hours!$J:$J,monthly_work_hours!$A:$A,'FTE 계산'!$A384,monthly_work_hours!$F:$F,'FTE 계산'!H$2))</f>
        <v>4</v>
      </c>
      <c r="I384">
        <f>(SUMIFS(monthly_work_hours!$G:$G,monthly_work_hours!$A:$A,'FTE 계산'!$A384,monthly_work_hours!$F:$F,'FTE 계산'!I$2)) - (SUMIFS(monthly_work_hours!$J:$J,monthly_work_hours!$A:$A,'FTE 계산'!$A384,monthly_work_hours!$F:$F,'FTE 계산'!I$2))</f>
        <v>4</v>
      </c>
      <c r="J384">
        <f>(SUMIFS(monthly_work_hours!$G:$G,monthly_work_hours!$A:$A,'FTE 계산'!$A384,monthly_work_hours!$F:$F,'FTE 계산'!J$2)) - (SUMIFS(monthly_work_hours!$J:$J,monthly_work_hours!$A:$A,'FTE 계산'!$A384,monthly_work_hours!$F:$F,'FTE 계산'!J$2))</f>
        <v>1</v>
      </c>
    </row>
    <row r="385" spans="1:10">
      <c r="A385" t="str">
        <v>G223174</v>
      </c>
      <c r="B385" t="str">
        <f>_xlfn.XLOOKUP(A385,monthly_work_hours!A:A,monthly_work_hours!B:B)</f>
        <v>손지원</v>
      </c>
      <c r="C385" t="str">
        <f>_xlfn.XLOOKUP(A385,monthly_work_hours!A:A,monthly_work_hours!C:C)</f>
        <v>Defense생산팀</v>
      </c>
      <c r="D385" t="str">
        <f>_xlfn.XLOOKUP(A385,monthly_work_hours!A:A,monthly_work_hours!D:D)</f>
        <v>선임</v>
      </c>
      <c r="E385">
        <f>SUMIFS(monthly_work_hours!$K:$K,monthly_work_hours!$A:$A,'FTE 계산'!$A385,monthly_work_hours!$F:$F,'FTE 계산'!E$2)</f>
        <v>136</v>
      </c>
      <c r="F385">
        <f>SUMIFS(monthly_work_hours!$K:$K,monthly_work_hours!$A:$A,'FTE 계산'!$A385,monthly_work_hours!$F:$F,'FTE 계산'!F$2)</f>
        <v>161.69999999999999</v>
      </c>
      <c r="G385">
        <f>SUMIFS(monthly_work_hours!$K:$K,monthly_work_hours!$A:$A,'FTE 계산'!$A385,monthly_work_hours!$F:$F,'FTE 계산'!G$2)</f>
        <v>118.7</v>
      </c>
      <c r="H385">
        <f>(SUMIFS(monthly_work_hours!$G:$G,monthly_work_hours!$A:$A,'FTE 계산'!$A385,monthly_work_hours!$F:$F,'FTE 계산'!H$2)) - (SUMIFS(monthly_work_hours!$J:$J,monthly_work_hours!$A:$A,'FTE 계산'!$A385,monthly_work_hours!$F:$F,'FTE 계산'!H$2))</f>
        <v>15</v>
      </c>
      <c r="I385">
        <f>(SUMIFS(monthly_work_hours!$G:$G,monthly_work_hours!$A:$A,'FTE 계산'!$A385,monthly_work_hours!$F:$F,'FTE 계산'!I$2)) - (SUMIFS(monthly_work_hours!$J:$J,monthly_work_hours!$A:$A,'FTE 계산'!$A385,monthly_work_hours!$F:$F,'FTE 계산'!I$2))</f>
        <v>18</v>
      </c>
      <c r="J385">
        <f>(SUMIFS(monthly_work_hours!$G:$G,monthly_work_hours!$A:$A,'FTE 계산'!$A385,monthly_work_hours!$F:$F,'FTE 계산'!J$2)) - (SUMIFS(monthly_work_hours!$J:$J,monthly_work_hours!$A:$A,'FTE 계산'!$A385,monthly_work_hours!$F:$F,'FTE 계산'!J$2))</f>
        <v>14</v>
      </c>
    </row>
    <row r="386" spans="1:10">
      <c r="A386" t="str">
        <v>G223175</v>
      </c>
      <c r="B386" t="str">
        <f>_xlfn.XLOOKUP(A386,monthly_work_hours!A:A,monthly_work_hours!B:B)</f>
        <v>고철희</v>
      </c>
      <c r="C386" t="str">
        <f>_xlfn.XLOOKUP(A386,monthly_work_hours!A:A,monthly_work_hours!C:C)</f>
        <v>Defense생산팀</v>
      </c>
      <c r="D386" t="str">
        <f>_xlfn.XLOOKUP(A386,monthly_work_hours!A:A,monthly_work_hours!D:D)</f>
        <v>선임</v>
      </c>
      <c r="E386">
        <f>SUMIFS(monthly_work_hours!$K:$K,monthly_work_hours!$A:$A,'FTE 계산'!$A386,monthly_work_hours!$F:$F,'FTE 계산'!E$2)</f>
        <v>171</v>
      </c>
      <c r="F386">
        <f>SUMIFS(monthly_work_hours!$K:$K,monthly_work_hours!$A:$A,'FTE 계산'!$A386,monthly_work_hours!$F:$F,'FTE 계산'!F$2)</f>
        <v>187</v>
      </c>
      <c r="G386">
        <f>SUMIFS(monthly_work_hours!$K:$K,monthly_work_hours!$A:$A,'FTE 계산'!$A386,monthly_work_hours!$F:$F,'FTE 계산'!G$2)</f>
        <v>88.5</v>
      </c>
      <c r="H386">
        <f>(SUMIFS(monthly_work_hours!$G:$G,monthly_work_hours!$A:$A,'FTE 계산'!$A386,monthly_work_hours!$F:$F,'FTE 계산'!H$2)) - (SUMIFS(monthly_work_hours!$J:$J,monthly_work_hours!$A:$A,'FTE 계산'!$A386,monthly_work_hours!$F:$F,'FTE 계산'!H$2))</f>
        <v>19</v>
      </c>
      <c r="I386">
        <f>(SUMIFS(monthly_work_hours!$G:$G,monthly_work_hours!$A:$A,'FTE 계산'!$A386,monthly_work_hours!$F:$F,'FTE 계산'!I$2)) - (SUMIFS(monthly_work_hours!$J:$J,monthly_work_hours!$A:$A,'FTE 계산'!$A386,monthly_work_hours!$F:$F,'FTE 계산'!I$2))</f>
        <v>20</v>
      </c>
      <c r="J386">
        <f>(SUMIFS(monthly_work_hours!$G:$G,monthly_work_hours!$A:$A,'FTE 계산'!$A386,monthly_work_hours!$F:$F,'FTE 계산'!J$2)) - (SUMIFS(monthly_work_hours!$J:$J,monthly_work_hours!$A:$A,'FTE 계산'!$A386,monthly_work_hours!$F:$F,'FTE 계산'!J$2))</f>
        <v>11</v>
      </c>
    </row>
    <row r="387" spans="1:10">
      <c r="A387" t="str">
        <v>G223176</v>
      </c>
      <c r="B387" t="str">
        <f>_xlfn.XLOOKUP(A387,monthly_work_hours!A:A,monthly_work_hours!B:B)</f>
        <v>전재욱</v>
      </c>
      <c r="C387" t="str">
        <f>_xlfn.XLOOKUP(A387,monthly_work_hours!A:A,monthly_work_hours!C:C)</f>
        <v>TPE개발팀</v>
      </c>
      <c r="D387" t="str">
        <f>_xlfn.XLOOKUP(A387,monthly_work_hours!A:A,monthly_work_hours!D:D)</f>
        <v>선임</v>
      </c>
      <c r="E387">
        <f>SUMIFS(monthly_work_hours!$K:$K,monthly_work_hours!$A:$A,'FTE 계산'!$A387,monthly_work_hours!$F:$F,'FTE 계산'!E$2)</f>
        <v>141.19999999999999</v>
      </c>
      <c r="F387">
        <f>SUMIFS(monthly_work_hours!$K:$K,monthly_work_hours!$A:$A,'FTE 계산'!$A387,monthly_work_hours!$F:$F,'FTE 계산'!F$2)</f>
        <v>137.5</v>
      </c>
      <c r="G387">
        <f>SUMIFS(monthly_work_hours!$K:$K,monthly_work_hours!$A:$A,'FTE 계산'!$A387,monthly_work_hours!$F:$F,'FTE 계산'!G$2)</f>
        <v>125.7</v>
      </c>
      <c r="H387">
        <f>(SUMIFS(monthly_work_hours!$G:$G,monthly_work_hours!$A:$A,'FTE 계산'!$A387,monthly_work_hours!$F:$F,'FTE 계산'!H$2)) - (SUMIFS(monthly_work_hours!$J:$J,monthly_work_hours!$A:$A,'FTE 계산'!$A387,monthly_work_hours!$F:$F,'FTE 계산'!H$2))</f>
        <v>15</v>
      </c>
      <c r="I387">
        <f>(SUMIFS(monthly_work_hours!$G:$G,monthly_work_hours!$A:$A,'FTE 계산'!$A387,monthly_work_hours!$F:$F,'FTE 계산'!I$2)) - (SUMIFS(monthly_work_hours!$J:$J,monthly_work_hours!$A:$A,'FTE 계산'!$A387,monthly_work_hours!$F:$F,'FTE 계산'!I$2))</f>
        <v>15</v>
      </c>
      <c r="J387">
        <f>(SUMIFS(monthly_work_hours!$G:$G,monthly_work_hours!$A:$A,'FTE 계산'!$A387,monthly_work_hours!$F:$F,'FTE 계산'!J$2)) - (SUMIFS(monthly_work_hours!$J:$J,monthly_work_hours!$A:$A,'FTE 계산'!$A387,monthly_work_hours!$F:$F,'FTE 계산'!J$2))</f>
        <v>15</v>
      </c>
    </row>
    <row r="388" spans="1:10">
      <c r="A388" t="str">
        <v>G223221</v>
      </c>
      <c r="B388" t="str">
        <f>_xlfn.XLOOKUP(A388,monthly_work_hours!A:A,monthly_work_hours!B:B)</f>
        <v>최정원</v>
      </c>
      <c r="C388" t="str">
        <f>_xlfn.XLOOKUP(A388,monthly_work_hours!A:A,monthly_work_hours!C:C)</f>
        <v>설비혁신팀</v>
      </c>
      <c r="D388" t="str">
        <f>_xlfn.XLOOKUP(A388,monthly_work_hours!A:A,monthly_work_hours!D:D)</f>
        <v>책임</v>
      </c>
      <c r="E388">
        <f>SUMIFS(monthly_work_hours!$K:$K,monthly_work_hours!$A:$A,'FTE 계산'!$A388,monthly_work_hours!$F:$F,'FTE 계산'!E$2)</f>
        <v>119.4</v>
      </c>
      <c r="F388">
        <f>SUMIFS(monthly_work_hours!$K:$K,monthly_work_hours!$A:$A,'FTE 계산'!$A388,monthly_work_hours!$F:$F,'FTE 계산'!F$2)</f>
        <v>218.2</v>
      </c>
      <c r="G388">
        <f>SUMIFS(monthly_work_hours!$K:$K,monthly_work_hours!$A:$A,'FTE 계산'!$A388,monthly_work_hours!$F:$F,'FTE 계산'!G$2)</f>
        <v>98</v>
      </c>
      <c r="H388">
        <f>(SUMIFS(monthly_work_hours!$G:$G,monthly_work_hours!$A:$A,'FTE 계산'!$A388,monthly_work_hours!$F:$F,'FTE 계산'!H$2)) - (SUMIFS(monthly_work_hours!$J:$J,monthly_work_hours!$A:$A,'FTE 계산'!$A388,monthly_work_hours!$F:$F,'FTE 계산'!H$2))</f>
        <v>13</v>
      </c>
      <c r="I388">
        <f>(SUMIFS(monthly_work_hours!$G:$G,monthly_work_hours!$A:$A,'FTE 계산'!$A388,monthly_work_hours!$F:$F,'FTE 계산'!I$2)) - (SUMIFS(monthly_work_hours!$J:$J,monthly_work_hours!$A:$A,'FTE 계산'!$A388,monthly_work_hours!$F:$F,'FTE 계산'!I$2))</f>
        <v>18</v>
      </c>
      <c r="J388">
        <f>(SUMIFS(monthly_work_hours!$G:$G,monthly_work_hours!$A:$A,'FTE 계산'!$A388,monthly_work_hours!$F:$F,'FTE 계산'!J$2)) - (SUMIFS(monthly_work_hours!$J:$J,monthly_work_hours!$A:$A,'FTE 계산'!$A388,monthly_work_hours!$F:$F,'FTE 계산'!J$2))</f>
        <v>11</v>
      </c>
    </row>
    <row r="389" spans="1:10">
      <c r="A389" t="str">
        <v>G223222</v>
      </c>
      <c r="B389" t="str">
        <f>_xlfn.XLOOKUP(A389,monthly_work_hours!A:A,monthly_work_hours!B:B)</f>
        <v>정세호</v>
      </c>
      <c r="C389" t="str">
        <f>_xlfn.XLOOKUP(A389,monthly_work_hours!A:A,monthly_work_hours!C:C)</f>
        <v>설비혁신팀</v>
      </c>
      <c r="D389" t="str">
        <f>_xlfn.XLOOKUP(A389,monthly_work_hours!A:A,monthly_work_hours!D:D)</f>
        <v>책임</v>
      </c>
      <c r="E389">
        <f>SUMIFS(monthly_work_hours!$K:$K,monthly_work_hours!$A:$A,'FTE 계산'!$A389,monthly_work_hours!$F:$F,'FTE 계산'!E$2)</f>
        <v>140.1</v>
      </c>
      <c r="F389">
        <f>SUMIFS(monthly_work_hours!$K:$K,monthly_work_hours!$A:$A,'FTE 계산'!$A389,monthly_work_hours!$F:$F,'FTE 계산'!F$2)</f>
        <v>171.8</v>
      </c>
      <c r="G389">
        <f>SUMIFS(monthly_work_hours!$K:$K,monthly_work_hours!$A:$A,'FTE 계산'!$A389,monthly_work_hours!$F:$F,'FTE 계산'!G$2)</f>
        <v>136.19999999999999</v>
      </c>
      <c r="H389">
        <f>(SUMIFS(monthly_work_hours!$G:$G,monthly_work_hours!$A:$A,'FTE 계산'!$A389,monthly_work_hours!$F:$F,'FTE 계산'!H$2)) - (SUMIFS(monthly_work_hours!$J:$J,monthly_work_hours!$A:$A,'FTE 계산'!$A389,monthly_work_hours!$F:$F,'FTE 계산'!H$2))</f>
        <v>16</v>
      </c>
      <c r="I389">
        <f>(SUMIFS(monthly_work_hours!$G:$G,monthly_work_hours!$A:$A,'FTE 계산'!$A389,monthly_work_hours!$F:$F,'FTE 계산'!I$2)) - (SUMIFS(monthly_work_hours!$J:$J,monthly_work_hours!$A:$A,'FTE 계산'!$A389,monthly_work_hours!$F:$F,'FTE 계산'!I$2))</f>
        <v>19</v>
      </c>
      <c r="J389">
        <f>(SUMIFS(monthly_work_hours!$G:$G,monthly_work_hours!$A:$A,'FTE 계산'!$A389,monthly_work_hours!$F:$F,'FTE 계산'!J$2)) - (SUMIFS(monthly_work_hours!$J:$J,monthly_work_hours!$A:$A,'FTE 계산'!$A389,monthly_work_hours!$F:$F,'FTE 계산'!J$2))</f>
        <v>15</v>
      </c>
    </row>
    <row r="390" spans="1:10">
      <c r="A390" t="str">
        <v>G223254</v>
      </c>
      <c r="B390" t="str">
        <f>_xlfn.XLOOKUP(A390,monthly_work_hours!A:A,monthly_work_hours!B:B)</f>
        <v>박원오</v>
      </c>
      <c r="C390" t="str">
        <f>_xlfn.XLOOKUP(A390,monthly_work_hours!A:A,monthly_work_hours!C:C)</f>
        <v>생산1팀</v>
      </c>
      <c r="D390" t="str">
        <f>_xlfn.XLOOKUP(A390,monthly_work_hours!A:A,monthly_work_hours!D:D)</f>
        <v>책임</v>
      </c>
      <c r="E390">
        <f>SUMIFS(monthly_work_hours!$K:$K,monthly_work_hours!$A:$A,'FTE 계산'!$A390,monthly_work_hours!$F:$F,'FTE 계산'!E$2)</f>
        <v>171</v>
      </c>
      <c r="F390">
        <f>SUMIFS(monthly_work_hours!$K:$K,monthly_work_hours!$A:$A,'FTE 계산'!$A390,monthly_work_hours!$F:$F,'FTE 계산'!F$2)</f>
        <v>147.6</v>
      </c>
      <c r="G390">
        <f>SUMIFS(monthly_work_hours!$K:$K,monthly_work_hours!$A:$A,'FTE 계산'!$A390,monthly_work_hours!$F:$F,'FTE 계산'!G$2)</f>
        <v>153.1</v>
      </c>
      <c r="H390">
        <f>(SUMIFS(monthly_work_hours!$G:$G,monthly_work_hours!$A:$A,'FTE 계산'!$A390,monthly_work_hours!$F:$F,'FTE 계산'!H$2)) - (SUMIFS(monthly_work_hours!$J:$J,monthly_work_hours!$A:$A,'FTE 계산'!$A390,monthly_work_hours!$F:$F,'FTE 계산'!H$2))</f>
        <v>18</v>
      </c>
      <c r="I390">
        <f>(SUMIFS(monthly_work_hours!$G:$G,monthly_work_hours!$A:$A,'FTE 계산'!$A390,monthly_work_hours!$F:$F,'FTE 계산'!I$2)) - (SUMIFS(monthly_work_hours!$J:$J,monthly_work_hours!$A:$A,'FTE 계산'!$A390,monthly_work_hours!$F:$F,'FTE 계산'!I$2))</f>
        <v>15</v>
      </c>
      <c r="J390">
        <f>(SUMIFS(monthly_work_hours!$G:$G,monthly_work_hours!$A:$A,'FTE 계산'!$A390,monthly_work_hours!$F:$F,'FTE 계산'!J$2)) - (SUMIFS(monthly_work_hours!$J:$J,monthly_work_hours!$A:$A,'FTE 계산'!$A390,monthly_work_hours!$F:$F,'FTE 계산'!J$2))</f>
        <v>15</v>
      </c>
    </row>
    <row r="391" spans="1:10">
      <c r="A391" t="str">
        <v>G223255</v>
      </c>
      <c r="B391" t="str">
        <f>_xlfn.XLOOKUP(A391,monthly_work_hours!A:A,monthly_work_hours!B:B)</f>
        <v>김대훈</v>
      </c>
      <c r="C391" t="str">
        <f>_xlfn.XLOOKUP(A391,monthly_work_hours!A:A,monthly_work_hours!C:C)</f>
        <v>생산1팀</v>
      </c>
      <c r="D391" t="str">
        <f>_xlfn.XLOOKUP(A391,monthly_work_hours!A:A,monthly_work_hours!D:D)</f>
        <v>선임</v>
      </c>
      <c r="E391">
        <f>SUMIFS(monthly_work_hours!$K:$K,monthly_work_hours!$A:$A,'FTE 계산'!$A391,monthly_work_hours!$F:$F,'FTE 계산'!E$2)</f>
        <v>175</v>
      </c>
      <c r="F391">
        <f>SUMIFS(monthly_work_hours!$K:$K,monthly_work_hours!$A:$A,'FTE 계산'!$A391,monthly_work_hours!$F:$F,'FTE 계산'!F$2)</f>
        <v>128.30000000000001</v>
      </c>
      <c r="G391">
        <f>SUMIFS(monthly_work_hours!$K:$K,monthly_work_hours!$A:$A,'FTE 계산'!$A391,monthly_work_hours!$F:$F,'FTE 계산'!G$2)</f>
        <v>138.30000000000001</v>
      </c>
      <c r="H391">
        <f>(SUMIFS(monthly_work_hours!$G:$G,monthly_work_hours!$A:$A,'FTE 계산'!$A391,monthly_work_hours!$F:$F,'FTE 계산'!H$2)) - (SUMIFS(monthly_work_hours!$J:$J,monthly_work_hours!$A:$A,'FTE 계산'!$A391,monthly_work_hours!$F:$F,'FTE 계산'!H$2))</f>
        <v>19</v>
      </c>
      <c r="I391">
        <f>(SUMIFS(monthly_work_hours!$G:$G,monthly_work_hours!$A:$A,'FTE 계산'!$A391,monthly_work_hours!$F:$F,'FTE 계산'!I$2)) - (SUMIFS(monthly_work_hours!$J:$J,monthly_work_hours!$A:$A,'FTE 계산'!$A391,monthly_work_hours!$F:$F,'FTE 계산'!I$2))</f>
        <v>17</v>
      </c>
      <c r="J391">
        <f>(SUMIFS(monthly_work_hours!$G:$G,monthly_work_hours!$A:$A,'FTE 계산'!$A391,monthly_work_hours!$F:$F,'FTE 계산'!J$2)) - (SUMIFS(monthly_work_hours!$J:$J,monthly_work_hours!$A:$A,'FTE 계산'!$A391,monthly_work_hours!$F:$F,'FTE 계산'!J$2))</f>
        <v>17</v>
      </c>
    </row>
    <row r="392" spans="1:10">
      <c r="A392" t="str">
        <v>G223256</v>
      </c>
      <c r="B392" t="str">
        <f>_xlfn.XLOOKUP(A392,monthly_work_hours!A:A,monthly_work_hours!B:B)</f>
        <v>조영대</v>
      </c>
      <c r="C392" t="str">
        <f>_xlfn.XLOOKUP(A392,monthly_work_hours!A:A,monthly_work_hours!C:C)</f>
        <v>생산2팀</v>
      </c>
      <c r="D392" t="str">
        <f>_xlfn.XLOOKUP(A392,monthly_work_hours!A:A,monthly_work_hours!D:D)</f>
        <v>선임</v>
      </c>
      <c r="E392">
        <f>SUMIFS(monthly_work_hours!$K:$K,monthly_work_hours!$A:$A,'FTE 계산'!$A392,monthly_work_hours!$F:$F,'FTE 계산'!E$2)</f>
        <v>164.7</v>
      </c>
      <c r="F392">
        <f>SUMIFS(monthly_work_hours!$K:$K,monthly_work_hours!$A:$A,'FTE 계산'!$A392,monthly_work_hours!$F:$F,'FTE 계산'!F$2)</f>
        <v>168.8</v>
      </c>
      <c r="G392">
        <f>SUMIFS(monthly_work_hours!$K:$K,monthly_work_hours!$A:$A,'FTE 계산'!$A392,monthly_work_hours!$F:$F,'FTE 계산'!G$2)</f>
        <v>126.5</v>
      </c>
      <c r="H392">
        <f>(SUMIFS(monthly_work_hours!$G:$G,monthly_work_hours!$A:$A,'FTE 계산'!$A392,monthly_work_hours!$F:$F,'FTE 계산'!H$2)) - (SUMIFS(monthly_work_hours!$J:$J,monthly_work_hours!$A:$A,'FTE 계산'!$A392,monthly_work_hours!$F:$F,'FTE 계산'!H$2))</f>
        <v>18</v>
      </c>
      <c r="I392">
        <f>(SUMIFS(monthly_work_hours!$G:$G,monthly_work_hours!$A:$A,'FTE 계산'!$A392,monthly_work_hours!$F:$F,'FTE 계산'!I$2)) - (SUMIFS(monthly_work_hours!$J:$J,monthly_work_hours!$A:$A,'FTE 계산'!$A392,monthly_work_hours!$F:$F,'FTE 계산'!I$2))</f>
        <v>16</v>
      </c>
      <c r="J392">
        <f>(SUMIFS(monthly_work_hours!$G:$G,monthly_work_hours!$A:$A,'FTE 계산'!$A392,monthly_work_hours!$F:$F,'FTE 계산'!J$2)) - (SUMIFS(monthly_work_hours!$J:$J,monthly_work_hours!$A:$A,'FTE 계산'!$A392,monthly_work_hours!$F:$F,'FTE 계산'!J$2))</f>
        <v>14</v>
      </c>
    </row>
    <row r="393" spans="1:10">
      <c r="A393" t="str">
        <v>G223257</v>
      </c>
      <c r="B393" t="str">
        <f>_xlfn.XLOOKUP(A393,monthly_work_hours!A:A,monthly_work_hours!B:B)</f>
        <v>서준호</v>
      </c>
      <c r="C393" t="str">
        <f>_xlfn.XLOOKUP(A393,monthly_work_hours!A:A,monthly_work_hours!C:C)</f>
        <v>생산1팀</v>
      </c>
      <c r="D393" t="str">
        <f>_xlfn.XLOOKUP(A393,monthly_work_hours!A:A,monthly_work_hours!D:D)</f>
        <v>선임</v>
      </c>
      <c r="E393">
        <f>SUMIFS(monthly_work_hours!$K:$K,monthly_work_hours!$A:$A,'FTE 계산'!$A393,monthly_work_hours!$F:$F,'FTE 계산'!E$2)</f>
        <v>258.10000000000002</v>
      </c>
      <c r="F393">
        <f>SUMIFS(monthly_work_hours!$K:$K,monthly_work_hours!$A:$A,'FTE 계산'!$A393,monthly_work_hours!$F:$F,'FTE 계산'!F$2)</f>
        <v>281.8</v>
      </c>
      <c r="G393">
        <f>SUMIFS(monthly_work_hours!$K:$K,monthly_work_hours!$A:$A,'FTE 계산'!$A393,monthly_work_hours!$F:$F,'FTE 계산'!G$2)</f>
        <v>225.2</v>
      </c>
      <c r="H393">
        <f>(SUMIFS(monthly_work_hours!$G:$G,monthly_work_hours!$A:$A,'FTE 계산'!$A393,monthly_work_hours!$F:$F,'FTE 계산'!H$2)) - (SUMIFS(monthly_work_hours!$J:$J,monthly_work_hours!$A:$A,'FTE 계산'!$A393,monthly_work_hours!$F:$F,'FTE 계산'!H$2))</f>
        <v>20</v>
      </c>
      <c r="I393">
        <f>(SUMIFS(monthly_work_hours!$G:$G,monthly_work_hours!$A:$A,'FTE 계산'!$A393,monthly_work_hours!$F:$F,'FTE 계산'!I$2)) - (SUMIFS(monthly_work_hours!$J:$J,monthly_work_hours!$A:$A,'FTE 계산'!$A393,monthly_work_hours!$F:$F,'FTE 계산'!I$2))</f>
        <v>19</v>
      </c>
      <c r="J393">
        <f>(SUMIFS(monthly_work_hours!$G:$G,monthly_work_hours!$A:$A,'FTE 계산'!$A393,monthly_work_hours!$F:$F,'FTE 계산'!J$2)) - (SUMIFS(monthly_work_hours!$J:$J,monthly_work_hours!$A:$A,'FTE 계산'!$A393,monthly_work_hours!$F:$F,'FTE 계산'!J$2))</f>
        <v>15</v>
      </c>
    </row>
    <row r="394" spans="1:10">
      <c r="A394" t="str">
        <v>G223258</v>
      </c>
      <c r="B394" t="str">
        <f>_xlfn.XLOOKUP(A394,monthly_work_hours!A:A,monthly_work_hours!B:B)</f>
        <v>조성완</v>
      </c>
      <c r="C394" t="str">
        <f>_xlfn.XLOOKUP(A394,monthly_work_hours!A:A,monthly_work_hours!C:C)</f>
        <v>생산1팀</v>
      </c>
      <c r="D394" t="str">
        <f>_xlfn.XLOOKUP(A394,monthly_work_hours!A:A,monthly_work_hours!D:D)</f>
        <v>사원</v>
      </c>
      <c r="E394">
        <f>SUMIFS(monthly_work_hours!$K:$K,monthly_work_hours!$A:$A,'FTE 계산'!$A394,monthly_work_hours!$F:$F,'FTE 계산'!E$2)</f>
        <v>172.7</v>
      </c>
      <c r="F394">
        <f>SUMIFS(monthly_work_hours!$K:$K,monthly_work_hours!$A:$A,'FTE 계산'!$A394,monthly_work_hours!$F:$F,'FTE 계산'!F$2)</f>
        <v>190.7</v>
      </c>
      <c r="G394">
        <f>SUMIFS(monthly_work_hours!$K:$K,monthly_work_hours!$A:$A,'FTE 계산'!$A394,monthly_work_hours!$F:$F,'FTE 계산'!G$2)</f>
        <v>138.80000000000001</v>
      </c>
      <c r="H394">
        <f>(SUMIFS(monthly_work_hours!$G:$G,monthly_work_hours!$A:$A,'FTE 계산'!$A394,monthly_work_hours!$F:$F,'FTE 계산'!H$2)) - (SUMIFS(monthly_work_hours!$J:$J,monthly_work_hours!$A:$A,'FTE 계산'!$A394,monthly_work_hours!$F:$F,'FTE 계산'!H$2))</f>
        <v>18</v>
      </c>
      <c r="I394">
        <f>(SUMIFS(monthly_work_hours!$G:$G,monthly_work_hours!$A:$A,'FTE 계산'!$A394,monthly_work_hours!$F:$F,'FTE 계산'!I$2)) - (SUMIFS(monthly_work_hours!$J:$J,monthly_work_hours!$A:$A,'FTE 계산'!$A394,monthly_work_hours!$F:$F,'FTE 계산'!I$2))</f>
        <v>19</v>
      </c>
      <c r="J394">
        <f>(SUMIFS(monthly_work_hours!$G:$G,monthly_work_hours!$A:$A,'FTE 계산'!$A394,monthly_work_hours!$F:$F,'FTE 계산'!J$2)) - (SUMIFS(monthly_work_hours!$J:$J,monthly_work_hours!$A:$A,'FTE 계산'!$A394,monthly_work_hours!$F:$F,'FTE 계산'!J$2))</f>
        <v>16</v>
      </c>
    </row>
    <row r="395" spans="1:10">
      <c r="A395" t="str">
        <v>G223312</v>
      </c>
      <c r="B395" t="str">
        <f>_xlfn.XLOOKUP(A395,monthly_work_hours!A:A,monthly_work_hours!B:B)</f>
        <v>주호진</v>
      </c>
      <c r="C395" t="str">
        <f>_xlfn.XLOOKUP(A395,monthly_work_hours!A:A,monthly_work_hours!C:C)</f>
        <v>품질경영팀</v>
      </c>
      <c r="D395" t="str">
        <f>_xlfn.XLOOKUP(A395,monthly_work_hours!A:A,monthly_work_hours!D:D)</f>
        <v>기능6급</v>
      </c>
      <c r="E395">
        <f>SUMIFS(monthly_work_hours!$K:$K,monthly_work_hours!$A:$A,'FTE 계산'!$A395,monthly_work_hours!$F:$F,'FTE 계산'!E$2)</f>
        <v>0</v>
      </c>
      <c r="F395">
        <f>SUMIFS(monthly_work_hours!$K:$K,monthly_work_hours!$A:$A,'FTE 계산'!$A395,monthly_work_hours!$F:$F,'FTE 계산'!F$2)</f>
        <v>1.4</v>
      </c>
      <c r="G395">
        <f>SUMIFS(monthly_work_hours!$K:$K,monthly_work_hours!$A:$A,'FTE 계산'!$A395,monthly_work_hours!$F:$F,'FTE 계산'!G$2)</f>
        <v>0</v>
      </c>
      <c r="H395">
        <f>(SUMIFS(monthly_work_hours!$G:$G,monthly_work_hours!$A:$A,'FTE 계산'!$A395,monthly_work_hours!$F:$F,'FTE 계산'!H$2)) - (SUMIFS(monthly_work_hours!$J:$J,monthly_work_hours!$A:$A,'FTE 계산'!$A395,monthly_work_hours!$F:$F,'FTE 계산'!H$2))</f>
        <v>2</v>
      </c>
      <c r="I395">
        <f>(SUMIFS(monthly_work_hours!$G:$G,monthly_work_hours!$A:$A,'FTE 계산'!$A395,monthly_work_hours!$F:$F,'FTE 계산'!I$2)) - (SUMIFS(monthly_work_hours!$J:$J,monthly_work_hours!$A:$A,'FTE 계산'!$A395,monthly_work_hours!$F:$F,'FTE 계산'!I$2))</f>
        <v>8</v>
      </c>
      <c r="J395">
        <f>(SUMIFS(monthly_work_hours!$G:$G,monthly_work_hours!$A:$A,'FTE 계산'!$A395,monthly_work_hours!$F:$F,'FTE 계산'!J$2)) - (SUMIFS(monthly_work_hours!$J:$J,monthly_work_hours!$A:$A,'FTE 계산'!$A395,monthly_work_hours!$F:$F,'FTE 계산'!J$2))</f>
        <v>0</v>
      </c>
    </row>
    <row r="396" spans="1:10">
      <c r="A396" t="str">
        <v>G223323</v>
      </c>
      <c r="B396" t="str">
        <f>_xlfn.XLOOKUP(A396,monthly_work_hours!A:A,monthly_work_hours!B:B)</f>
        <v>김소연</v>
      </c>
      <c r="C396" t="str">
        <f>_xlfn.XLOOKUP(A396,monthly_work_hours!A:A,monthly_work_hours!C:C)</f>
        <v>영업지원팀</v>
      </c>
      <c r="D396" t="str">
        <f>_xlfn.XLOOKUP(A396,monthly_work_hours!A:A,monthly_work_hours!D:D)</f>
        <v>사원</v>
      </c>
      <c r="E396">
        <f>SUMIFS(monthly_work_hours!$K:$K,monthly_work_hours!$A:$A,'FTE 계산'!$A396,monthly_work_hours!$F:$F,'FTE 계산'!E$2)</f>
        <v>163.9</v>
      </c>
      <c r="F396">
        <f>SUMIFS(monthly_work_hours!$K:$K,monthly_work_hours!$A:$A,'FTE 계산'!$A396,monthly_work_hours!$F:$F,'FTE 계산'!F$2)</f>
        <v>163.80000000000001</v>
      </c>
      <c r="G396">
        <f>SUMIFS(monthly_work_hours!$K:$K,monthly_work_hours!$A:$A,'FTE 계산'!$A396,monthly_work_hours!$F:$F,'FTE 계산'!G$2)</f>
        <v>143</v>
      </c>
      <c r="H396">
        <f>(SUMIFS(monthly_work_hours!$G:$G,monthly_work_hours!$A:$A,'FTE 계산'!$A396,monthly_work_hours!$F:$F,'FTE 계산'!H$2)) - (SUMIFS(monthly_work_hours!$J:$J,monthly_work_hours!$A:$A,'FTE 계산'!$A396,monthly_work_hours!$F:$F,'FTE 계산'!H$2))</f>
        <v>19</v>
      </c>
      <c r="I396">
        <f>(SUMIFS(monthly_work_hours!$G:$G,monthly_work_hours!$A:$A,'FTE 계산'!$A396,monthly_work_hours!$F:$F,'FTE 계산'!I$2)) - (SUMIFS(monthly_work_hours!$J:$J,monthly_work_hours!$A:$A,'FTE 계산'!$A396,monthly_work_hours!$F:$F,'FTE 계산'!I$2))</f>
        <v>19</v>
      </c>
      <c r="J396">
        <f>(SUMIFS(monthly_work_hours!$G:$G,monthly_work_hours!$A:$A,'FTE 계산'!$A396,monthly_work_hours!$F:$F,'FTE 계산'!J$2)) - (SUMIFS(monthly_work_hours!$J:$J,monthly_work_hours!$A:$A,'FTE 계산'!$A396,monthly_work_hours!$F:$F,'FTE 계산'!J$2))</f>
        <v>16</v>
      </c>
    </row>
    <row r="397" spans="1:10">
      <c r="A397" t="str">
        <v>G223325</v>
      </c>
      <c r="B397" t="str">
        <f>_xlfn.XLOOKUP(A397,monthly_work_hours!A:A,monthly_work_hours!B:B)</f>
        <v>배재민</v>
      </c>
      <c r="C397" t="str">
        <f>_xlfn.XLOOKUP(A397,monthly_work_hours!A:A,monthly_work_hours!C:C)</f>
        <v>품질경영팀</v>
      </c>
      <c r="D397" t="str">
        <f>_xlfn.XLOOKUP(A397,monthly_work_hours!A:A,monthly_work_hours!D:D)</f>
        <v>선임</v>
      </c>
      <c r="E397">
        <f>SUMIFS(monthly_work_hours!$K:$K,monthly_work_hours!$A:$A,'FTE 계산'!$A397,monthly_work_hours!$F:$F,'FTE 계산'!E$2)</f>
        <v>157.9</v>
      </c>
      <c r="F397">
        <f>SUMIFS(monthly_work_hours!$K:$K,monthly_work_hours!$A:$A,'FTE 계산'!$A397,monthly_work_hours!$F:$F,'FTE 계산'!F$2)</f>
        <v>159.4</v>
      </c>
      <c r="G397">
        <f>SUMIFS(monthly_work_hours!$K:$K,monthly_work_hours!$A:$A,'FTE 계산'!$A397,monthly_work_hours!$F:$F,'FTE 계산'!G$2)</f>
        <v>127.4</v>
      </c>
      <c r="H397">
        <f>(SUMIFS(monthly_work_hours!$G:$G,monthly_work_hours!$A:$A,'FTE 계산'!$A397,monthly_work_hours!$F:$F,'FTE 계산'!H$2)) - (SUMIFS(monthly_work_hours!$J:$J,monthly_work_hours!$A:$A,'FTE 계산'!$A397,monthly_work_hours!$F:$F,'FTE 계산'!H$2))</f>
        <v>17</v>
      </c>
      <c r="I397">
        <f>(SUMIFS(monthly_work_hours!$G:$G,monthly_work_hours!$A:$A,'FTE 계산'!$A397,monthly_work_hours!$F:$F,'FTE 계산'!I$2)) - (SUMIFS(monthly_work_hours!$J:$J,monthly_work_hours!$A:$A,'FTE 계산'!$A397,monthly_work_hours!$F:$F,'FTE 계산'!I$2))</f>
        <v>17</v>
      </c>
      <c r="J397">
        <f>(SUMIFS(monthly_work_hours!$G:$G,monthly_work_hours!$A:$A,'FTE 계산'!$A397,monthly_work_hours!$F:$F,'FTE 계산'!J$2)) - (SUMIFS(monthly_work_hours!$J:$J,monthly_work_hours!$A:$A,'FTE 계산'!$A397,monthly_work_hours!$F:$F,'FTE 계산'!J$2))</f>
        <v>15</v>
      </c>
    </row>
    <row r="398" spans="1:10">
      <c r="A398" t="str">
        <v>G223326</v>
      </c>
      <c r="B398" t="str">
        <f>_xlfn.XLOOKUP(A398,monthly_work_hours!A:A,monthly_work_hours!B:B)</f>
        <v>김기연</v>
      </c>
      <c r="C398" t="str">
        <f>_xlfn.XLOOKUP(A398,monthly_work_hours!A:A,monthly_work_hours!C:C)</f>
        <v>품질경영팀</v>
      </c>
      <c r="D398" t="str">
        <f>_xlfn.XLOOKUP(A398,monthly_work_hours!A:A,monthly_work_hours!D:D)</f>
        <v>선임</v>
      </c>
      <c r="E398">
        <f>SUMIFS(monthly_work_hours!$K:$K,monthly_work_hours!$A:$A,'FTE 계산'!$A398,monthly_work_hours!$F:$F,'FTE 계산'!E$2)</f>
        <v>173.6</v>
      </c>
      <c r="F398">
        <f>SUMIFS(monthly_work_hours!$K:$K,monthly_work_hours!$A:$A,'FTE 계산'!$A398,monthly_work_hours!$F:$F,'FTE 계산'!F$2)</f>
        <v>170.8</v>
      </c>
      <c r="G398">
        <f>SUMIFS(monthly_work_hours!$K:$K,monthly_work_hours!$A:$A,'FTE 계산'!$A398,monthly_work_hours!$F:$F,'FTE 계산'!G$2)</f>
        <v>131.80000000000001</v>
      </c>
      <c r="H398">
        <f>(SUMIFS(monthly_work_hours!$G:$G,monthly_work_hours!$A:$A,'FTE 계산'!$A398,monthly_work_hours!$F:$F,'FTE 계산'!H$2)) - (SUMIFS(monthly_work_hours!$J:$J,monthly_work_hours!$A:$A,'FTE 계산'!$A398,monthly_work_hours!$F:$F,'FTE 계산'!H$2))</f>
        <v>17</v>
      </c>
      <c r="I398">
        <f>(SUMIFS(monthly_work_hours!$G:$G,monthly_work_hours!$A:$A,'FTE 계산'!$A398,monthly_work_hours!$F:$F,'FTE 계산'!I$2)) - (SUMIFS(monthly_work_hours!$J:$J,monthly_work_hours!$A:$A,'FTE 계산'!$A398,monthly_work_hours!$F:$F,'FTE 계산'!I$2))</f>
        <v>17</v>
      </c>
      <c r="J398">
        <f>(SUMIFS(monthly_work_hours!$G:$G,monthly_work_hours!$A:$A,'FTE 계산'!$A398,monthly_work_hours!$F:$F,'FTE 계산'!J$2)) - (SUMIFS(monthly_work_hours!$J:$J,monthly_work_hours!$A:$A,'FTE 계산'!$A398,monthly_work_hours!$F:$F,'FTE 계산'!J$2))</f>
        <v>14</v>
      </c>
    </row>
    <row r="399" spans="1:10">
      <c r="A399" t="str">
        <v>G223327</v>
      </c>
      <c r="B399" t="str">
        <f>_xlfn.XLOOKUP(A399,monthly_work_hours!A:A,monthly_work_hours!B:B)</f>
        <v>권재진</v>
      </c>
      <c r="C399" t="str">
        <f>_xlfn.XLOOKUP(A399,monthly_work_hours!A:A,monthly_work_hours!C:C)</f>
        <v>품질경영팀</v>
      </c>
      <c r="D399" t="str">
        <f>_xlfn.XLOOKUP(A399,monthly_work_hours!A:A,monthly_work_hours!D:D)</f>
        <v>책임</v>
      </c>
      <c r="E399">
        <f>SUMIFS(monthly_work_hours!$K:$K,monthly_work_hours!$A:$A,'FTE 계산'!$A399,monthly_work_hours!$F:$F,'FTE 계산'!E$2)</f>
        <v>138.80000000000001</v>
      </c>
      <c r="F399">
        <f>SUMIFS(monthly_work_hours!$K:$K,monthly_work_hours!$A:$A,'FTE 계산'!$A399,monthly_work_hours!$F:$F,'FTE 계산'!F$2)</f>
        <v>164</v>
      </c>
      <c r="G399">
        <f>SUMIFS(monthly_work_hours!$K:$K,monthly_work_hours!$A:$A,'FTE 계산'!$A399,monthly_work_hours!$F:$F,'FTE 계산'!G$2)</f>
        <v>133.6</v>
      </c>
      <c r="H399">
        <f>(SUMIFS(monthly_work_hours!$G:$G,monthly_work_hours!$A:$A,'FTE 계산'!$A399,monthly_work_hours!$F:$F,'FTE 계산'!H$2)) - (SUMIFS(monthly_work_hours!$J:$J,monthly_work_hours!$A:$A,'FTE 계산'!$A399,monthly_work_hours!$F:$F,'FTE 계산'!H$2))</f>
        <v>15</v>
      </c>
      <c r="I399">
        <f>(SUMIFS(monthly_work_hours!$G:$G,monthly_work_hours!$A:$A,'FTE 계산'!$A399,monthly_work_hours!$F:$F,'FTE 계산'!I$2)) - (SUMIFS(monthly_work_hours!$J:$J,monthly_work_hours!$A:$A,'FTE 계산'!$A399,monthly_work_hours!$F:$F,'FTE 계산'!I$2))</f>
        <v>17</v>
      </c>
      <c r="J399">
        <f>(SUMIFS(monthly_work_hours!$G:$G,monthly_work_hours!$A:$A,'FTE 계산'!$A399,monthly_work_hours!$F:$F,'FTE 계산'!J$2)) - (SUMIFS(monthly_work_hours!$J:$J,monthly_work_hours!$A:$A,'FTE 계산'!$A399,monthly_work_hours!$F:$F,'FTE 계산'!J$2))</f>
        <v>16</v>
      </c>
    </row>
    <row r="400" spans="1:10">
      <c r="A400" t="str">
        <v>G223328</v>
      </c>
      <c r="B400" t="str">
        <f>_xlfn.XLOOKUP(A400,monthly_work_hours!A:A,monthly_work_hours!B:B)</f>
        <v>도정록</v>
      </c>
      <c r="C400" t="str">
        <f>_xlfn.XLOOKUP(A400,monthly_work_hours!A:A,monthly_work_hours!C:C)</f>
        <v>CMB영업팀</v>
      </c>
      <c r="D400" t="str">
        <f>_xlfn.XLOOKUP(A400,monthly_work_hours!A:A,monthly_work_hours!D:D)</f>
        <v>책임</v>
      </c>
      <c r="E400">
        <f>SUMIFS(monthly_work_hours!$K:$K,monthly_work_hours!$A:$A,'FTE 계산'!$A400,monthly_work_hours!$F:$F,'FTE 계산'!E$2)</f>
        <v>147.5</v>
      </c>
      <c r="F400">
        <f>SUMIFS(monthly_work_hours!$K:$K,monthly_work_hours!$A:$A,'FTE 계산'!$A400,monthly_work_hours!$F:$F,'FTE 계산'!F$2)</f>
        <v>134.80000000000001</v>
      </c>
      <c r="G400">
        <f>SUMIFS(monthly_work_hours!$K:$K,monthly_work_hours!$A:$A,'FTE 계산'!$A400,monthly_work_hours!$F:$F,'FTE 계산'!G$2)</f>
        <v>125.9</v>
      </c>
      <c r="H400">
        <f>(SUMIFS(monthly_work_hours!$G:$G,monthly_work_hours!$A:$A,'FTE 계산'!$A400,monthly_work_hours!$F:$F,'FTE 계산'!H$2)) - (SUMIFS(monthly_work_hours!$J:$J,monthly_work_hours!$A:$A,'FTE 계산'!$A400,monthly_work_hours!$F:$F,'FTE 계산'!H$2))</f>
        <v>18</v>
      </c>
      <c r="I400">
        <f>(SUMIFS(monthly_work_hours!$G:$G,monthly_work_hours!$A:$A,'FTE 계산'!$A400,monthly_work_hours!$F:$F,'FTE 계산'!I$2)) - (SUMIFS(monthly_work_hours!$J:$J,monthly_work_hours!$A:$A,'FTE 계산'!$A400,monthly_work_hours!$F:$F,'FTE 계산'!I$2))</f>
        <v>16</v>
      </c>
      <c r="J400">
        <f>(SUMIFS(monthly_work_hours!$G:$G,monthly_work_hours!$A:$A,'FTE 계산'!$A400,monthly_work_hours!$F:$F,'FTE 계산'!J$2)) - (SUMIFS(monthly_work_hours!$J:$J,monthly_work_hours!$A:$A,'FTE 계산'!$A400,monthly_work_hours!$F:$F,'FTE 계산'!J$2))</f>
        <v>16</v>
      </c>
    </row>
    <row r="401" spans="1:10">
      <c r="A401" t="str">
        <v>G223329</v>
      </c>
      <c r="B401" t="str">
        <f>_xlfn.XLOOKUP(A401,monthly_work_hours!A:A,monthly_work_hours!B:B)</f>
        <v>신문용</v>
      </c>
      <c r="C401" t="str">
        <f>_xlfn.XLOOKUP(A401,monthly_work_hours!A:A,monthly_work_hours!C:C)</f>
        <v>기술지원팀</v>
      </c>
      <c r="D401" t="str">
        <f>_xlfn.XLOOKUP(A401,monthly_work_hours!A:A,monthly_work_hours!D:D)</f>
        <v>책임</v>
      </c>
      <c r="E401">
        <f>SUMIFS(monthly_work_hours!$K:$K,monthly_work_hours!$A:$A,'FTE 계산'!$A401,monthly_work_hours!$F:$F,'FTE 계산'!E$2)</f>
        <v>142.69999999999999</v>
      </c>
      <c r="F401">
        <f>SUMIFS(monthly_work_hours!$K:$K,monthly_work_hours!$A:$A,'FTE 계산'!$A401,monthly_work_hours!$F:$F,'FTE 계산'!F$2)</f>
        <v>169.4</v>
      </c>
      <c r="G401">
        <f>SUMIFS(monthly_work_hours!$K:$K,monthly_work_hours!$A:$A,'FTE 계산'!$A401,monthly_work_hours!$F:$F,'FTE 계산'!G$2)</f>
        <v>139.5</v>
      </c>
      <c r="H401">
        <f>(SUMIFS(monthly_work_hours!$G:$G,monthly_work_hours!$A:$A,'FTE 계산'!$A401,monthly_work_hours!$F:$F,'FTE 계산'!H$2)) - (SUMIFS(monthly_work_hours!$J:$J,monthly_work_hours!$A:$A,'FTE 계산'!$A401,monthly_work_hours!$F:$F,'FTE 계산'!H$2))</f>
        <v>18</v>
      </c>
      <c r="I401">
        <f>(SUMIFS(monthly_work_hours!$G:$G,monthly_work_hours!$A:$A,'FTE 계산'!$A401,monthly_work_hours!$F:$F,'FTE 계산'!I$2)) - (SUMIFS(monthly_work_hours!$J:$J,monthly_work_hours!$A:$A,'FTE 계산'!$A401,monthly_work_hours!$F:$F,'FTE 계산'!I$2))</f>
        <v>19</v>
      </c>
      <c r="J401">
        <f>(SUMIFS(monthly_work_hours!$G:$G,monthly_work_hours!$A:$A,'FTE 계산'!$A401,monthly_work_hours!$F:$F,'FTE 계산'!J$2)) - (SUMIFS(monthly_work_hours!$J:$J,monthly_work_hours!$A:$A,'FTE 계산'!$A401,monthly_work_hours!$F:$F,'FTE 계산'!J$2))</f>
        <v>16</v>
      </c>
    </row>
    <row r="402" spans="1:10">
      <c r="A402" t="str">
        <v>G223331</v>
      </c>
      <c r="B402" t="str">
        <f>_xlfn.XLOOKUP(A402,monthly_work_hours!A:A,monthly_work_hours!B:B)</f>
        <v>박민석</v>
      </c>
      <c r="C402" t="str">
        <f>_xlfn.XLOOKUP(A402,monthly_work_hours!A:A,monthly_work_hours!C:C)</f>
        <v>CMB영업팀</v>
      </c>
      <c r="D402" t="str">
        <f>_xlfn.XLOOKUP(A402,monthly_work_hours!A:A,monthly_work_hours!D:D)</f>
        <v>책임</v>
      </c>
      <c r="E402">
        <f>SUMIFS(monthly_work_hours!$K:$K,monthly_work_hours!$A:$A,'FTE 계산'!$A402,monthly_work_hours!$F:$F,'FTE 계산'!E$2)</f>
        <v>152.19999999999999</v>
      </c>
      <c r="F402">
        <f>SUMIFS(monthly_work_hours!$K:$K,monthly_work_hours!$A:$A,'FTE 계산'!$A402,monthly_work_hours!$F:$F,'FTE 계산'!F$2)</f>
        <v>147.30000000000001</v>
      </c>
      <c r="G402">
        <f>SUMIFS(monthly_work_hours!$K:$K,monthly_work_hours!$A:$A,'FTE 계산'!$A402,monthly_work_hours!$F:$F,'FTE 계산'!G$2)</f>
        <v>111.4</v>
      </c>
      <c r="H402">
        <f>(SUMIFS(monthly_work_hours!$G:$G,monthly_work_hours!$A:$A,'FTE 계산'!$A402,monthly_work_hours!$F:$F,'FTE 계산'!H$2)) - (SUMIFS(monthly_work_hours!$J:$J,monthly_work_hours!$A:$A,'FTE 계산'!$A402,monthly_work_hours!$F:$F,'FTE 계산'!H$2))</f>
        <v>18</v>
      </c>
      <c r="I402">
        <f>(SUMIFS(monthly_work_hours!$G:$G,monthly_work_hours!$A:$A,'FTE 계산'!$A402,monthly_work_hours!$F:$F,'FTE 계산'!I$2)) - (SUMIFS(monthly_work_hours!$J:$J,monthly_work_hours!$A:$A,'FTE 계산'!$A402,monthly_work_hours!$F:$F,'FTE 계산'!I$2))</f>
        <v>17</v>
      </c>
      <c r="J402">
        <f>(SUMIFS(monthly_work_hours!$G:$G,monthly_work_hours!$A:$A,'FTE 계산'!$A402,monthly_work_hours!$F:$F,'FTE 계산'!J$2)) - (SUMIFS(monthly_work_hours!$J:$J,monthly_work_hours!$A:$A,'FTE 계산'!$A402,monthly_work_hours!$F:$F,'FTE 계산'!J$2))</f>
        <v>14</v>
      </c>
    </row>
    <row r="403" spans="1:10">
      <c r="A403" t="str">
        <v>G223332</v>
      </c>
      <c r="B403" t="str">
        <f>_xlfn.XLOOKUP(A403,monthly_work_hours!A:A,monthly_work_hours!B:B)</f>
        <v>박대규</v>
      </c>
      <c r="C403" t="str">
        <f>_xlfn.XLOOKUP(A403,monthly_work_hours!A:A,monthly_work_hours!C:C)</f>
        <v>CMB영업팀</v>
      </c>
      <c r="D403" t="str">
        <f>_xlfn.XLOOKUP(A403,monthly_work_hours!A:A,monthly_work_hours!D:D)</f>
        <v>선임</v>
      </c>
      <c r="E403">
        <f>SUMIFS(monthly_work_hours!$K:$K,monthly_work_hours!$A:$A,'FTE 계산'!$A403,monthly_work_hours!$F:$F,'FTE 계산'!E$2)</f>
        <v>159.6</v>
      </c>
      <c r="F403">
        <f>SUMIFS(monthly_work_hours!$K:$K,monthly_work_hours!$A:$A,'FTE 계산'!$A403,monthly_work_hours!$F:$F,'FTE 계산'!F$2)</f>
        <v>150.9</v>
      </c>
      <c r="G403">
        <f>SUMIFS(monthly_work_hours!$K:$K,monthly_work_hours!$A:$A,'FTE 계산'!$A403,monthly_work_hours!$F:$F,'FTE 계산'!G$2)</f>
        <v>128.30000000000001</v>
      </c>
      <c r="H403">
        <f>(SUMIFS(monthly_work_hours!$G:$G,monthly_work_hours!$A:$A,'FTE 계산'!$A403,monthly_work_hours!$F:$F,'FTE 계산'!H$2)) - (SUMIFS(monthly_work_hours!$J:$J,monthly_work_hours!$A:$A,'FTE 계산'!$A403,monthly_work_hours!$F:$F,'FTE 계산'!H$2))</f>
        <v>18</v>
      </c>
      <c r="I403">
        <f>(SUMIFS(monthly_work_hours!$G:$G,monthly_work_hours!$A:$A,'FTE 계산'!$A403,monthly_work_hours!$F:$F,'FTE 계산'!I$2)) - (SUMIFS(monthly_work_hours!$J:$J,monthly_work_hours!$A:$A,'FTE 계산'!$A403,monthly_work_hours!$F:$F,'FTE 계산'!I$2))</f>
        <v>17</v>
      </c>
      <c r="J403">
        <f>(SUMIFS(monthly_work_hours!$G:$G,monthly_work_hours!$A:$A,'FTE 계산'!$A403,monthly_work_hours!$F:$F,'FTE 계산'!J$2)) - (SUMIFS(monthly_work_hours!$J:$J,monthly_work_hours!$A:$A,'FTE 계산'!$A403,monthly_work_hours!$F:$F,'FTE 계산'!J$2))</f>
        <v>16</v>
      </c>
    </row>
    <row r="404" spans="1:10">
      <c r="A404" t="str">
        <v>G223343</v>
      </c>
      <c r="B404" t="str">
        <f>_xlfn.XLOOKUP(A404,monthly_work_hours!A:A,monthly_work_hours!B:B)</f>
        <v>임상호</v>
      </c>
      <c r="C404" t="str">
        <f>_xlfn.XLOOKUP(A404,monthly_work_hours!A:A,monthly_work_hours!C:C)</f>
        <v>생산2팀</v>
      </c>
      <c r="D404" t="str">
        <f>_xlfn.XLOOKUP(A404,monthly_work_hours!A:A,monthly_work_hours!D:D)</f>
        <v>책임</v>
      </c>
      <c r="E404">
        <f>SUMIFS(monthly_work_hours!$K:$K,monthly_work_hours!$A:$A,'FTE 계산'!$A404,monthly_work_hours!$F:$F,'FTE 계산'!E$2)</f>
        <v>64.3</v>
      </c>
      <c r="F404">
        <f>SUMIFS(monthly_work_hours!$K:$K,monthly_work_hours!$A:$A,'FTE 계산'!$A404,monthly_work_hours!$F:$F,'FTE 계산'!F$2)</f>
        <v>119</v>
      </c>
      <c r="G404">
        <f>SUMIFS(monthly_work_hours!$K:$K,monthly_work_hours!$A:$A,'FTE 계산'!$A404,monthly_work_hours!$F:$F,'FTE 계산'!G$2)</f>
        <v>96.2</v>
      </c>
      <c r="H404">
        <f>(SUMIFS(monthly_work_hours!$G:$G,monthly_work_hours!$A:$A,'FTE 계산'!$A404,monthly_work_hours!$F:$F,'FTE 계산'!H$2)) - (SUMIFS(monthly_work_hours!$J:$J,monthly_work_hours!$A:$A,'FTE 계산'!$A404,monthly_work_hours!$F:$F,'FTE 계산'!H$2))</f>
        <v>9</v>
      </c>
      <c r="I404">
        <f>(SUMIFS(monthly_work_hours!$G:$G,monthly_work_hours!$A:$A,'FTE 계산'!$A404,monthly_work_hours!$F:$F,'FTE 계산'!I$2)) - (SUMIFS(monthly_work_hours!$J:$J,monthly_work_hours!$A:$A,'FTE 계산'!$A404,monthly_work_hours!$F:$F,'FTE 계산'!I$2))</f>
        <v>16</v>
      </c>
      <c r="J404">
        <f>(SUMIFS(monthly_work_hours!$G:$G,monthly_work_hours!$A:$A,'FTE 계산'!$A404,monthly_work_hours!$F:$F,'FTE 계산'!J$2)) - (SUMIFS(monthly_work_hours!$J:$J,monthly_work_hours!$A:$A,'FTE 계산'!$A404,monthly_work_hours!$F:$F,'FTE 계산'!J$2))</f>
        <v>13</v>
      </c>
    </row>
    <row r="405" spans="1:10">
      <c r="A405" t="str">
        <v>G223344</v>
      </c>
      <c r="B405" t="str">
        <f>_xlfn.XLOOKUP(A405,monthly_work_hours!A:A,monthly_work_hours!B:B)</f>
        <v>김남진</v>
      </c>
      <c r="C405" t="str">
        <f>_xlfn.XLOOKUP(A405,monthly_work_hours!A:A,monthly_work_hours!C:C)</f>
        <v>CMB영업팀</v>
      </c>
      <c r="D405" t="str">
        <f>_xlfn.XLOOKUP(A405,monthly_work_hours!A:A,monthly_work_hours!D:D)</f>
        <v>선임</v>
      </c>
      <c r="E405">
        <f>SUMIFS(monthly_work_hours!$K:$K,monthly_work_hours!$A:$A,'FTE 계산'!$A405,monthly_work_hours!$F:$F,'FTE 계산'!E$2)</f>
        <v>151.6</v>
      </c>
      <c r="F405">
        <f>SUMIFS(monthly_work_hours!$K:$K,monthly_work_hours!$A:$A,'FTE 계산'!$A405,monthly_work_hours!$F:$F,'FTE 계산'!F$2)</f>
        <v>132.6</v>
      </c>
      <c r="G405">
        <f>SUMIFS(monthly_work_hours!$K:$K,monthly_work_hours!$A:$A,'FTE 계산'!$A405,monthly_work_hours!$F:$F,'FTE 계산'!G$2)</f>
        <v>119.9</v>
      </c>
      <c r="H405">
        <f>(SUMIFS(monthly_work_hours!$G:$G,monthly_work_hours!$A:$A,'FTE 계산'!$A405,monthly_work_hours!$F:$F,'FTE 계산'!H$2)) - (SUMIFS(monthly_work_hours!$J:$J,monthly_work_hours!$A:$A,'FTE 계산'!$A405,monthly_work_hours!$F:$F,'FTE 계산'!H$2))</f>
        <v>18</v>
      </c>
      <c r="I405">
        <f>(SUMIFS(monthly_work_hours!$G:$G,monthly_work_hours!$A:$A,'FTE 계산'!$A405,monthly_work_hours!$F:$F,'FTE 계산'!I$2)) - (SUMIFS(monthly_work_hours!$J:$J,monthly_work_hours!$A:$A,'FTE 계산'!$A405,monthly_work_hours!$F:$F,'FTE 계산'!I$2))</f>
        <v>15</v>
      </c>
      <c r="J405">
        <f>(SUMIFS(monthly_work_hours!$G:$G,monthly_work_hours!$A:$A,'FTE 계산'!$A405,monthly_work_hours!$F:$F,'FTE 계산'!J$2)) - (SUMIFS(monthly_work_hours!$J:$J,monthly_work_hours!$A:$A,'FTE 계산'!$A405,monthly_work_hours!$F:$F,'FTE 계산'!J$2))</f>
        <v>14</v>
      </c>
    </row>
    <row r="406" spans="1:10">
      <c r="A406" t="str">
        <v>G223345</v>
      </c>
      <c r="B406" t="str">
        <f>_xlfn.XLOOKUP(A406,monthly_work_hours!A:A,monthly_work_hours!B:B)</f>
        <v>이창헌</v>
      </c>
      <c r="C406" t="str">
        <f>_xlfn.XLOOKUP(A406,monthly_work_hours!A:A,monthly_work_hours!C:C)</f>
        <v>영업지원팀</v>
      </c>
      <c r="D406" t="str">
        <f>_xlfn.XLOOKUP(A406,monthly_work_hours!A:A,monthly_work_hours!D:D)</f>
        <v>선임</v>
      </c>
      <c r="E406">
        <f>SUMIFS(monthly_work_hours!$K:$K,monthly_work_hours!$A:$A,'FTE 계산'!$A406,monthly_work_hours!$F:$F,'FTE 계산'!E$2)</f>
        <v>165.4</v>
      </c>
      <c r="F406">
        <f>SUMIFS(monthly_work_hours!$K:$K,monthly_work_hours!$A:$A,'FTE 계산'!$A406,monthly_work_hours!$F:$F,'FTE 계산'!F$2)</f>
        <v>167.7</v>
      </c>
      <c r="G406">
        <f>SUMIFS(monthly_work_hours!$K:$K,monthly_work_hours!$A:$A,'FTE 계산'!$A406,monthly_work_hours!$F:$F,'FTE 계산'!G$2)</f>
        <v>139.69999999999999</v>
      </c>
      <c r="H406">
        <f>(SUMIFS(monthly_work_hours!$G:$G,monthly_work_hours!$A:$A,'FTE 계산'!$A406,monthly_work_hours!$F:$F,'FTE 계산'!H$2)) - (SUMIFS(monthly_work_hours!$J:$J,monthly_work_hours!$A:$A,'FTE 계산'!$A406,monthly_work_hours!$F:$F,'FTE 계산'!H$2))</f>
        <v>19</v>
      </c>
      <c r="I406">
        <f>(SUMIFS(monthly_work_hours!$G:$G,monthly_work_hours!$A:$A,'FTE 계산'!$A406,monthly_work_hours!$F:$F,'FTE 계산'!I$2)) - (SUMIFS(monthly_work_hours!$J:$J,monthly_work_hours!$A:$A,'FTE 계산'!$A406,monthly_work_hours!$F:$F,'FTE 계산'!I$2))</f>
        <v>19</v>
      </c>
      <c r="J406">
        <f>(SUMIFS(monthly_work_hours!$G:$G,monthly_work_hours!$A:$A,'FTE 계산'!$A406,monthly_work_hours!$F:$F,'FTE 계산'!J$2)) - (SUMIFS(monthly_work_hours!$J:$J,monthly_work_hours!$A:$A,'FTE 계산'!$A406,monthly_work_hours!$F:$F,'FTE 계산'!J$2))</f>
        <v>17</v>
      </c>
    </row>
    <row r="407" spans="1:10">
      <c r="A407" t="str">
        <v>G223346</v>
      </c>
      <c r="B407" t="str">
        <f>_xlfn.XLOOKUP(A407,monthly_work_hours!A:A,monthly_work_hours!B:B)</f>
        <v>심규섭</v>
      </c>
      <c r="C407" t="str">
        <f>_xlfn.XLOOKUP(A407,monthly_work_hours!A:A,monthly_work_hours!C:C)</f>
        <v>영업지원팀</v>
      </c>
      <c r="D407" t="str">
        <f>_xlfn.XLOOKUP(A407,monthly_work_hours!A:A,monthly_work_hours!D:D)</f>
        <v>선임</v>
      </c>
      <c r="E407">
        <f>SUMIFS(monthly_work_hours!$K:$K,monthly_work_hours!$A:$A,'FTE 계산'!$A407,monthly_work_hours!$F:$F,'FTE 계산'!E$2)</f>
        <v>187.4</v>
      </c>
      <c r="F407">
        <f>SUMIFS(monthly_work_hours!$K:$K,monthly_work_hours!$A:$A,'FTE 계산'!$A407,monthly_work_hours!$F:$F,'FTE 계산'!F$2)</f>
        <v>167.4</v>
      </c>
      <c r="G407">
        <f>SUMIFS(monthly_work_hours!$K:$K,monthly_work_hours!$A:$A,'FTE 계산'!$A407,monthly_work_hours!$F:$F,'FTE 계산'!G$2)</f>
        <v>143</v>
      </c>
      <c r="H407">
        <f>(SUMIFS(monthly_work_hours!$G:$G,monthly_work_hours!$A:$A,'FTE 계산'!$A407,monthly_work_hours!$F:$F,'FTE 계산'!H$2)) - (SUMIFS(monthly_work_hours!$J:$J,monthly_work_hours!$A:$A,'FTE 계산'!$A407,monthly_work_hours!$F:$F,'FTE 계산'!H$2))</f>
        <v>19</v>
      </c>
      <c r="I407">
        <f>(SUMIFS(monthly_work_hours!$G:$G,monthly_work_hours!$A:$A,'FTE 계산'!$A407,monthly_work_hours!$F:$F,'FTE 계산'!I$2)) - (SUMIFS(monthly_work_hours!$J:$J,monthly_work_hours!$A:$A,'FTE 계산'!$A407,monthly_work_hours!$F:$F,'FTE 계산'!I$2))</f>
        <v>18</v>
      </c>
      <c r="J407">
        <f>(SUMIFS(monthly_work_hours!$G:$G,monthly_work_hours!$A:$A,'FTE 계산'!$A407,monthly_work_hours!$F:$F,'FTE 계산'!J$2)) - (SUMIFS(monthly_work_hours!$J:$J,monthly_work_hours!$A:$A,'FTE 계산'!$A407,monthly_work_hours!$F:$F,'FTE 계산'!J$2))</f>
        <v>16</v>
      </c>
    </row>
    <row r="408" spans="1:10">
      <c r="A408" t="str">
        <v>G223347</v>
      </c>
      <c r="B408" t="str">
        <f>_xlfn.XLOOKUP(A408,monthly_work_hours!A:A,monthly_work_hours!B:B)</f>
        <v>김일민</v>
      </c>
      <c r="C408" t="str">
        <f>_xlfn.XLOOKUP(A408,monthly_work_hours!A:A,monthly_work_hours!C:C)</f>
        <v>TPE영업팀</v>
      </c>
      <c r="D408" t="str">
        <f>_xlfn.XLOOKUP(A408,monthly_work_hours!A:A,monthly_work_hours!D:D)</f>
        <v>책임</v>
      </c>
      <c r="E408">
        <f>SUMIFS(monthly_work_hours!$K:$K,monthly_work_hours!$A:$A,'FTE 계산'!$A408,monthly_work_hours!$F:$F,'FTE 계산'!E$2)</f>
        <v>149.69999999999999</v>
      </c>
      <c r="F408">
        <f>SUMIFS(monthly_work_hours!$K:$K,monthly_work_hours!$A:$A,'FTE 계산'!$A408,monthly_work_hours!$F:$F,'FTE 계산'!F$2)</f>
        <v>176.6</v>
      </c>
      <c r="G408">
        <f>SUMIFS(monthly_work_hours!$K:$K,monthly_work_hours!$A:$A,'FTE 계산'!$A408,monthly_work_hours!$F:$F,'FTE 계산'!G$2)</f>
        <v>137.9</v>
      </c>
      <c r="H408">
        <f>(SUMIFS(monthly_work_hours!$G:$G,monthly_work_hours!$A:$A,'FTE 계산'!$A408,monthly_work_hours!$F:$F,'FTE 계산'!H$2)) - (SUMIFS(monthly_work_hours!$J:$J,monthly_work_hours!$A:$A,'FTE 계산'!$A408,monthly_work_hours!$F:$F,'FTE 계산'!H$2))</f>
        <v>16</v>
      </c>
      <c r="I408">
        <f>(SUMIFS(monthly_work_hours!$G:$G,monthly_work_hours!$A:$A,'FTE 계산'!$A408,monthly_work_hours!$F:$F,'FTE 계산'!I$2)) - (SUMIFS(monthly_work_hours!$J:$J,monthly_work_hours!$A:$A,'FTE 계산'!$A408,monthly_work_hours!$F:$F,'FTE 계산'!I$2))</f>
        <v>19</v>
      </c>
      <c r="J408">
        <f>(SUMIFS(monthly_work_hours!$G:$G,monthly_work_hours!$A:$A,'FTE 계산'!$A408,monthly_work_hours!$F:$F,'FTE 계산'!J$2)) - (SUMIFS(monthly_work_hours!$J:$J,monthly_work_hours!$A:$A,'FTE 계산'!$A408,monthly_work_hours!$F:$F,'FTE 계산'!J$2))</f>
        <v>16</v>
      </c>
    </row>
    <row r="409" spans="1:10">
      <c r="A409" t="str">
        <v>G223348</v>
      </c>
      <c r="B409" t="str">
        <f>_xlfn.XLOOKUP(A409,monthly_work_hours!A:A,monthly_work_hours!B:B)</f>
        <v>바실리엡콘스탄틴</v>
      </c>
      <c r="C409" t="str">
        <f>_xlfn.XLOOKUP(A409,monthly_work_hours!A:A,monthly_work_hours!C:C)</f>
        <v>TPE영업팀</v>
      </c>
      <c r="D409" t="str">
        <f>_xlfn.XLOOKUP(A409,monthly_work_hours!A:A,monthly_work_hours!D:D)</f>
        <v>책임</v>
      </c>
      <c r="E409">
        <f>SUMIFS(monthly_work_hours!$K:$K,monthly_work_hours!$A:$A,'FTE 계산'!$A409,monthly_work_hours!$F:$F,'FTE 계산'!E$2)</f>
        <v>152.4</v>
      </c>
      <c r="F409">
        <f>SUMIFS(monthly_work_hours!$K:$K,monthly_work_hours!$A:$A,'FTE 계산'!$A409,monthly_work_hours!$F:$F,'FTE 계산'!F$2)</f>
        <v>166.1</v>
      </c>
      <c r="G409">
        <f>SUMIFS(monthly_work_hours!$K:$K,monthly_work_hours!$A:$A,'FTE 계산'!$A409,monthly_work_hours!$F:$F,'FTE 계산'!G$2)</f>
        <v>143.4</v>
      </c>
      <c r="H409">
        <f>(SUMIFS(monthly_work_hours!$G:$G,monthly_work_hours!$A:$A,'FTE 계산'!$A409,monthly_work_hours!$F:$F,'FTE 계산'!H$2)) - (SUMIFS(monthly_work_hours!$J:$J,monthly_work_hours!$A:$A,'FTE 계산'!$A409,monthly_work_hours!$F:$F,'FTE 계산'!H$2))</f>
        <v>16</v>
      </c>
      <c r="I409">
        <f>(SUMIFS(monthly_work_hours!$G:$G,monthly_work_hours!$A:$A,'FTE 계산'!$A409,monthly_work_hours!$F:$F,'FTE 계산'!I$2)) - (SUMIFS(monthly_work_hours!$J:$J,monthly_work_hours!$A:$A,'FTE 계산'!$A409,monthly_work_hours!$F:$F,'FTE 계산'!I$2))</f>
        <v>18</v>
      </c>
      <c r="J409">
        <f>(SUMIFS(monthly_work_hours!$G:$G,monthly_work_hours!$A:$A,'FTE 계산'!$A409,monthly_work_hours!$F:$F,'FTE 계산'!J$2)) - (SUMIFS(monthly_work_hours!$J:$J,monthly_work_hours!$A:$A,'FTE 계산'!$A409,monthly_work_hours!$F:$F,'FTE 계산'!J$2))</f>
        <v>16</v>
      </c>
    </row>
    <row r="410" spans="1:10">
      <c r="A410" t="str">
        <v>G223349</v>
      </c>
      <c r="B410" t="str">
        <f>_xlfn.XLOOKUP(A410,monthly_work_hours!A:A,monthly_work_hours!B:B)</f>
        <v>정순우</v>
      </c>
      <c r="C410" t="str">
        <f>_xlfn.XLOOKUP(A410,monthly_work_hours!A:A,monthly_work_hours!C:C)</f>
        <v>TPE영업팀</v>
      </c>
      <c r="D410" t="str">
        <f>_xlfn.XLOOKUP(A410,monthly_work_hours!A:A,monthly_work_hours!D:D)</f>
        <v>선임</v>
      </c>
      <c r="E410">
        <f>SUMIFS(monthly_work_hours!$K:$K,monthly_work_hours!$A:$A,'FTE 계산'!$A410,monthly_work_hours!$F:$F,'FTE 계산'!E$2)</f>
        <v>174.8</v>
      </c>
      <c r="F410">
        <f>SUMIFS(monthly_work_hours!$K:$K,monthly_work_hours!$A:$A,'FTE 계산'!$A410,monthly_work_hours!$F:$F,'FTE 계산'!F$2)</f>
        <v>178.3</v>
      </c>
      <c r="G410">
        <f>SUMIFS(monthly_work_hours!$K:$K,monthly_work_hours!$A:$A,'FTE 계산'!$A410,monthly_work_hours!$F:$F,'FTE 계산'!G$2)</f>
        <v>127.6</v>
      </c>
      <c r="H410">
        <f>(SUMIFS(monthly_work_hours!$G:$G,monthly_work_hours!$A:$A,'FTE 계산'!$A410,monthly_work_hours!$F:$F,'FTE 계산'!H$2)) - (SUMIFS(monthly_work_hours!$J:$J,monthly_work_hours!$A:$A,'FTE 계산'!$A410,monthly_work_hours!$F:$F,'FTE 계산'!H$2))</f>
        <v>19</v>
      </c>
      <c r="I410">
        <f>(SUMIFS(monthly_work_hours!$G:$G,monthly_work_hours!$A:$A,'FTE 계산'!$A410,monthly_work_hours!$F:$F,'FTE 계산'!I$2)) - (SUMIFS(monthly_work_hours!$J:$J,monthly_work_hours!$A:$A,'FTE 계산'!$A410,monthly_work_hours!$F:$F,'FTE 계산'!I$2))</f>
        <v>19</v>
      </c>
      <c r="J410">
        <f>(SUMIFS(monthly_work_hours!$G:$G,monthly_work_hours!$A:$A,'FTE 계산'!$A410,monthly_work_hours!$F:$F,'FTE 계산'!J$2)) - (SUMIFS(monthly_work_hours!$J:$J,monthly_work_hours!$A:$A,'FTE 계산'!$A410,monthly_work_hours!$F:$F,'FTE 계산'!J$2))</f>
        <v>14</v>
      </c>
    </row>
    <row r="411" spans="1:10">
      <c r="A411" t="str">
        <v>G223350</v>
      </c>
      <c r="B411" t="str">
        <f>_xlfn.XLOOKUP(A411,monthly_work_hours!A:A,monthly_work_hours!B:B)</f>
        <v>김윤성</v>
      </c>
      <c r="C411" t="str">
        <f>_xlfn.XLOOKUP(A411,monthly_work_hours!A:A,monthly_work_hours!C:C)</f>
        <v>TPE영업팀</v>
      </c>
      <c r="D411" t="str">
        <f>_xlfn.XLOOKUP(A411,monthly_work_hours!A:A,monthly_work_hours!D:D)</f>
        <v>선임</v>
      </c>
      <c r="E411">
        <f>SUMIFS(monthly_work_hours!$K:$K,monthly_work_hours!$A:$A,'FTE 계산'!$A411,monthly_work_hours!$F:$F,'FTE 계산'!E$2)</f>
        <v>142.30000000000001</v>
      </c>
      <c r="F411">
        <f>SUMIFS(monthly_work_hours!$K:$K,monthly_work_hours!$A:$A,'FTE 계산'!$A411,monthly_work_hours!$F:$F,'FTE 계산'!F$2)</f>
        <v>152.4</v>
      </c>
      <c r="G411">
        <f>SUMIFS(monthly_work_hours!$K:$K,monthly_work_hours!$A:$A,'FTE 계산'!$A411,monthly_work_hours!$F:$F,'FTE 계산'!G$2)</f>
        <v>123.1</v>
      </c>
      <c r="H411">
        <f>(SUMIFS(monthly_work_hours!$G:$G,monthly_work_hours!$A:$A,'FTE 계산'!$A411,monthly_work_hours!$F:$F,'FTE 계산'!H$2)) - (SUMIFS(monthly_work_hours!$J:$J,monthly_work_hours!$A:$A,'FTE 계산'!$A411,monthly_work_hours!$F:$F,'FTE 계산'!H$2))</f>
        <v>16</v>
      </c>
      <c r="I411">
        <f>(SUMIFS(monthly_work_hours!$G:$G,monthly_work_hours!$A:$A,'FTE 계산'!$A411,monthly_work_hours!$F:$F,'FTE 계산'!I$2)) - (SUMIFS(monthly_work_hours!$J:$J,monthly_work_hours!$A:$A,'FTE 계산'!$A411,monthly_work_hours!$F:$F,'FTE 계산'!I$2))</f>
        <v>17</v>
      </c>
      <c r="J411">
        <f>(SUMIFS(monthly_work_hours!$G:$G,monthly_work_hours!$A:$A,'FTE 계산'!$A411,monthly_work_hours!$F:$F,'FTE 계산'!J$2)) - (SUMIFS(monthly_work_hours!$J:$J,monthly_work_hours!$A:$A,'FTE 계산'!$A411,monthly_work_hours!$F:$F,'FTE 계산'!J$2))</f>
        <v>15</v>
      </c>
    </row>
    <row r="412" spans="1:10">
      <c r="A412" t="str">
        <v>G223351</v>
      </c>
      <c r="B412" t="str">
        <f>_xlfn.XLOOKUP(A412,monthly_work_hours!A:A,monthly_work_hours!B:B)</f>
        <v>윤영기</v>
      </c>
      <c r="C412" t="str">
        <f>_xlfn.XLOOKUP(A412,monthly_work_hours!A:A,monthly_work_hours!C:C)</f>
        <v>TPE영업팀</v>
      </c>
      <c r="D412" t="str">
        <f>_xlfn.XLOOKUP(A412,monthly_work_hours!A:A,monthly_work_hours!D:D)</f>
        <v>선임</v>
      </c>
      <c r="E412">
        <f>SUMIFS(monthly_work_hours!$K:$K,monthly_work_hours!$A:$A,'FTE 계산'!$A412,monthly_work_hours!$F:$F,'FTE 계산'!E$2)</f>
        <v>142</v>
      </c>
      <c r="F412">
        <f>SUMIFS(monthly_work_hours!$K:$K,monthly_work_hours!$A:$A,'FTE 계산'!$A412,monthly_work_hours!$F:$F,'FTE 계산'!F$2)</f>
        <v>167.6</v>
      </c>
      <c r="G412">
        <f>SUMIFS(monthly_work_hours!$K:$K,monthly_work_hours!$A:$A,'FTE 계산'!$A412,monthly_work_hours!$F:$F,'FTE 계산'!G$2)</f>
        <v>136.5</v>
      </c>
      <c r="H412">
        <f>(SUMIFS(monthly_work_hours!$G:$G,monthly_work_hours!$A:$A,'FTE 계산'!$A412,monthly_work_hours!$F:$F,'FTE 계산'!H$2)) - (SUMIFS(monthly_work_hours!$J:$J,monthly_work_hours!$A:$A,'FTE 계산'!$A412,monthly_work_hours!$F:$F,'FTE 계산'!H$2))</f>
        <v>15</v>
      </c>
      <c r="I412">
        <f>(SUMIFS(monthly_work_hours!$G:$G,monthly_work_hours!$A:$A,'FTE 계산'!$A412,monthly_work_hours!$F:$F,'FTE 계산'!I$2)) - (SUMIFS(monthly_work_hours!$J:$J,monthly_work_hours!$A:$A,'FTE 계산'!$A412,monthly_work_hours!$F:$F,'FTE 계산'!I$2))</f>
        <v>18</v>
      </c>
      <c r="J412">
        <f>(SUMIFS(monthly_work_hours!$G:$G,monthly_work_hours!$A:$A,'FTE 계산'!$A412,monthly_work_hours!$F:$F,'FTE 계산'!J$2)) - (SUMIFS(monthly_work_hours!$J:$J,monthly_work_hours!$A:$A,'FTE 계산'!$A412,monthly_work_hours!$F:$F,'FTE 계산'!J$2))</f>
        <v>15</v>
      </c>
    </row>
    <row r="413" spans="1:10">
      <c r="A413" t="str">
        <v>G223361</v>
      </c>
      <c r="B413" t="str">
        <f>_xlfn.XLOOKUP(A413,monthly_work_hours!A:A,monthly_work_hours!B:B)</f>
        <v>천지원</v>
      </c>
      <c r="C413" t="str">
        <f>_xlfn.XLOOKUP(A413,monthly_work_hours!A:A,monthly_work_hours!C:C)</f>
        <v>Trans사업팀</v>
      </c>
      <c r="D413" t="str">
        <f>_xlfn.XLOOKUP(A413,monthly_work_hours!A:A,monthly_work_hours!D:D)</f>
        <v>사원</v>
      </c>
      <c r="E413">
        <f>SUMIFS(monthly_work_hours!$K:$K,monthly_work_hours!$A:$A,'FTE 계산'!$A413,monthly_work_hours!$F:$F,'FTE 계산'!E$2)</f>
        <v>177.1</v>
      </c>
      <c r="F413">
        <f>SUMIFS(monthly_work_hours!$K:$K,monthly_work_hours!$A:$A,'FTE 계산'!$A413,monthly_work_hours!$F:$F,'FTE 계산'!F$2)</f>
        <v>192.7</v>
      </c>
      <c r="G413">
        <f>SUMIFS(monthly_work_hours!$K:$K,monthly_work_hours!$A:$A,'FTE 계산'!$A413,monthly_work_hours!$F:$F,'FTE 계산'!G$2)</f>
        <v>84.3</v>
      </c>
      <c r="H413">
        <f>(SUMIFS(monthly_work_hours!$G:$G,monthly_work_hours!$A:$A,'FTE 계산'!$A413,monthly_work_hours!$F:$F,'FTE 계산'!H$2)) - (SUMIFS(monthly_work_hours!$J:$J,monthly_work_hours!$A:$A,'FTE 계산'!$A413,monthly_work_hours!$F:$F,'FTE 계산'!H$2))</f>
        <v>19</v>
      </c>
      <c r="I413">
        <f>(SUMIFS(monthly_work_hours!$G:$G,monthly_work_hours!$A:$A,'FTE 계산'!$A413,monthly_work_hours!$F:$F,'FTE 계산'!I$2)) - (SUMIFS(monthly_work_hours!$J:$J,monthly_work_hours!$A:$A,'FTE 계산'!$A413,monthly_work_hours!$F:$F,'FTE 계산'!I$2))</f>
        <v>22</v>
      </c>
      <c r="J413">
        <f>(SUMIFS(monthly_work_hours!$G:$G,monthly_work_hours!$A:$A,'FTE 계산'!$A413,monthly_work_hours!$F:$F,'FTE 계산'!J$2)) - (SUMIFS(monthly_work_hours!$J:$J,monthly_work_hours!$A:$A,'FTE 계산'!$A413,monthly_work_hours!$F:$F,'FTE 계산'!J$2))</f>
        <v>13</v>
      </c>
    </row>
    <row r="414" spans="1:10">
      <c r="A414" t="str">
        <v>G223381</v>
      </c>
      <c r="B414" t="str">
        <f>_xlfn.XLOOKUP(A414,monthly_work_hours!A:A,monthly_work_hours!B:B)</f>
        <v>김태석</v>
      </c>
      <c r="C414" t="str">
        <f>_xlfn.XLOOKUP(A414,monthly_work_hours!A:A,monthly_work_hours!C:C)</f>
        <v>IT 1팀</v>
      </c>
      <c r="D414" t="str">
        <f>_xlfn.XLOOKUP(A414,monthly_work_hours!A:A,monthly_work_hours!D:D)</f>
        <v>선임</v>
      </c>
      <c r="E414">
        <f>SUMIFS(monthly_work_hours!$K:$K,monthly_work_hours!$A:$A,'FTE 계산'!$A414,monthly_work_hours!$F:$F,'FTE 계산'!E$2)</f>
        <v>199.9</v>
      </c>
      <c r="F414">
        <f>SUMIFS(monthly_work_hours!$K:$K,monthly_work_hours!$A:$A,'FTE 계산'!$A414,monthly_work_hours!$F:$F,'FTE 계산'!F$2)</f>
        <v>423</v>
      </c>
      <c r="G414">
        <f>SUMIFS(monthly_work_hours!$K:$K,monthly_work_hours!$A:$A,'FTE 계산'!$A414,monthly_work_hours!$F:$F,'FTE 계산'!G$2)</f>
        <v>98.8</v>
      </c>
      <c r="H414">
        <f>(SUMIFS(monthly_work_hours!$G:$G,monthly_work_hours!$A:$A,'FTE 계산'!$A414,monthly_work_hours!$F:$F,'FTE 계산'!H$2)) - (SUMIFS(monthly_work_hours!$J:$J,monthly_work_hours!$A:$A,'FTE 계산'!$A414,monthly_work_hours!$F:$F,'FTE 계산'!H$2))</f>
        <v>20</v>
      </c>
      <c r="I414">
        <f>(SUMIFS(monthly_work_hours!$G:$G,monthly_work_hours!$A:$A,'FTE 계산'!$A414,monthly_work_hours!$F:$F,'FTE 계산'!I$2)) - (SUMIFS(monthly_work_hours!$J:$J,monthly_work_hours!$A:$A,'FTE 계산'!$A414,monthly_work_hours!$F:$F,'FTE 계산'!I$2))</f>
        <v>21</v>
      </c>
      <c r="J414">
        <f>(SUMIFS(monthly_work_hours!$G:$G,monthly_work_hours!$A:$A,'FTE 계산'!$A414,monthly_work_hours!$F:$F,'FTE 계산'!J$2)) - (SUMIFS(monthly_work_hours!$J:$J,monthly_work_hours!$A:$A,'FTE 계산'!$A414,monthly_work_hours!$F:$F,'FTE 계산'!J$2))</f>
        <v>13</v>
      </c>
    </row>
    <row r="415" spans="1:10">
      <c r="A415" t="str">
        <v>G223386</v>
      </c>
      <c r="B415" t="str">
        <f>_xlfn.XLOOKUP(A415,monthly_work_hours!A:A,monthly_work_hours!B:B)</f>
        <v>김규리</v>
      </c>
      <c r="C415" t="str">
        <f>_xlfn.XLOOKUP(A415,monthly_work_hours!A:A,monthly_work_hours!C:C)</f>
        <v>신재료연구팀</v>
      </c>
      <c r="D415" t="str">
        <f>_xlfn.XLOOKUP(A415,monthly_work_hours!A:A,monthly_work_hours!D:D)</f>
        <v>선임</v>
      </c>
      <c r="E415">
        <f>SUMIFS(monthly_work_hours!$K:$K,monthly_work_hours!$A:$A,'FTE 계산'!$A415,monthly_work_hours!$F:$F,'FTE 계산'!E$2)</f>
        <v>169.4</v>
      </c>
      <c r="F415">
        <f>SUMIFS(monthly_work_hours!$K:$K,monthly_work_hours!$A:$A,'FTE 계산'!$A415,monthly_work_hours!$F:$F,'FTE 계산'!F$2)</f>
        <v>153</v>
      </c>
      <c r="G415">
        <f>SUMIFS(monthly_work_hours!$K:$K,monthly_work_hours!$A:$A,'FTE 계산'!$A415,monthly_work_hours!$F:$F,'FTE 계산'!G$2)</f>
        <v>126.1</v>
      </c>
      <c r="H415">
        <f>(SUMIFS(monthly_work_hours!$G:$G,monthly_work_hours!$A:$A,'FTE 계산'!$A415,monthly_work_hours!$F:$F,'FTE 계산'!H$2)) - (SUMIFS(monthly_work_hours!$J:$J,monthly_work_hours!$A:$A,'FTE 계산'!$A415,monthly_work_hours!$F:$F,'FTE 계산'!H$2))</f>
        <v>18</v>
      </c>
      <c r="I415">
        <f>(SUMIFS(monthly_work_hours!$G:$G,monthly_work_hours!$A:$A,'FTE 계산'!$A415,monthly_work_hours!$F:$F,'FTE 계산'!I$2)) - (SUMIFS(monthly_work_hours!$J:$J,monthly_work_hours!$A:$A,'FTE 계산'!$A415,monthly_work_hours!$F:$F,'FTE 계산'!I$2))</f>
        <v>17</v>
      </c>
      <c r="J415">
        <f>(SUMIFS(monthly_work_hours!$G:$G,monthly_work_hours!$A:$A,'FTE 계산'!$A415,monthly_work_hours!$F:$F,'FTE 계산'!J$2)) - (SUMIFS(monthly_work_hours!$J:$J,monthly_work_hours!$A:$A,'FTE 계산'!$A415,monthly_work_hours!$F:$F,'FTE 계산'!J$2))</f>
        <v>14</v>
      </c>
    </row>
    <row r="416" spans="1:10">
      <c r="A416" t="str">
        <v>G223392</v>
      </c>
      <c r="B416" t="str">
        <f>_xlfn.XLOOKUP(A416,monthly_work_hours!A:A,monthly_work_hours!B:B)</f>
        <v>김병주</v>
      </c>
      <c r="C416" t="str">
        <f>_xlfn.XLOOKUP(A416,monthly_work_hours!A:A,monthly_work_hours!C:C)</f>
        <v>IT 2팀</v>
      </c>
      <c r="D416" t="str">
        <f>_xlfn.XLOOKUP(A416,monthly_work_hours!A:A,monthly_work_hours!D:D)</f>
        <v>책임</v>
      </c>
      <c r="E416">
        <f>SUMIFS(monthly_work_hours!$K:$K,monthly_work_hours!$A:$A,'FTE 계산'!$A416,monthly_work_hours!$F:$F,'FTE 계산'!E$2)</f>
        <v>178</v>
      </c>
      <c r="F416">
        <f>SUMIFS(monthly_work_hours!$K:$K,monthly_work_hours!$A:$A,'FTE 계산'!$A416,monthly_work_hours!$F:$F,'FTE 계산'!F$2)</f>
        <v>153.9</v>
      </c>
      <c r="G416">
        <f>SUMIFS(monthly_work_hours!$K:$K,monthly_work_hours!$A:$A,'FTE 계산'!$A416,monthly_work_hours!$F:$F,'FTE 계산'!G$2)</f>
        <v>143</v>
      </c>
      <c r="H416">
        <f>(SUMIFS(monthly_work_hours!$G:$G,monthly_work_hours!$A:$A,'FTE 계산'!$A416,monthly_work_hours!$F:$F,'FTE 계산'!H$2)) - (SUMIFS(monthly_work_hours!$J:$J,monthly_work_hours!$A:$A,'FTE 계산'!$A416,monthly_work_hours!$F:$F,'FTE 계산'!H$2))</f>
        <v>18</v>
      </c>
      <c r="I416">
        <f>(SUMIFS(monthly_work_hours!$G:$G,monthly_work_hours!$A:$A,'FTE 계산'!$A416,monthly_work_hours!$F:$F,'FTE 계산'!I$2)) - (SUMIFS(monthly_work_hours!$J:$J,monthly_work_hours!$A:$A,'FTE 계산'!$A416,monthly_work_hours!$F:$F,'FTE 계산'!I$2))</f>
        <v>16</v>
      </c>
      <c r="J416">
        <f>(SUMIFS(monthly_work_hours!$G:$G,monthly_work_hours!$A:$A,'FTE 계산'!$A416,monthly_work_hours!$F:$F,'FTE 계산'!J$2)) - (SUMIFS(monthly_work_hours!$J:$J,monthly_work_hours!$A:$A,'FTE 계산'!$A416,monthly_work_hours!$F:$F,'FTE 계산'!J$2))</f>
        <v>17</v>
      </c>
    </row>
    <row r="417" spans="1:10">
      <c r="A417" t="str">
        <v>G223393</v>
      </c>
      <c r="B417" t="str">
        <f>_xlfn.XLOOKUP(A417,monthly_work_hours!A:A,monthly_work_hours!B:B)</f>
        <v>하동훈</v>
      </c>
      <c r="C417" t="str">
        <f>_xlfn.XLOOKUP(A417,monthly_work_hours!A:A,monthly_work_hours!C:C)</f>
        <v>IT 2팀</v>
      </c>
      <c r="D417" t="str">
        <f>_xlfn.XLOOKUP(A417,monthly_work_hours!A:A,monthly_work_hours!D:D)</f>
        <v>선임</v>
      </c>
      <c r="E417">
        <f>SUMIFS(monthly_work_hours!$K:$K,monthly_work_hours!$A:$A,'FTE 계산'!$A417,monthly_work_hours!$F:$F,'FTE 계산'!E$2)</f>
        <v>0</v>
      </c>
      <c r="F417">
        <f>SUMIFS(monthly_work_hours!$K:$K,monthly_work_hours!$A:$A,'FTE 계산'!$A417,monthly_work_hours!$F:$F,'FTE 계산'!F$2)</f>
        <v>83.3</v>
      </c>
      <c r="G417">
        <f>SUMIFS(monthly_work_hours!$K:$K,monthly_work_hours!$A:$A,'FTE 계산'!$A417,monthly_work_hours!$F:$F,'FTE 계산'!G$2)</f>
        <v>130.4</v>
      </c>
      <c r="H417">
        <f>(SUMIFS(monthly_work_hours!$G:$G,monthly_work_hours!$A:$A,'FTE 계산'!$A417,monthly_work_hours!$F:$F,'FTE 계산'!H$2)) - (SUMIFS(monthly_work_hours!$J:$J,monthly_work_hours!$A:$A,'FTE 계산'!$A417,monthly_work_hours!$F:$F,'FTE 계산'!H$2))</f>
        <v>0</v>
      </c>
      <c r="I417">
        <f>(SUMIFS(monthly_work_hours!$G:$G,monthly_work_hours!$A:$A,'FTE 계산'!$A417,monthly_work_hours!$F:$F,'FTE 계산'!I$2)) - (SUMIFS(monthly_work_hours!$J:$J,monthly_work_hours!$A:$A,'FTE 계산'!$A417,monthly_work_hours!$F:$F,'FTE 계산'!I$2))</f>
        <v>9</v>
      </c>
      <c r="J417">
        <f>(SUMIFS(monthly_work_hours!$G:$G,monthly_work_hours!$A:$A,'FTE 계산'!$A417,monthly_work_hours!$F:$F,'FTE 계산'!J$2)) - (SUMIFS(monthly_work_hours!$J:$J,monthly_work_hours!$A:$A,'FTE 계산'!$A417,monthly_work_hours!$F:$F,'FTE 계산'!J$2))</f>
        <v>15</v>
      </c>
    </row>
    <row r="418" spans="1:10">
      <c r="A418" t="str">
        <v>G223394</v>
      </c>
      <c r="B418" t="str">
        <f>_xlfn.XLOOKUP(A418,monthly_work_hours!A:A,monthly_work_hours!B:B)</f>
        <v>전경민</v>
      </c>
      <c r="C418" t="str">
        <f>_xlfn.XLOOKUP(A418,monthly_work_hours!A:A,monthly_work_hours!C:C)</f>
        <v>IT 2팀</v>
      </c>
      <c r="D418" t="str">
        <f>_xlfn.XLOOKUP(A418,monthly_work_hours!A:A,monthly_work_hours!D:D)</f>
        <v>선임</v>
      </c>
      <c r="E418">
        <f>SUMIFS(monthly_work_hours!$K:$K,monthly_work_hours!$A:$A,'FTE 계산'!$A418,monthly_work_hours!$F:$F,'FTE 계산'!E$2)</f>
        <v>195.2</v>
      </c>
      <c r="F418">
        <f>SUMIFS(monthly_work_hours!$K:$K,monthly_work_hours!$A:$A,'FTE 계산'!$A418,monthly_work_hours!$F:$F,'FTE 계산'!F$2)</f>
        <v>169.1</v>
      </c>
      <c r="G418">
        <f>SUMIFS(monthly_work_hours!$K:$K,monthly_work_hours!$A:$A,'FTE 계산'!$A418,monthly_work_hours!$F:$F,'FTE 계산'!G$2)</f>
        <v>140.19999999999999</v>
      </c>
      <c r="H418">
        <f>(SUMIFS(monthly_work_hours!$G:$G,monthly_work_hours!$A:$A,'FTE 계산'!$A418,monthly_work_hours!$F:$F,'FTE 계산'!H$2)) - (SUMIFS(monthly_work_hours!$J:$J,monthly_work_hours!$A:$A,'FTE 계산'!$A418,monthly_work_hours!$F:$F,'FTE 계산'!H$2))</f>
        <v>19</v>
      </c>
      <c r="I418">
        <f>(SUMIFS(monthly_work_hours!$G:$G,monthly_work_hours!$A:$A,'FTE 계산'!$A418,monthly_work_hours!$F:$F,'FTE 계산'!I$2)) - (SUMIFS(monthly_work_hours!$J:$J,monthly_work_hours!$A:$A,'FTE 계산'!$A418,monthly_work_hours!$F:$F,'FTE 계산'!I$2))</f>
        <v>18</v>
      </c>
      <c r="J418">
        <f>(SUMIFS(monthly_work_hours!$G:$G,monthly_work_hours!$A:$A,'FTE 계산'!$A418,monthly_work_hours!$F:$F,'FTE 계산'!J$2)) - (SUMIFS(monthly_work_hours!$J:$J,monthly_work_hours!$A:$A,'FTE 계산'!$A418,monthly_work_hours!$F:$F,'FTE 계산'!J$2))</f>
        <v>15</v>
      </c>
    </row>
    <row r="419" spans="1:10">
      <c r="A419" t="str">
        <v>G223395</v>
      </c>
      <c r="B419" t="str">
        <f>_xlfn.XLOOKUP(A419,monthly_work_hours!A:A,monthly_work_hours!B:B)</f>
        <v>유재윤</v>
      </c>
      <c r="C419" t="str">
        <f>_xlfn.XLOOKUP(A419,monthly_work_hours!A:A,monthly_work_hours!C:C)</f>
        <v>IT 2팀</v>
      </c>
      <c r="D419" t="str">
        <f>_xlfn.XLOOKUP(A419,monthly_work_hours!A:A,monthly_work_hours!D:D)</f>
        <v>선임</v>
      </c>
      <c r="E419">
        <f>SUMIFS(monthly_work_hours!$K:$K,monthly_work_hours!$A:$A,'FTE 계산'!$A419,monthly_work_hours!$F:$F,'FTE 계산'!E$2)</f>
        <v>133.30000000000001</v>
      </c>
      <c r="F419">
        <f>SUMIFS(monthly_work_hours!$K:$K,monthly_work_hours!$A:$A,'FTE 계산'!$A419,monthly_work_hours!$F:$F,'FTE 계산'!F$2)</f>
        <v>124.4</v>
      </c>
      <c r="G419">
        <f>SUMIFS(monthly_work_hours!$K:$K,monthly_work_hours!$A:$A,'FTE 계산'!$A419,monthly_work_hours!$F:$F,'FTE 계산'!G$2)</f>
        <v>129.1</v>
      </c>
      <c r="H419">
        <f>(SUMIFS(monthly_work_hours!$G:$G,monthly_work_hours!$A:$A,'FTE 계산'!$A419,monthly_work_hours!$F:$F,'FTE 계산'!H$2)) - (SUMIFS(monthly_work_hours!$J:$J,monthly_work_hours!$A:$A,'FTE 계산'!$A419,monthly_work_hours!$F:$F,'FTE 계산'!H$2))</f>
        <v>15</v>
      </c>
      <c r="I419">
        <f>(SUMIFS(monthly_work_hours!$G:$G,monthly_work_hours!$A:$A,'FTE 계산'!$A419,monthly_work_hours!$F:$F,'FTE 계산'!I$2)) - (SUMIFS(monthly_work_hours!$J:$J,monthly_work_hours!$A:$A,'FTE 계산'!$A419,monthly_work_hours!$F:$F,'FTE 계산'!I$2))</f>
        <v>21</v>
      </c>
      <c r="J419">
        <f>(SUMIFS(monthly_work_hours!$G:$G,monthly_work_hours!$A:$A,'FTE 계산'!$A419,monthly_work_hours!$F:$F,'FTE 계산'!J$2)) - (SUMIFS(monthly_work_hours!$J:$J,monthly_work_hours!$A:$A,'FTE 계산'!$A419,monthly_work_hours!$F:$F,'FTE 계산'!J$2))</f>
        <v>15</v>
      </c>
    </row>
    <row r="420" spans="1:10">
      <c r="A420" t="str">
        <v>G223396</v>
      </c>
      <c r="B420" t="str">
        <f>_xlfn.XLOOKUP(A420,monthly_work_hours!A:A,monthly_work_hours!B:B)</f>
        <v>유지원</v>
      </c>
      <c r="C420" t="str">
        <f>_xlfn.XLOOKUP(A420,monthly_work_hours!A:A,monthly_work_hours!C:C)</f>
        <v>IT 2팀</v>
      </c>
      <c r="D420" t="str">
        <f>_xlfn.XLOOKUP(A420,monthly_work_hours!A:A,monthly_work_hours!D:D)</f>
        <v>선임</v>
      </c>
      <c r="E420">
        <f>SUMIFS(monthly_work_hours!$K:$K,monthly_work_hours!$A:$A,'FTE 계산'!$A420,monthly_work_hours!$F:$F,'FTE 계산'!E$2)</f>
        <v>178.5</v>
      </c>
      <c r="F420">
        <f>SUMIFS(monthly_work_hours!$K:$K,monthly_work_hours!$A:$A,'FTE 계산'!$A420,monthly_work_hours!$F:$F,'FTE 계산'!F$2)</f>
        <v>200.6</v>
      </c>
      <c r="G420">
        <f>SUMIFS(monthly_work_hours!$K:$K,monthly_work_hours!$A:$A,'FTE 계산'!$A420,monthly_work_hours!$F:$F,'FTE 계산'!G$2)</f>
        <v>100.3</v>
      </c>
      <c r="H420">
        <f>(SUMIFS(monthly_work_hours!$G:$G,monthly_work_hours!$A:$A,'FTE 계산'!$A420,monthly_work_hours!$F:$F,'FTE 계산'!H$2)) - (SUMIFS(monthly_work_hours!$J:$J,monthly_work_hours!$A:$A,'FTE 계산'!$A420,monthly_work_hours!$F:$F,'FTE 계산'!H$2))</f>
        <v>19</v>
      </c>
      <c r="I420">
        <f>(SUMIFS(monthly_work_hours!$G:$G,monthly_work_hours!$A:$A,'FTE 계산'!$A420,monthly_work_hours!$F:$F,'FTE 계산'!I$2)) - (SUMIFS(monthly_work_hours!$J:$J,monthly_work_hours!$A:$A,'FTE 계산'!$A420,monthly_work_hours!$F:$F,'FTE 계산'!I$2))</f>
        <v>22</v>
      </c>
      <c r="J420">
        <f>(SUMIFS(monthly_work_hours!$G:$G,monthly_work_hours!$A:$A,'FTE 계산'!$A420,monthly_work_hours!$F:$F,'FTE 계산'!J$2)) - (SUMIFS(monthly_work_hours!$J:$J,monthly_work_hours!$A:$A,'FTE 계산'!$A420,monthly_work_hours!$F:$F,'FTE 계산'!J$2))</f>
        <v>12</v>
      </c>
    </row>
    <row r="421" spans="1:10">
      <c r="A421" t="str">
        <v>G223397</v>
      </c>
      <c r="B421" t="str">
        <f>_xlfn.XLOOKUP(A421,monthly_work_hours!A:A,monthly_work_hours!B:B)</f>
        <v>서지웅</v>
      </c>
      <c r="C421" t="str">
        <f>_xlfn.XLOOKUP(A421,monthly_work_hours!A:A,monthly_work_hours!C:C)</f>
        <v>IT 2팀</v>
      </c>
      <c r="D421" t="str">
        <f>_xlfn.XLOOKUP(A421,monthly_work_hours!A:A,monthly_work_hours!D:D)</f>
        <v>사원</v>
      </c>
      <c r="E421">
        <f>SUMIFS(monthly_work_hours!$K:$K,monthly_work_hours!$A:$A,'FTE 계산'!$A421,monthly_work_hours!$F:$F,'FTE 계산'!E$2)</f>
        <v>164.4</v>
      </c>
      <c r="F421">
        <f>SUMIFS(monthly_work_hours!$K:$K,monthly_work_hours!$A:$A,'FTE 계산'!$A421,monthly_work_hours!$F:$F,'FTE 계산'!F$2)</f>
        <v>200.3</v>
      </c>
      <c r="G421">
        <f>SUMIFS(monthly_work_hours!$K:$K,monthly_work_hours!$A:$A,'FTE 계산'!$A421,monthly_work_hours!$F:$F,'FTE 계산'!G$2)</f>
        <v>145.4</v>
      </c>
      <c r="H421">
        <f>(SUMIFS(monthly_work_hours!$G:$G,monthly_work_hours!$A:$A,'FTE 계산'!$A421,monthly_work_hours!$F:$F,'FTE 계산'!H$2)) - (SUMIFS(monthly_work_hours!$J:$J,monthly_work_hours!$A:$A,'FTE 계산'!$A421,monthly_work_hours!$F:$F,'FTE 계산'!H$2))</f>
        <v>17</v>
      </c>
      <c r="I421">
        <f>(SUMIFS(monthly_work_hours!$G:$G,monthly_work_hours!$A:$A,'FTE 계산'!$A421,monthly_work_hours!$F:$F,'FTE 계산'!I$2)) - (SUMIFS(monthly_work_hours!$J:$J,monthly_work_hours!$A:$A,'FTE 계산'!$A421,monthly_work_hours!$F:$F,'FTE 계산'!I$2))</f>
        <v>22</v>
      </c>
      <c r="J421">
        <f>(SUMIFS(monthly_work_hours!$G:$G,monthly_work_hours!$A:$A,'FTE 계산'!$A421,monthly_work_hours!$F:$F,'FTE 계산'!J$2)) - (SUMIFS(monthly_work_hours!$J:$J,monthly_work_hours!$A:$A,'FTE 계산'!$A421,monthly_work_hours!$F:$F,'FTE 계산'!J$2))</f>
        <v>17</v>
      </c>
    </row>
    <row r="422" spans="1:10">
      <c r="A422" t="str">
        <v>G223398</v>
      </c>
      <c r="B422" t="str">
        <f>_xlfn.XLOOKUP(A422,monthly_work_hours!A:A,monthly_work_hours!B:B)</f>
        <v>임희정</v>
      </c>
      <c r="C422" t="str">
        <f>_xlfn.XLOOKUP(A422,monthly_work_hours!A:A,monthly_work_hours!C:C)</f>
        <v>ER팀</v>
      </c>
      <c r="D422" t="str">
        <f>_xlfn.XLOOKUP(A422,monthly_work_hours!A:A,monthly_work_hours!D:D)</f>
        <v>사원</v>
      </c>
      <c r="E422">
        <f>SUMIFS(monthly_work_hours!$K:$K,monthly_work_hours!$A:$A,'FTE 계산'!$A422,monthly_work_hours!$F:$F,'FTE 계산'!E$2)</f>
        <v>171</v>
      </c>
      <c r="F422">
        <f>SUMIFS(monthly_work_hours!$K:$K,monthly_work_hours!$A:$A,'FTE 계산'!$A422,monthly_work_hours!$F:$F,'FTE 계산'!F$2)</f>
        <v>162.1</v>
      </c>
      <c r="G422">
        <f>SUMIFS(monthly_work_hours!$K:$K,monthly_work_hours!$A:$A,'FTE 계산'!$A422,monthly_work_hours!$F:$F,'FTE 계산'!G$2)</f>
        <v>135.9</v>
      </c>
      <c r="H422">
        <f>(SUMIFS(monthly_work_hours!$G:$G,monthly_work_hours!$A:$A,'FTE 계산'!$A422,monthly_work_hours!$F:$F,'FTE 계산'!H$2)) - (SUMIFS(monthly_work_hours!$J:$J,monthly_work_hours!$A:$A,'FTE 계산'!$A422,monthly_work_hours!$F:$F,'FTE 계산'!H$2))</f>
        <v>19</v>
      </c>
      <c r="I422">
        <f>(SUMIFS(monthly_work_hours!$G:$G,monthly_work_hours!$A:$A,'FTE 계산'!$A422,monthly_work_hours!$F:$F,'FTE 계산'!I$2)) - (SUMIFS(monthly_work_hours!$J:$J,monthly_work_hours!$A:$A,'FTE 계산'!$A422,monthly_work_hours!$F:$F,'FTE 계산'!I$2))</f>
        <v>18</v>
      </c>
      <c r="J422">
        <f>(SUMIFS(monthly_work_hours!$G:$G,monthly_work_hours!$A:$A,'FTE 계산'!$A422,monthly_work_hours!$F:$F,'FTE 계산'!J$2)) - (SUMIFS(monthly_work_hours!$J:$J,monthly_work_hours!$A:$A,'FTE 계산'!$A422,monthly_work_hours!$F:$F,'FTE 계산'!J$2))</f>
        <v>15</v>
      </c>
    </row>
    <row r="423" spans="1:10">
      <c r="A423" t="str">
        <v>G223401</v>
      </c>
      <c r="B423" t="str">
        <f>_xlfn.XLOOKUP(A423,monthly_work_hours!A:A,monthly_work_hours!B:B)</f>
        <v>이진석</v>
      </c>
      <c r="C423" t="str">
        <f>_xlfn.XLOOKUP(A423,monthly_work_hours!A:A,monthly_work_hours!C:C)</f>
        <v>기획팀</v>
      </c>
      <c r="D423" t="str">
        <f>_xlfn.XLOOKUP(A423,monthly_work_hours!A:A,monthly_work_hours!D:D)</f>
        <v>책임</v>
      </c>
      <c r="E423">
        <f>SUMIFS(monthly_work_hours!$K:$K,monthly_work_hours!$A:$A,'FTE 계산'!$A423,monthly_work_hours!$F:$F,'FTE 계산'!E$2)</f>
        <v>162.69999999999999</v>
      </c>
      <c r="F423">
        <f>SUMIFS(monthly_work_hours!$K:$K,monthly_work_hours!$A:$A,'FTE 계산'!$A423,monthly_work_hours!$F:$F,'FTE 계산'!F$2)</f>
        <v>156.9</v>
      </c>
      <c r="G423">
        <f>SUMIFS(monthly_work_hours!$K:$K,monthly_work_hours!$A:$A,'FTE 계산'!$A423,monthly_work_hours!$F:$F,'FTE 계산'!G$2)</f>
        <v>170.8</v>
      </c>
      <c r="H423">
        <f>(SUMIFS(monthly_work_hours!$G:$G,monthly_work_hours!$A:$A,'FTE 계산'!$A423,monthly_work_hours!$F:$F,'FTE 계산'!H$2)) - (SUMIFS(monthly_work_hours!$J:$J,monthly_work_hours!$A:$A,'FTE 계산'!$A423,monthly_work_hours!$F:$F,'FTE 계산'!H$2))</f>
        <v>17</v>
      </c>
      <c r="I423">
        <f>(SUMIFS(monthly_work_hours!$G:$G,monthly_work_hours!$A:$A,'FTE 계산'!$A423,monthly_work_hours!$F:$F,'FTE 계산'!I$2)) - (SUMIFS(monthly_work_hours!$J:$J,monthly_work_hours!$A:$A,'FTE 계산'!$A423,monthly_work_hours!$F:$F,'FTE 계산'!I$2))</f>
        <v>15</v>
      </c>
      <c r="J423">
        <f>(SUMIFS(monthly_work_hours!$G:$G,monthly_work_hours!$A:$A,'FTE 계산'!$A423,monthly_work_hours!$F:$F,'FTE 계산'!J$2)) - (SUMIFS(monthly_work_hours!$J:$J,monthly_work_hours!$A:$A,'FTE 계산'!$A423,monthly_work_hours!$F:$F,'FTE 계산'!J$2))</f>
        <v>16</v>
      </c>
    </row>
    <row r="424" spans="1:10">
      <c r="A424" t="str">
        <v>G223408</v>
      </c>
      <c r="B424" t="str">
        <f>_xlfn.XLOOKUP(A424,monthly_work_hours!A:A,monthly_work_hours!B:B)</f>
        <v>윤다영</v>
      </c>
      <c r="C424" t="str">
        <f>_xlfn.XLOOKUP(A424,monthly_work_hours!A:A,monthly_work_hours!C:C)</f>
        <v>비서팀</v>
      </c>
      <c r="D424" t="str">
        <f>_xlfn.XLOOKUP(A424,monthly_work_hours!A:A,monthly_work_hours!D:D)</f>
        <v>선임</v>
      </c>
      <c r="E424">
        <f>SUMIFS(monthly_work_hours!$K:$K,monthly_work_hours!$A:$A,'FTE 계산'!$A424,monthly_work_hours!$F:$F,'FTE 계산'!E$2)</f>
        <v>183</v>
      </c>
      <c r="F424">
        <f>SUMIFS(monthly_work_hours!$K:$K,monthly_work_hours!$A:$A,'FTE 계산'!$A424,monthly_work_hours!$F:$F,'FTE 계산'!F$2)</f>
        <v>182.5</v>
      </c>
      <c r="G424">
        <f>SUMIFS(monthly_work_hours!$K:$K,monthly_work_hours!$A:$A,'FTE 계산'!$A424,monthly_work_hours!$F:$F,'FTE 계산'!G$2)</f>
        <v>145</v>
      </c>
      <c r="H424">
        <f>(SUMIFS(monthly_work_hours!$G:$G,monthly_work_hours!$A:$A,'FTE 계산'!$A424,monthly_work_hours!$F:$F,'FTE 계산'!H$2)) - (SUMIFS(monthly_work_hours!$J:$J,monthly_work_hours!$A:$A,'FTE 계산'!$A424,monthly_work_hours!$F:$F,'FTE 계산'!H$2))</f>
        <v>19</v>
      </c>
      <c r="I424">
        <f>(SUMIFS(monthly_work_hours!$G:$G,monthly_work_hours!$A:$A,'FTE 계산'!$A424,monthly_work_hours!$F:$F,'FTE 계산'!I$2)) - (SUMIFS(monthly_work_hours!$J:$J,monthly_work_hours!$A:$A,'FTE 계산'!$A424,monthly_work_hours!$F:$F,'FTE 계산'!I$2))</f>
        <v>19</v>
      </c>
      <c r="J424">
        <f>(SUMIFS(monthly_work_hours!$G:$G,monthly_work_hours!$A:$A,'FTE 계산'!$A424,monthly_work_hours!$F:$F,'FTE 계산'!J$2)) - (SUMIFS(monthly_work_hours!$J:$J,monthly_work_hours!$A:$A,'FTE 계산'!$A424,monthly_work_hours!$F:$F,'FTE 계산'!J$2))</f>
        <v>16</v>
      </c>
    </row>
    <row r="425" spans="1:10">
      <c r="A425" t="str">
        <v>G223411</v>
      </c>
      <c r="B425" t="str">
        <f>_xlfn.XLOOKUP(A425,monthly_work_hours!A:A,monthly_work_hours!B:B)</f>
        <v>손민정</v>
      </c>
      <c r="C425" t="str">
        <f>_xlfn.XLOOKUP(A425,monthly_work_hours!A:A,monthly_work_hours!C:C)</f>
        <v>SL기술지원팀</v>
      </c>
      <c r="D425" t="str">
        <f>_xlfn.XLOOKUP(A425,monthly_work_hours!A:A,monthly_work_hours!D:D)</f>
        <v>선임</v>
      </c>
      <c r="E425">
        <f>SUMIFS(monthly_work_hours!$K:$K,monthly_work_hours!$A:$A,'FTE 계산'!$A425,monthly_work_hours!$F:$F,'FTE 계산'!E$2)</f>
        <v>143.1</v>
      </c>
      <c r="F425">
        <f>SUMIFS(monthly_work_hours!$K:$K,monthly_work_hours!$A:$A,'FTE 계산'!$A425,monthly_work_hours!$F:$F,'FTE 계산'!F$2)</f>
        <v>186.3</v>
      </c>
      <c r="G425">
        <f>SUMIFS(monthly_work_hours!$K:$K,monthly_work_hours!$A:$A,'FTE 계산'!$A425,monthly_work_hours!$F:$F,'FTE 계산'!G$2)</f>
        <v>133.9</v>
      </c>
      <c r="H425">
        <f>(SUMIFS(monthly_work_hours!$G:$G,monthly_work_hours!$A:$A,'FTE 계산'!$A425,monthly_work_hours!$F:$F,'FTE 계산'!H$2)) - (SUMIFS(monthly_work_hours!$J:$J,monthly_work_hours!$A:$A,'FTE 계산'!$A425,monthly_work_hours!$F:$F,'FTE 계산'!H$2))</f>
        <v>16</v>
      </c>
      <c r="I425">
        <f>(SUMIFS(monthly_work_hours!$G:$G,monthly_work_hours!$A:$A,'FTE 계산'!$A425,monthly_work_hours!$F:$F,'FTE 계산'!I$2)) - (SUMIFS(monthly_work_hours!$J:$J,monthly_work_hours!$A:$A,'FTE 계산'!$A425,monthly_work_hours!$F:$F,'FTE 계산'!I$2))</f>
        <v>19</v>
      </c>
      <c r="J425">
        <f>(SUMIFS(monthly_work_hours!$G:$G,monthly_work_hours!$A:$A,'FTE 계산'!$A425,monthly_work_hours!$F:$F,'FTE 계산'!J$2)) - (SUMIFS(monthly_work_hours!$J:$J,monthly_work_hours!$A:$A,'FTE 계산'!$A425,monthly_work_hours!$F:$F,'FTE 계산'!J$2))</f>
        <v>15</v>
      </c>
    </row>
    <row r="426" spans="1:10">
      <c r="A426" t="str">
        <v>G223412</v>
      </c>
      <c r="B426" t="str">
        <f>_xlfn.XLOOKUP(A426,monthly_work_hours!A:A,monthly_work_hours!B:B)</f>
        <v>강명주</v>
      </c>
      <c r="C426" t="str">
        <f>_xlfn.XLOOKUP(A426,monthly_work_hours!A:A,monthly_work_hours!C:C)</f>
        <v>IT 1팀</v>
      </c>
      <c r="D426" t="str">
        <f>_xlfn.XLOOKUP(A426,monthly_work_hours!A:A,monthly_work_hours!D:D)</f>
        <v>책임</v>
      </c>
      <c r="E426">
        <f>SUMIFS(monthly_work_hours!$K:$K,monthly_work_hours!$A:$A,'FTE 계산'!$A426,monthly_work_hours!$F:$F,'FTE 계산'!E$2)</f>
        <v>719.5</v>
      </c>
      <c r="F426">
        <f>SUMIFS(monthly_work_hours!$K:$K,monthly_work_hours!$A:$A,'FTE 계산'!$A426,monthly_work_hours!$F:$F,'FTE 계산'!F$2)</f>
        <v>743.5</v>
      </c>
      <c r="G426">
        <f>SUMIFS(monthly_work_hours!$K:$K,monthly_work_hours!$A:$A,'FTE 계산'!$A426,monthly_work_hours!$F:$F,'FTE 계산'!G$2)</f>
        <v>615.20000000000005</v>
      </c>
      <c r="H426">
        <f>(SUMIFS(monthly_work_hours!$G:$G,monthly_work_hours!$A:$A,'FTE 계산'!$A426,monthly_work_hours!$F:$F,'FTE 계산'!H$2)) - (SUMIFS(monthly_work_hours!$J:$J,monthly_work_hours!$A:$A,'FTE 계산'!$A426,monthly_work_hours!$F:$F,'FTE 계산'!H$2))</f>
        <v>21</v>
      </c>
      <c r="I426">
        <f>(SUMIFS(monthly_work_hours!$G:$G,monthly_work_hours!$A:$A,'FTE 계산'!$A426,monthly_work_hours!$F:$F,'FTE 계산'!I$2)) - (SUMIFS(monthly_work_hours!$J:$J,monthly_work_hours!$A:$A,'FTE 계산'!$A426,monthly_work_hours!$F:$F,'FTE 계산'!I$2))</f>
        <v>23</v>
      </c>
      <c r="J426">
        <f>(SUMIFS(monthly_work_hours!$G:$G,monthly_work_hours!$A:$A,'FTE 계산'!$A426,monthly_work_hours!$F:$F,'FTE 계산'!J$2)) - (SUMIFS(monthly_work_hours!$J:$J,monthly_work_hours!$A:$A,'FTE 계산'!$A426,monthly_work_hours!$F:$F,'FTE 계산'!J$2))</f>
        <v>18</v>
      </c>
    </row>
    <row r="427" spans="1:10">
      <c r="A427" t="str">
        <v>G224001</v>
      </c>
      <c r="B427" t="str">
        <f>_xlfn.XLOOKUP(A427,monthly_work_hours!A:A,monthly_work_hours!B:B)</f>
        <v>황은정</v>
      </c>
      <c r="C427" t="str">
        <f>_xlfn.XLOOKUP(A427,monthly_work_hours!A:A,monthly_work_hours!C:C)</f>
        <v>BI지원팀</v>
      </c>
      <c r="D427" t="str">
        <f>_xlfn.XLOOKUP(A427,monthly_work_hours!A:A,monthly_work_hours!D:D)</f>
        <v>사원</v>
      </c>
      <c r="E427">
        <f>SUMIFS(monthly_work_hours!$K:$K,monthly_work_hours!$A:$A,'FTE 계산'!$A427,monthly_work_hours!$F:$F,'FTE 계산'!E$2)</f>
        <v>170.3</v>
      </c>
      <c r="F427">
        <f>SUMIFS(monthly_work_hours!$K:$K,monthly_work_hours!$A:$A,'FTE 계산'!$A427,monthly_work_hours!$F:$F,'FTE 계산'!F$2)</f>
        <v>166.8</v>
      </c>
      <c r="G427">
        <f>SUMIFS(monthly_work_hours!$K:$K,monthly_work_hours!$A:$A,'FTE 계산'!$A427,monthly_work_hours!$F:$F,'FTE 계산'!G$2)</f>
        <v>143.4</v>
      </c>
      <c r="H427">
        <f>(SUMIFS(monthly_work_hours!$G:$G,monthly_work_hours!$A:$A,'FTE 계산'!$A427,monthly_work_hours!$F:$F,'FTE 계산'!H$2)) - (SUMIFS(monthly_work_hours!$J:$J,monthly_work_hours!$A:$A,'FTE 계산'!$A427,monthly_work_hours!$F:$F,'FTE 계산'!H$2))</f>
        <v>18</v>
      </c>
      <c r="I427">
        <f>(SUMIFS(monthly_work_hours!$G:$G,monthly_work_hours!$A:$A,'FTE 계산'!$A427,monthly_work_hours!$F:$F,'FTE 계산'!I$2)) - (SUMIFS(monthly_work_hours!$J:$J,monthly_work_hours!$A:$A,'FTE 계산'!$A427,monthly_work_hours!$F:$F,'FTE 계산'!I$2))</f>
        <v>18</v>
      </c>
      <c r="J427">
        <f>(SUMIFS(monthly_work_hours!$G:$G,monthly_work_hours!$A:$A,'FTE 계산'!$A427,monthly_work_hours!$F:$F,'FTE 계산'!J$2)) - (SUMIFS(monthly_work_hours!$J:$J,monthly_work_hours!$A:$A,'FTE 계산'!$A427,monthly_work_hours!$F:$F,'FTE 계산'!J$2))</f>
        <v>16</v>
      </c>
    </row>
    <row r="428" spans="1:10">
      <c r="A428" t="str">
        <v>G224003</v>
      </c>
      <c r="B428" t="str">
        <f>_xlfn.XLOOKUP(A428,monthly_work_hours!A:A,monthly_work_hours!B:B)</f>
        <v>한별</v>
      </c>
      <c r="C428" t="str">
        <f>_xlfn.XLOOKUP(A428,monthly_work_hours!A:A,monthly_work_hours!C:C)</f>
        <v>TPE개발팀</v>
      </c>
      <c r="D428" t="str">
        <f>_xlfn.XLOOKUP(A428,monthly_work_hours!A:A,monthly_work_hours!D:D)</f>
        <v>사원</v>
      </c>
      <c r="E428">
        <f>SUMIFS(monthly_work_hours!$K:$K,monthly_work_hours!$A:$A,'FTE 계산'!$A428,monthly_work_hours!$F:$F,'FTE 계산'!E$2)</f>
        <v>144.1</v>
      </c>
      <c r="F428">
        <f>SUMIFS(monthly_work_hours!$K:$K,monthly_work_hours!$A:$A,'FTE 계산'!$A428,monthly_work_hours!$F:$F,'FTE 계산'!F$2)</f>
        <v>143.6</v>
      </c>
      <c r="G428">
        <f>SUMIFS(monthly_work_hours!$K:$K,monthly_work_hours!$A:$A,'FTE 계산'!$A428,monthly_work_hours!$F:$F,'FTE 계산'!G$2)</f>
        <v>116.2</v>
      </c>
      <c r="H428">
        <f>(SUMIFS(monthly_work_hours!$G:$G,monthly_work_hours!$A:$A,'FTE 계산'!$A428,monthly_work_hours!$F:$F,'FTE 계산'!H$2)) - (SUMIFS(monthly_work_hours!$J:$J,monthly_work_hours!$A:$A,'FTE 계산'!$A428,monthly_work_hours!$F:$F,'FTE 계산'!H$2))</f>
        <v>16</v>
      </c>
      <c r="I428">
        <f>(SUMIFS(monthly_work_hours!$G:$G,monthly_work_hours!$A:$A,'FTE 계산'!$A428,monthly_work_hours!$F:$F,'FTE 계산'!I$2)) - (SUMIFS(monthly_work_hours!$J:$J,monthly_work_hours!$A:$A,'FTE 계산'!$A428,monthly_work_hours!$F:$F,'FTE 계산'!I$2))</f>
        <v>16</v>
      </c>
      <c r="J428">
        <f>(SUMIFS(monthly_work_hours!$G:$G,monthly_work_hours!$A:$A,'FTE 계산'!$A428,monthly_work_hours!$F:$F,'FTE 계산'!J$2)) - (SUMIFS(monthly_work_hours!$J:$J,monthly_work_hours!$A:$A,'FTE 계산'!$A428,monthly_work_hours!$F:$F,'FTE 계산'!J$2))</f>
        <v>13</v>
      </c>
    </row>
    <row r="429" spans="1:10">
      <c r="A429" t="str">
        <v>G224004</v>
      </c>
      <c r="B429" t="str">
        <f>_xlfn.XLOOKUP(A429,monthly_work_hours!A:A,monthly_work_hours!B:B)</f>
        <v>전준우</v>
      </c>
      <c r="C429" t="str">
        <f>_xlfn.XLOOKUP(A429,monthly_work_hours!A:A,monthly_work_hours!C:C)</f>
        <v>기술전략화팀</v>
      </c>
      <c r="D429" t="str">
        <f>_xlfn.XLOOKUP(A429,monthly_work_hours!A:A,monthly_work_hours!D:D)</f>
        <v>사원</v>
      </c>
      <c r="E429">
        <f>SUMIFS(monthly_work_hours!$K:$K,monthly_work_hours!$A:$A,'FTE 계산'!$A429,monthly_work_hours!$F:$F,'FTE 계산'!E$2)</f>
        <v>166.4</v>
      </c>
      <c r="F429">
        <f>SUMIFS(monthly_work_hours!$K:$K,monthly_work_hours!$A:$A,'FTE 계산'!$A429,monthly_work_hours!$F:$F,'FTE 계산'!F$2)</f>
        <v>174.1</v>
      </c>
      <c r="G429">
        <f>SUMIFS(monthly_work_hours!$K:$K,monthly_work_hours!$A:$A,'FTE 계산'!$A429,monthly_work_hours!$F:$F,'FTE 계산'!G$2)</f>
        <v>132.5</v>
      </c>
      <c r="H429">
        <f>(SUMIFS(monthly_work_hours!$G:$G,monthly_work_hours!$A:$A,'FTE 계산'!$A429,monthly_work_hours!$F:$F,'FTE 계산'!H$2)) - (SUMIFS(monthly_work_hours!$J:$J,monthly_work_hours!$A:$A,'FTE 계산'!$A429,monthly_work_hours!$F:$F,'FTE 계산'!H$2))</f>
        <v>18</v>
      </c>
      <c r="I429">
        <f>(SUMIFS(monthly_work_hours!$G:$G,monthly_work_hours!$A:$A,'FTE 계산'!$A429,monthly_work_hours!$F:$F,'FTE 계산'!I$2)) - (SUMIFS(monthly_work_hours!$J:$J,monthly_work_hours!$A:$A,'FTE 계산'!$A429,monthly_work_hours!$F:$F,'FTE 계산'!I$2))</f>
        <v>19</v>
      </c>
      <c r="J429">
        <f>(SUMIFS(monthly_work_hours!$G:$G,monthly_work_hours!$A:$A,'FTE 계산'!$A429,monthly_work_hours!$F:$F,'FTE 계산'!J$2)) - (SUMIFS(monthly_work_hours!$J:$J,monthly_work_hours!$A:$A,'FTE 계산'!$A429,monthly_work_hours!$F:$F,'FTE 계산'!J$2))</f>
        <v>15</v>
      </c>
    </row>
    <row r="430" spans="1:10">
      <c r="A430" t="str">
        <v>G224005</v>
      </c>
      <c r="B430" t="str">
        <f>_xlfn.XLOOKUP(A430,monthly_work_hours!A:A,monthly_work_hours!B:B)</f>
        <v>김민규</v>
      </c>
      <c r="C430" t="str">
        <f>_xlfn.XLOOKUP(A430,monthly_work_hours!A:A,monthly_work_hours!C:C)</f>
        <v>기술전략화팀</v>
      </c>
      <c r="D430" t="str">
        <f>_xlfn.XLOOKUP(A430,monthly_work_hours!A:A,monthly_work_hours!D:D)</f>
        <v>사원</v>
      </c>
      <c r="E430">
        <f>SUMIFS(monthly_work_hours!$K:$K,monthly_work_hours!$A:$A,'FTE 계산'!$A430,monthly_work_hours!$F:$F,'FTE 계산'!E$2)</f>
        <v>190.7</v>
      </c>
      <c r="F430">
        <f>SUMIFS(monthly_work_hours!$K:$K,monthly_work_hours!$A:$A,'FTE 계산'!$A430,monthly_work_hours!$F:$F,'FTE 계산'!F$2)</f>
        <v>153.4</v>
      </c>
      <c r="G430">
        <f>SUMIFS(monthly_work_hours!$K:$K,monthly_work_hours!$A:$A,'FTE 계산'!$A430,monthly_work_hours!$F:$F,'FTE 계산'!G$2)</f>
        <v>148.19999999999999</v>
      </c>
      <c r="H430">
        <f>(SUMIFS(monthly_work_hours!$G:$G,monthly_work_hours!$A:$A,'FTE 계산'!$A430,monthly_work_hours!$F:$F,'FTE 계산'!H$2)) - (SUMIFS(monthly_work_hours!$J:$J,monthly_work_hours!$A:$A,'FTE 계산'!$A430,monthly_work_hours!$F:$F,'FTE 계산'!H$2))</f>
        <v>19</v>
      </c>
      <c r="I430">
        <f>(SUMIFS(monthly_work_hours!$G:$G,monthly_work_hours!$A:$A,'FTE 계산'!$A430,monthly_work_hours!$F:$F,'FTE 계산'!I$2)) - (SUMIFS(monthly_work_hours!$J:$J,monthly_work_hours!$A:$A,'FTE 계산'!$A430,monthly_work_hours!$F:$F,'FTE 계산'!I$2))</f>
        <v>17</v>
      </c>
      <c r="J430">
        <f>(SUMIFS(monthly_work_hours!$G:$G,monthly_work_hours!$A:$A,'FTE 계산'!$A430,monthly_work_hours!$F:$F,'FTE 계산'!J$2)) - (SUMIFS(monthly_work_hours!$J:$J,monthly_work_hours!$A:$A,'FTE 계산'!$A430,monthly_work_hours!$F:$F,'FTE 계산'!J$2))</f>
        <v>16</v>
      </c>
    </row>
    <row r="431" spans="1:10">
      <c r="A431" t="str">
        <v>G224006</v>
      </c>
      <c r="B431" t="str">
        <f>_xlfn.XLOOKUP(A431,monthly_work_hours!A:A,monthly_work_hours!B:B)</f>
        <v>김민관</v>
      </c>
      <c r="C431" t="str">
        <f>_xlfn.XLOOKUP(A431,monthly_work_hours!A:A,monthly_work_hours!C:C)</f>
        <v>기획팀</v>
      </c>
      <c r="D431" t="str">
        <f>_xlfn.XLOOKUP(A431,monthly_work_hours!A:A,monthly_work_hours!D:D)</f>
        <v>사원</v>
      </c>
      <c r="E431">
        <f>SUMIFS(monthly_work_hours!$K:$K,monthly_work_hours!$A:$A,'FTE 계산'!$A431,monthly_work_hours!$F:$F,'FTE 계산'!E$2)</f>
        <v>182</v>
      </c>
      <c r="F431">
        <f>SUMIFS(monthly_work_hours!$K:$K,monthly_work_hours!$A:$A,'FTE 계산'!$A431,monthly_work_hours!$F:$F,'FTE 계산'!F$2)</f>
        <v>208.6</v>
      </c>
      <c r="G431">
        <f>SUMIFS(monthly_work_hours!$K:$K,monthly_work_hours!$A:$A,'FTE 계산'!$A431,monthly_work_hours!$F:$F,'FTE 계산'!G$2)</f>
        <v>103.4</v>
      </c>
      <c r="H431">
        <f>(SUMIFS(monthly_work_hours!$G:$G,monthly_work_hours!$A:$A,'FTE 계산'!$A431,monthly_work_hours!$F:$F,'FTE 계산'!H$2)) - (SUMIFS(monthly_work_hours!$J:$J,monthly_work_hours!$A:$A,'FTE 계산'!$A431,monthly_work_hours!$F:$F,'FTE 계산'!H$2))</f>
        <v>19</v>
      </c>
      <c r="I431">
        <f>(SUMIFS(monthly_work_hours!$G:$G,monthly_work_hours!$A:$A,'FTE 계산'!$A431,monthly_work_hours!$F:$F,'FTE 계산'!I$2)) - (SUMIFS(monthly_work_hours!$J:$J,monthly_work_hours!$A:$A,'FTE 계산'!$A431,monthly_work_hours!$F:$F,'FTE 계산'!I$2))</f>
        <v>22</v>
      </c>
      <c r="J431">
        <f>(SUMIFS(monthly_work_hours!$G:$G,monthly_work_hours!$A:$A,'FTE 계산'!$A431,monthly_work_hours!$F:$F,'FTE 계산'!J$2)) - (SUMIFS(monthly_work_hours!$J:$J,monthly_work_hours!$A:$A,'FTE 계산'!$A431,monthly_work_hours!$F:$F,'FTE 계산'!J$2))</f>
        <v>12</v>
      </c>
    </row>
    <row r="432" spans="1:10">
      <c r="A432" t="str">
        <v>G224007</v>
      </c>
      <c r="B432" t="str">
        <f>_xlfn.XLOOKUP(A432,monthly_work_hours!A:A,monthly_work_hours!B:B)</f>
        <v>이선준</v>
      </c>
      <c r="C432" t="str">
        <f>_xlfn.XLOOKUP(A432,monthly_work_hours!A:A,monthly_work_hours!C:C)</f>
        <v>인더스트리얼 설계개발팀</v>
      </c>
      <c r="D432" t="str">
        <f>_xlfn.XLOOKUP(A432,monthly_work_hours!A:A,monthly_work_hours!D:D)</f>
        <v>사원</v>
      </c>
      <c r="E432">
        <f>SUMIFS(monthly_work_hours!$K:$K,monthly_work_hours!$A:$A,'FTE 계산'!$A432,monthly_work_hours!$F:$F,'FTE 계산'!E$2)</f>
        <v>202.8</v>
      </c>
      <c r="F432">
        <f>SUMIFS(monthly_work_hours!$K:$K,monthly_work_hours!$A:$A,'FTE 계산'!$A432,monthly_work_hours!$F:$F,'FTE 계산'!F$2)</f>
        <v>178.8</v>
      </c>
      <c r="G432">
        <f>SUMIFS(monthly_work_hours!$K:$K,monthly_work_hours!$A:$A,'FTE 계산'!$A432,monthly_work_hours!$F:$F,'FTE 계산'!G$2)</f>
        <v>163.6</v>
      </c>
      <c r="H432">
        <f>(SUMIFS(monthly_work_hours!$G:$G,monthly_work_hours!$A:$A,'FTE 계산'!$A432,monthly_work_hours!$F:$F,'FTE 계산'!H$2)) - (SUMIFS(monthly_work_hours!$J:$J,monthly_work_hours!$A:$A,'FTE 계산'!$A432,monthly_work_hours!$F:$F,'FTE 계산'!H$2))</f>
        <v>19</v>
      </c>
      <c r="I432">
        <f>(SUMIFS(monthly_work_hours!$G:$G,monthly_work_hours!$A:$A,'FTE 계산'!$A432,monthly_work_hours!$F:$F,'FTE 계산'!I$2)) - (SUMIFS(monthly_work_hours!$J:$J,monthly_work_hours!$A:$A,'FTE 계산'!$A432,monthly_work_hours!$F:$F,'FTE 계산'!I$2))</f>
        <v>19</v>
      </c>
      <c r="J432">
        <f>(SUMIFS(monthly_work_hours!$G:$G,monthly_work_hours!$A:$A,'FTE 계산'!$A432,monthly_work_hours!$F:$F,'FTE 계산'!J$2)) - (SUMIFS(monthly_work_hours!$J:$J,monthly_work_hours!$A:$A,'FTE 계산'!$A432,monthly_work_hours!$F:$F,'FTE 계산'!J$2))</f>
        <v>15</v>
      </c>
    </row>
    <row r="433" spans="1:10">
      <c r="A433" t="str">
        <v>G224008</v>
      </c>
      <c r="B433" t="str">
        <f>_xlfn.XLOOKUP(A433,monthly_work_hours!A:A,monthly_work_hours!B:B)</f>
        <v>최빛나</v>
      </c>
      <c r="C433" t="str">
        <f>_xlfn.XLOOKUP(A433,monthly_work_hours!A:A,monthly_work_hours!C:C)</f>
        <v>인더스트리얼 설계개발팀</v>
      </c>
      <c r="D433" t="str">
        <f>_xlfn.XLOOKUP(A433,monthly_work_hours!A:A,monthly_work_hours!D:D)</f>
        <v>사원</v>
      </c>
      <c r="E433">
        <f>SUMIFS(monthly_work_hours!$K:$K,monthly_work_hours!$A:$A,'FTE 계산'!$A433,monthly_work_hours!$F:$F,'FTE 계산'!E$2)</f>
        <v>174.2</v>
      </c>
      <c r="F433">
        <f>SUMIFS(monthly_work_hours!$K:$K,monthly_work_hours!$A:$A,'FTE 계산'!$A433,monthly_work_hours!$F:$F,'FTE 계산'!F$2)</f>
        <v>158.9</v>
      </c>
      <c r="G433">
        <f>SUMIFS(monthly_work_hours!$K:$K,monthly_work_hours!$A:$A,'FTE 계산'!$A433,monthly_work_hours!$F:$F,'FTE 계산'!G$2)</f>
        <v>146.1</v>
      </c>
      <c r="H433">
        <f>(SUMIFS(monthly_work_hours!$G:$G,monthly_work_hours!$A:$A,'FTE 계산'!$A433,monthly_work_hours!$F:$F,'FTE 계산'!H$2)) - (SUMIFS(monthly_work_hours!$J:$J,monthly_work_hours!$A:$A,'FTE 계산'!$A433,monthly_work_hours!$F:$F,'FTE 계산'!H$2))</f>
        <v>19</v>
      </c>
      <c r="I433">
        <f>(SUMIFS(monthly_work_hours!$G:$G,monthly_work_hours!$A:$A,'FTE 계산'!$A433,monthly_work_hours!$F:$F,'FTE 계산'!I$2)) - (SUMIFS(monthly_work_hours!$J:$J,monthly_work_hours!$A:$A,'FTE 계산'!$A433,monthly_work_hours!$F:$F,'FTE 계산'!I$2))</f>
        <v>18</v>
      </c>
      <c r="J433">
        <f>(SUMIFS(monthly_work_hours!$G:$G,monthly_work_hours!$A:$A,'FTE 계산'!$A433,monthly_work_hours!$F:$F,'FTE 계산'!J$2)) - (SUMIFS(monthly_work_hours!$J:$J,monthly_work_hours!$A:$A,'FTE 계산'!$A433,monthly_work_hours!$F:$F,'FTE 계산'!J$2))</f>
        <v>16</v>
      </c>
    </row>
    <row r="434" spans="1:10">
      <c r="A434" t="str">
        <v>G224009</v>
      </c>
      <c r="B434" t="str">
        <f>_xlfn.XLOOKUP(A434,monthly_work_hours!A:A,monthly_work_hours!B:B)</f>
        <v>최성현</v>
      </c>
      <c r="C434" t="str">
        <f>_xlfn.XLOOKUP(A434,monthly_work_hours!A:A,monthly_work_hours!C:C)</f>
        <v>인더스트리얼재료팀</v>
      </c>
      <c r="D434" t="str">
        <f>_xlfn.XLOOKUP(A434,monthly_work_hours!A:A,monthly_work_hours!D:D)</f>
        <v>사원</v>
      </c>
      <c r="E434">
        <f>SUMIFS(monthly_work_hours!$K:$K,monthly_work_hours!$A:$A,'FTE 계산'!$A434,monthly_work_hours!$F:$F,'FTE 계산'!E$2)</f>
        <v>169.8</v>
      </c>
      <c r="F434">
        <f>SUMIFS(monthly_work_hours!$K:$K,monthly_work_hours!$A:$A,'FTE 계산'!$A434,monthly_work_hours!$F:$F,'FTE 계산'!F$2)</f>
        <v>171.9</v>
      </c>
      <c r="G434">
        <f>SUMIFS(monthly_work_hours!$K:$K,monthly_work_hours!$A:$A,'FTE 계산'!$A434,monthly_work_hours!$F:$F,'FTE 계산'!G$2)</f>
        <v>125.2</v>
      </c>
      <c r="H434">
        <f>(SUMIFS(monthly_work_hours!$G:$G,monthly_work_hours!$A:$A,'FTE 계산'!$A434,monthly_work_hours!$F:$F,'FTE 계산'!H$2)) - (SUMIFS(monthly_work_hours!$J:$J,monthly_work_hours!$A:$A,'FTE 계산'!$A434,monthly_work_hours!$F:$F,'FTE 계산'!H$2))</f>
        <v>18</v>
      </c>
      <c r="I434">
        <f>(SUMIFS(monthly_work_hours!$G:$G,monthly_work_hours!$A:$A,'FTE 계산'!$A434,monthly_work_hours!$F:$F,'FTE 계산'!I$2)) - (SUMIFS(monthly_work_hours!$J:$J,monthly_work_hours!$A:$A,'FTE 계산'!$A434,monthly_work_hours!$F:$F,'FTE 계산'!I$2))</f>
        <v>19</v>
      </c>
      <c r="J434">
        <f>(SUMIFS(monthly_work_hours!$G:$G,monthly_work_hours!$A:$A,'FTE 계산'!$A434,monthly_work_hours!$F:$F,'FTE 계산'!J$2)) - (SUMIFS(monthly_work_hours!$J:$J,monthly_work_hours!$A:$A,'FTE 계산'!$A434,monthly_work_hours!$F:$F,'FTE 계산'!J$2))</f>
        <v>14</v>
      </c>
    </row>
    <row r="435" spans="1:10">
      <c r="A435" t="str">
        <v>G224010</v>
      </c>
      <c r="B435" t="str">
        <f>_xlfn.XLOOKUP(A435,monthly_work_hours!A:A,monthly_work_hours!B:B)</f>
        <v>우상범</v>
      </c>
      <c r="C435" t="str">
        <f>_xlfn.XLOOKUP(A435,monthly_work_hours!A:A,monthly_work_hours!C:C)</f>
        <v>ME사업팀</v>
      </c>
      <c r="D435" t="str">
        <f>_xlfn.XLOOKUP(A435,monthly_work_hours!A:A,monthly_work_hours!D:D)</f>
        <v>선임</v>
      </c>
      <c r="E435">
        <f>SUMIFS(monthly_work_hours!$K:$K,monthly_work_hours!$A:$A,'FTE 계산'!$A435,monthly_work_hours!$F:$F,'FTE 계산'!E$2)</f>
        <v>165.7</v>
      </c>
      <c r="F435">
        <f>SUMIFS(monthly_work_hours!$K:$K,monthly_work_hours!$A:$A,'FTE 계산'!$A435,monthly_work_hours!$F:$F,'FTE 계산'!F$2)</f>
        <v>166.2</v>
      </c>
      <c r="G435">
        <f>SUMIFS(monthly_work_hours!$K:$K,monthly_work_hours!$A:$A,'FTE 계산'!$A435,monthly_work_hours!$F:$F,'FTE 계산'!G$2)</f>
        <v>140.30000000000001</v>
      </c>
      <c r="H435">
        <f>(SUMIFS(monthly_work_hours!$G:$G,monthly_work_hours!$A:$A,'FTE 계산'!$A435,monthly_work_hours!$F:$F,'FTE 계산'!H$2)) - (SUMIFS(monthly_work_hours!$J:$J,monthly_work_hours!$A:$A,'FTE 계산'!$A435,monthly_work_hours!$F:$F,'FTE 계산'!H$2))</f>
        <v>18</v>
      </c>
      <c r="I435">
        <f>(SUMIFS(monthly_work_hours!$G:$G,monthly_work_hours!$A:$A,'FTE 계산'!$A435,monthly_work_hours!$F:$F,'FTE 계산'!I$2)) - (SUMIFS(monthly_work_hours!$J:$J,monthly_work_hours!$A:$A,'FTE 계산'!$A435,monthly_work_hours!$F:$F,'FTE 계산'!I$2))</f>
        <v>18</v>
      </c>
      <c r="J435">
        <f>(SUMIFS(monthly_work_hours!$G:$G,monthly_work_hours!$A:$A,'FTE 계산'!$A435,monthly_work_hours!$F:$F,'FTE 계산'!J$2)) - (SUMIFS(monthly_work_hours!$J:$J,monthly_work_hours!$A:$A,'FTE 계산'!$A435,monthly_work_hours!$F:$F,'FTE 계산'!J$2))</f>
        <v>15</v>
      </c>
    </row>
    <row r="436" spans="1:10">
      <c r="A436" t="str">
        <v>G224011</v>
      </c>
      <c r="B436" t="str">
        <f>_xlfn.XLOOKUP(A436,monthly_work_hours!A:A,monthly_work_hours!B:B)</f>
        <v>정수현</v>
      </c>
      <c r="C436" t="str">
        <f>_xlfn.XLOOKUP(A436,monthly_work_hours!A:A,monthly_work_hours!C:C)</f>
        <v>ME사업팀</v>
      </c>
      <c r="D436" t="str">
        <f>_xlfn.XLOOKUP(A436,monthly_work_hours!A:A,monthly_work_hours!D:D)</f>
        <v>사원</v>
      </c>
      <c r="E436">
        <f>SUMIFS(monthly_work_hours!$K:$K,monthly_work_hours!$A:$A,'FTE 계산'!$A436,monthly_work_hours!$F:$F,'FTE 계산'!E$2)</f>
        <v>174.9</v>
      </c>
      <c r="F436">
        <f>SUMIFS(monthly_work_hours!$K:$K,monthly_work_hours!$A:$A,'FTE 계산'!$A436,monthly_work_hours!$F:$F,'FTE 계산'!F$2)</f>
        <v>177.8</v>
      </c>
      <c r="G436">
        <f>SUMIFS(monthly_work_hours!$K:$K,monthly_work_hours!$A:$A,'FTE 계산'!$A436,monthly_work_hours!$F:$F,'FTE 계산'!G$2)</f>
        <v>148.80000000000001</v>
      </c>
      <c r="H436">
        <f>(SUMIFS(monthly_work_hours!$G:$G,monthly_work_hours!$A:$A,'FTE 계산'!$A436,monthly_work_hours!$F:$F,'FTE 계산'!H$2)) - (SUMIFS(monthly_work_hours!$J:$J,monthly_work_hours!$A:$A,'FTE 계산'!$A436,monthly_work_hours!$F:$F,'FTE 계산'!H$2))</f>
        <v>17</v>
      </c>
      <c r="I436">
        <f>(SUMIFS(monthly_work_hours!$G:$G,monthly_work_hours!$A:$A,'FTE 계산'!$A436,monthly_work_hours!$F:$F,'FTE 계산'!I$2)) - (SUMIFS(monthly_work_hours!$J:$J,monthly_work_hours!$A:$A,'FTE 계산'!$A436,monthly_work_hours!$F:$F,'FTE 계산'!I$2))</f>
        <v>18</v>
      </c>
      <c r="J436">
        <f>(SUMIFS(monthly_work_hours!$G:$G,monthly_work_hours!$A:$A,'FTE 계산'!$A436,monthly_work_hours!$F:$F,'FTE 계산'!J$2)) - (SUMIFS(monthly_work_hours!$J:$J,monthly_work_hours!$A:$A,'FTE 계산'!$A436,monthly_work_hours!$F:$F,'FTE 계산'!J$2))</f>
        <v>16</v>
      </c>
    </row>
    <row r="437" spans="1:10">
      <c r="A437" t="str">
        <v>G224014</v>
      </c>
      <c r="B437" t="str">
        <f>_xlfn.XLOOKUP(A437,monthly_work_hours!A:A,monthly_work_hours!B:B)</f>
        <v>이상민</v>
      </c>
      <c r="C437" t="str">
        <f>_xlfn.XLOOKUP(A437,monthly_work_hours!A:A,monthly_work_hours!C:C)</f>
        <v>기술전략화팀</v>
      </c>
      <c r="D437" t="str">
        <f>_xlfn.XLOOKUP(A437,monthly_work_hours!A:A,monthly_work_hours!D:D)</f>
        <v>책임</v>
      </c>
      <c r="E437">
        <f>SUMIFS(monthly_work_hours!$K:$K,monthly_work_hours!$A:$A,'FTE 계산'!$A437,monthly_work_hours!$F:$F,'FTE 계산'!E$2)</f>
        <v>179.1</v>
      </c>
      <c r="F437">
        <f>SUMIFS(monthly_work_hours!$K:$K,monthly_work_hours!$A:$A,'FTE 계산'!$A437,monthly_work_hours!$F:$F,'FTE 계산'!F$2)</f>
        <v>168.4</v>
      </c>
      <c r="G437">
        <f>SUMIFS(monthly_work_hours!$K:$K,monthly_work_hours!$A:$A,'FTE 계산'!$A437,monthly_work_hours!$F:$F,'FTE 계산'!G$2)</f>
        <v>110.6</v>
      </c>
      <c r="H437">
        <f>(SUMIFS(monthly_work_hours!$G:$G,monthly_work_hours!$A:$A,'FTE 계산'!$A437,monthly_work_hours!$F:$F,'FTE 계산'!H$2)) - (SUMIFS(monthly_work_hours!$J:$J,monthly_work_hours!$A:$A,'FTE 계산'!$A437,monthly_work_hours!$F:$F,'FTE 계산'!H$2))</f>
        <v>18</v>
      </c>
      <c r="I437">
        <f>(SUMIFS(monthly_work_hours!$G:$G,monthly_work_hours!$A:$A,'FTE 계산'!$A437,monthly_work_hours!$F:$F,'FTE 계산'!I$2)) - (SUMIFS(monthly_work_hours!$J:$J,monthly_work_hours!$A:$A,'FTE 계산'!$A437,monthly_work_hours!$F:$F,'FTE 계산'!I$2))</f>
        <v>17</v>
      </c>
      <c r="J437">
        <f>(SUMIFS(monthly_work_hours!$G:$G,monthly_work_hours!$A:$A,'FTE 계산'!$A437,monthly_work_hours!$F:$F,'FTE 계산'!J$2)) - (SUMIFS(monthly_work_hours!$J:$J,monthly_work_hours!$A:$A,'FTE 계산'!$A437,monthly_work_hours!$F:$F,'FTE 계산'!J$2))</f>
        <v>12</v>
      </c>
    </row>
    <row r="438" spans="1:10">
      <c r="A438" t="str">
        <v>G224015</v>
      </c>
      <c r="B438" t="str">
        <f>_xlfn.XLOOKUP(A438,monthly_work_hours!A:A,monthly_work_hours!B:B)</f>
        <v>김효경</v>
      </c>
      <c r="C438" t="str">
        <f>_xlfn.XLOOKUP(A438,monthly_work_hours!A:A,monthly_work_hours!C:C)</f>
        <v>기술전략화팀</v>
      </c>
      <c r="D438" t="str">
        <f>_xlfn.XLOOKUP(A438,monthly_work_hours!A:A,monthly_work_hours!D:D)</f>
        <v>책임</v>
      </c>
      <c r="E438">
        <f>SUMIFS(monthly_work_hours!$K:$K,monthly_work_hours!$A:$A,'FTE 계산'!$A438,monthly_work_hours!$F:$F,'FTE 계산'!E$2)</f>
        <v>162.80000000000001</v>
      </c>
      <c r="F438">
        <f>SUMIFS(monthly_work_hours!$K:$K,monthly_work_hours!$A:$A,'FTE 계산'!$A438,monthly_work_hours!$F:$F,'FTE 계산'!F$2)</f>
        <v>162.6</v>
      </c>
      <c r="G438">
        <f>SUMIFS(monthly_work_hours!$K:$K,monthly_work_hours!$A:$A,'FTE 계산'!$A438,monthly_work_hours!$F:$F,'FTE 계산'!G$2)</f>
        <v>136.69999999999999</v>
      </c>
      <c r="H438">
        <f>(SUMIFS(monthly_work_hours!$G:$G,monthly_work_hours!$A:$A,'FTE 계산'!$A438,monthly_work_hours!$F:$F,'FTE 계산'!H$2)) - (SUMIFS(monthly_work_hours!$J:$J,monthly_work_hours!$A:$A,'FTE 계산'!$A438,monthly_work_hours!$F:$F,'FTE 계산'!H$2))</f>
        <v>18</v>
      </c>
      <c r="I438">
        <f>(SUMIFS(monthly_work_hours!$G:$G,monthly_work_hours!$A:$A,'FTE 계산'!$A438,monthly_work_hours!$F:$F,'FTE 계산'!I$2)) - (SUMIFS(monthly_work_hours!$J:$J,monthly_work_hours!$A:$A,'FTE 계산'!$A438,monthly_work_hours!$F:$F,'FTE 계산'!I$2))</f>
        <v>17</v>
      </c>
      <c r="J438">
        <f>(SUMIFS(monthly_work_hours!$G:$G,monthly_work_hours!$A:$A,'FTE 계산'!$A438,monthly_work_hours!$F:$F,'FTE 계산'!J$2)) - (SUMIFS(monthly_work_hours!$J:$J,monthly_work_hours!$A:$A,'FTE 계산'!$A438,monthly_work_hours!$F:$F,'FTE 계산'!J$2))</f>
        <v>15</v>
      </c>
    </row>
    <row r="439" spans="1:10">
      <c r="A439" t="str">
        <v>G224016</v>
      </c>
      <c r="B439" t="str">
        <f>_xlfn.XLOOKUP(A439,monthly_work_hours!A:A,monthly_work_hours!B:B)</f>
        <v>송보현</v>
      </c>
      <c r="C439" t="str">
        <f>_xlfn.XLOOKUP(A439,monthly_work_hours!A:A,monthly_work_hours!C:C)</f>
        <v>자산/법무팀</v>
      </c>
      <c r="D439" t="str">
        <f>_xlfn.XLOOKUP(A439,monthly_work_hours!A:A,monthly_work_hours!D:D)</f>
        <v>사원</v>
      </c>
      <c r="E439">
        <f>SUMIFS(monthly_work_hours!$K:$K,monthly_work_hours!$A:$A,'FTE 계산'!$A439,monthly_work_hours!$F:$F,'FTE 계산'!E$2)</f>
        <v>153.1</v>
      </c>
      <c r="F439">
        <f>SUMIFS(monthly_work_hours!$K:$K,monthly_work_hours!$A:$A,'FTE 계산'!$A439,monthly_work_hours!$F:$F,'FTE 계산'!F$2)</f>
        <v>211.3</v>
      </c>
      <c r="G439">
        <f>SUMIFS(monthly_work_hours!$K:$K,monthly_work_hours!$A:$A,'FTE 계산'!$A439,monthly_work_hours!$F:$F,'FTE 계산'!G$2)</f>
        <v>141.4</v>
      </c>
      <c r="H439">
        <f>(SUMIFS(monthly_work_hours!$G:$G,monthly_work_hours!$A:$A,'FTE 계산'!$A439,monthly_work_hours!$F:$F,'FTE 계산'!H$2)) - (SUMIFS(monthly_work_hours!$J:$J,monthly_work_hours!$A:$A,'FTE 계산'!$A439,monthly_work_hours!$F:$F,'FTE 계산'!H$2))</f>
        <v>16</v>
      </c>
      <c r="I439">
        <f>(SUMIFS(monthly_work_hours!$G:$G,monthly_work_hours!$A:$A,'FTE 계산'!$A439,monthly_work_hours!$F:$F,'FTE 계산'!I$2)) - (SUMIFS(monthly_work_hours!$J:$J,monthly_work_hours!$A:$A,'FTE 계산'!$A439,monthly_work_hours!$F:$F,'FTE 계산'!I$2))</f>
        <v>23</v>
      </c>
      <c r="J439">
        <f>(SUMIFS(monthly_work_hours!$G:$G,monthly_work_hours!$A:$A,'FTE 계산'!$A439,monthly_work_hours!$F:$F,'FTE 계산'!J$2)) - (SUMIFS(monthly_work_hours!$J:$J,monthly_work_hours!$A:$A,'FTE 계산'!$A439,monthly_work_hours!$F:$F,'FTE 계산'!J$2))</f>
        <v>17</v>
      </c>
    </row>
    <row r="440" spans="1:10">
      <c r="A440" t="str">
        <v>G224017</v>
      </c>
      <c r="B440" t="str">
        <f>_xlfn.XLOOKUP(A440,monthly_work_hours!A:A,monthly_work_hours!B:B)</f>
        <v>정경목</v>
      </c>
      <c r="C440" t="str">
        <f>_xlfn.XLOOKUP(A440,monthly_work_hours!A:A,monthly_work_hours!C:C)</f>
        <v>IT 1팀</v>
      </c>
      <c r="D440" t="str">
        <f>_xlfn.XLOOKUP(A440,monthly_work_hours!A:A,monthly_work_hours!D:D)</f>
        <v>선임</v>
      </c>
      <c r="E440">
        <f>SUMIFS(monthly_work_hours!$K:$K,monthly_work_hours!$A:$A,'FTE 계산'!$A440,monthly_work_hours!$F:$F,'FTE 계산'!E$2)</f>
        <v>300.39999999999998</v>
      </c>
      <c r="F440">
        <f>SUMIFS(monthly_work_hours!$K:$K,monthly_work_hours!$A:$A,'FTE 계산'!$A440,monthly_work_hours!$F:$F,'FTE 계산'!F$2)</f>
        <v>315.8</v>
      </c>
      <c r="G440">
        <f>SUMIFS(monthly_work_hours!$K:$K,monthly_work_hours!$A:$A,'FTE 계산'!$A440,monthly_work_hours!$F:$F,'FTE 계산'!G$2)</f>
        <v>153.30000000000001</v>
      </c>
      <c r="H440">
        <f>(SUMIFS(monthly_work_hours!$G:$G,monthly_work_hours!$A:$A,'FTE 계산'!$A440,monthly_work_hours!$F:$F,'FTE 계산'!H$2)) - (SUMIFS(monthly_work_hours!$J:$J,monthly_work_hours!$A:$A,'FTE 계산'!$A440,monthly_work_hours!$F:$F,'FTE 계산'!H$2))</f>
        <v>20</v>
      </c>
      <c r="I440">
        <f>(SUMIFS(monthly_work_hours!$G:$G,monthly_work_hours!$A:$A,'FTE 계산'!$A440,monthly_work_hours!$F:$F,'FTE 계산'!I$2)) - (SUMIFS(monthly_work_hours!$J:$J,monthly_work_hours!$A:$A,'FTE 계산'!$A440,monthly_work_hours!$F:$F,'FTE 계산'!I$2))</f>
        <v>23</v>
      </c>
      <c r="J440">
        <f>(SUMIFS(monthly_work_hours!$G:$G,monthly_work_hours!$A:$A,'FTE 계산'!$A440,monthly_work_hours!$F:$F,'FTE 계산'!J$2)) - (SUMIFS(monthly_work_hours!$J:$J,monthly_work_hours!$A:$A,'FTE 계산'!$A440,monthly_work_hours!$F:$F,'FTE 계산'!J$2))</f>
        <v>13</v>
      </c>
    </row>
    <row r="441" spans="1:10">
      <c r="A441" t="str">
        <v>G224036</v>
      </c>
      <c r="B441" t="str">
        <f>_xlfn.XLOOKUP(A441,monthly_work_hours!A:A,monthly_work_hours!B:B)</f>
        <v>현가을</v>
      </c>
      <c r="C441" t="str">
        <f>_xlfn.XLOOKUP(A441,monthly_work_hours!A:A,monthly_work_hours!C:C)</f>
        <v>자산/법무팀</v>
      </c>
      <c r="D441" t="str">
        <f>_xlfn.XLOOKUP(A441,monthly_work_hours!A:A,monthly_work_hours!D:D)</f>
        <v>책임</v>
      </c>
      <c r="E441">
        <f>SUMIFS(monthly_work_hours!$K:$K,monthly_work_hours!$A:$A,'FTE 계산'!$A441,monthly_work_hours!$F:$F,'FTE 계산'!E$2)</f>
        <v>167.3</v>
      </c>
      <c r="F441">
        <f>SUMIFS(monthly_work_hours!$K:$K,monthly_work_hours!$A:$A,'FTE 계산'!$A441,monthly_work_hours!$F:$F,'FTE 계산'!F$2)</f>
        <v>234.6</v>
      </c>
      <c r="G441">
        <f>SUMIFS(monthly_work_hours!$K:$K,monthly_work_hours!$A:$A,'FTE 계산'!$A441,monthly_work_hours!$F:$F,'FTE 계산'!G$2)</f>
        <v>144.1</v>
      </c>
      <c r="H441">
        <f>(SUMIFS(monthly_work_hours!$G:$G,monthly_work_hours!$A:$A,'FTE 계산'!$A441,monthly_work_hours!$F:$F,'FTE 계산'!H$2)) - (SUMIFS(monthly_work_hours!$J:$J,monthly_work_hours!$A:$A,'FTE 계산'!$A441,monthly_work_hours!$F:$F,'FTE 계산'!H$2))</f>
        <v>18</v>
      </c>
      <c r="I441">
        <f>(SUMIFS(monthly_work_hours!$G:$G,monthly_work_hours!$A:$A,'FTE 계산'!$A441,monthly_work_hours!$F:$F,'FTE 계산'!I$2)) - (SUMIFS(monthly_work_hours!$J:$J,monthly_work_hours!$A:$A,'FTE 계산'!$A441,monthly_work_hours!$F:$F,'FTE 계산'!I$2))</f>
        <v>23</v>
      </c>
      <c r="J441">
        <f>(SUMIFS(monthly_work_hours!$G:$G,monthly_work_hours!$A:$A,'FTE 계산'!$A441,monthly_work_hours!$F:$F,'FTE 계산'!J$2)) - (SUMIFS(monthly_work_hours!$J:$J,monthly_work_hours!$A:$A,'FTE 계산'!$A441,monthly_work_hours!$F:$F,'FTE 계산'!J$2))</f>
        <v>17</v>
      </c>
    </row>
    <row r="442" spans="1:10">
      <c r="A442" t="str">
        <v>G224046</v>
      </c>
      <c r="B442" t="str">
        <f>_xlfn.XLOOKUP(A442,monthly_work_hours!A:A,monthly_work_hours!B:B)</f>
        <v>정진영</v>
      </c>
      <c r="C442" t="str">
        <f>_xlfn.XLOOKUP(A442,monthly_work_hours!A:A,monthly_work_hours!C:C)</f>
        <v>SL기술지원팀</v>
      </c>
      <c r="D442" t="str">
        <f>_xlfn.XLOOKUP(A442,monthly_work_hours!A:A,monthly_work_hours!D:D)</f>
        <v>선임</v>
      </c>
      <c r="E442">
        <f>SUMIFS(monthly_work_hours!$K:$K,monthly_work_hours!$A:$A,'FTE 계산'!$A442,monthly_work_hours!$F:$F,'FTE 계산'!E$2)</f>
        <v>177.4</v>
      </c>
      <c r="F442">
        <f>SUMIFS(monthly_work_hours!$K:$K,monthly_work_hours!$A:$A,'FTE 계산'!$A442,monthly_work_hours!$F:$F,'FTE 계산'!F$2)</f>
        <v>175.2</v>
      </c>
      <c r="G442">
        <f>SUMIFS(monthly_work_hours!$K:$K,monthly_work_hours!$A:$A,'FTE 계산'!$A442,monthly_work_hours!$F:$F,'FTE 계산'!G$2)</f>
        <v>137.30000000000001</v>
      </c>
      <c r="H442">
        <f>(SUMIFS(monthly_work_hours!$G:$G,monthly_work_hours!$A:$A,'FTE 계산'!$A442,monthly_work_hours!$F:$F,'FTE 계산'!H$2)) - (SUMIFS(monthly_work_hours!$J:$J,monthly_work_hours!$A:$A,'FTE 계산'!$A442,monthly_work_hours!$F:$F,'FTE 계산'!H$2))</f>
        <v>18</v>
      </c>
      <c r="I442">
        <f>(SUMIFS(monthly_work_hours!$G:$G,monthly_work_hours!$A:$A,'FTE 계산'!$A442,monthly_work_hours!$F:$F,'FTE 계산'!I$2)) - (SUMIFS(monthly_work_hours!$J:$J,monthly_work_hours!$A:$A,'FTE 계산'!$A442,monthly_work_hours!$F:$F,'FTE 계산'!I$2))</f>
        <v>18</v>
      </c>
      <c r="J442">
        <f>(SUMIFS(monthly_work_hours!$G:$G,monthly_work_hours!$A:$A,'FTE 계산'!$A442,monthly_work_hours!$F:$F,'FTE 계산'!J$2)) - (SUMIFS(monthly_work_hours!$J:$J,monthly_work_hours!$A:$A,'FTE 계산'!$A442,monthly_work_hours!$F:$F,'FTE 계산'!J$2))</f>
        <v>15</v>
      </c>
    </row>
    <row r="443" spans="1:10">
      <c r="A443" t="str">
        <v>G224047</v>
      </c>
      <c r="B443" t="str">
        <f>_xlfn.XLOOKUP(A443,monthly_work_hours!A:A,monthly_work_hours!B:B)</f>
        <v>조재현</v>
      </c>
      <c r="C443" t="str">
        <f>_xlfn.XLOOKUP(A443,monthly_work_hours!A:A,monthly_work_hours!C:C)</f>
        <v>PI팀</v>
      </c>
      <c r="D443" t="str">
        <f>_xlfn.XLOOKUP(A443,monthly_work_hours!A:A,monthly_work_hours!D:D)</f>
        <v>선임</v>
      </c>
      <c r="E443">
        <f>SUMIFS(monthly_work_hours!$K:$K,monthly_work_hours!$A:$A,'FTE 계산'!$A443,monthly_work_hours!$F:$F,'FTE 계산'!E$2)</f>
        <v>472.8</v>
      </c>
      <c r="F443">
        <f>SUMIFS(monthly_work_hours!$K:$K,monthly_work_hours!$A:$A,'FTE 계산'!$A443,monthly_work_hours!$F:$F,'FTE 계산'!F$2)</f>
        <v>484.2</v>
      </c>
      <c r="G443">
        <f>SUMIFS(monthly_work_hours!$K:$K,monthly_work_hours!$A:$A,'FTE 계산'!$A443,monthly_work_hours!$F:$F,'FTE 계산'!G$2)</f>
        <v>272.7</v>
      </c>
      <c r="H443">
        <f>(SUMIFS(monthly_work_hours!$G:$G,monthly_work_hours!$A:$A,'FTE 계산'!$A443,monthly_work_hours!$F:$F,'FTE 계산'!H$2)) - (SUMIFS(monthly_work_hours!$J:$J,monthly_work_hours!$A:$A,'FTE 계산'!$A443,monthly_work_hours!$F:$F,'FTE 계산'!H$2))</f>
        <v>17</v>
      </c>
      <c r="I443">
        <f>(SUMIFS(monthly_work_hours!$G:$G,monthly_work_hours!$A:$A,'FTE 계산'!$A443,monthly_work_hours!$F:$F,'FTE 계산'!I$2)) - (SUMIFS(monthly_work_hours!$J:$J,monthly_work_hours!$A:$A,'FTE 계산'!$A443,monthly_work_hours!$F:$F,'FTE 계산'!I$2))</f>
        <v>23</v>
      </c>
      <c r="J443">
        <f>(SUMIFS(monthly_work_hours!$G:$G,monthly_work_hours!$A:$A,'FTE 계산'!$A443,monthly_work_hours!$F:$F,'FTE 계산'!J$2)) - (SUMIFS(monthly_work_hours!$J:$J,monthly_work_hours!$A:$A,'FTE 계산'!$A443,monthly_work_hours!$F:$F,'FTE 계산'!J$2))</f>
        <v>14</v>
      </c>
    </row>
    <row r="444" spans="1:10">
      <c r="A444" t="str">
        <v>G224048</v>
      </c>
      <c r="B444" t="str">
        <f>_xlfn.XLOOKUP(A444,monthly_work_hours!A:A,monthly_work_hours!B:B)</f>
        <v>여찬주</v>
      </c>
      <c r="C444" t="str">
        <f>_xlfn.XLOOKUP(A444,monthly_work_hours!A:A,monthly_work_hours!C:C)</f>
        <v>인더스트리얼 설계개발팀</v>
      </c>
      <c r="D444" t="str">
        <f>_xlfn.XLOOKUP(A444,monthly_work_hours!A:A,monthly_work_hours!D:D)</f>
        <v>사원</v>
      </c>
      <c r="E444">
        <f>SUMIFS(monthly_work_hours!$K:$K,monthly_work_hours!$A:$A,'FTE 계산'!$A444,monthly_work_hours!$F:$F,'FTE 계산'!E$2)</f>
        <v>168.3</v>
      </c>
      <c r="F444">
        <f>SUMIFS(monthly_work_hours!$K:$K,monthly_work_hours!$A:$A,'FTE 계산'!$A444,monthly_work_hours!$F:$F,'FTE 계산'!F$2)</f>
        <v>172.5</v>
      </c>
      <c r="G444">
        <f>SUMIFS(monthly_work_hours!$K:$K,monthly_work_hours!$A:$A,'FTE 계산'!$A444,monthly_work_hours!$F:$F,'FTE 계산'!G$2)</f>
        <v>147.30000000000001</v>
      </c>
      <c r="H444">
        <f>(SUMIFS(monthly_work_hours!$G:$G,monthly_work_hours!$A:$A,'FTE 계산'!$A444,monthly_work_hours!$F:$F,'FTE 계산'!H$2)) - (SUMIFS(monthly_work_hours!$J:$J,monthly_work_hours!$A:$A,'FTE 계산'!$A444,monthly_work_hours!$F:$F,'FTE 계산'!H$2))</f>
        <v>15</v>
      </c>
      <c r="I444">
        <f>(SUMIFS(monthly_work_hours!$G:$G,monthly_work_hours!$A:$A,'FTE 계산'!$A444,monthly_work_hours!$F:$F,'FTE 계산'!I$2)) - (SUMIFS(monthly_work_hours!$J:$J,monthly_work_hours!$A:$A,'FTE 계산'!$A444,monthly_work_hours!$F:$F,'FTE 계산'!I$2))</f>
        <v>18</v>
      </c>
      <c r="J444">
        <f>(SUMIFS(monthly_work_hours!$G:$G,monthly_work_hours!$A:$A,'FTE 계산'!$A444,monthly_work_hours!$F:$F,'FTE 계산'!J$2)) - (SUMIFS(monthly_work_hours!$J:$J,monthly_work_hours!$A:$A,'FTE 계산'!$A444,monthly_work_hours!$F:$F,'FTE 계산'!J$2))</f>
        <v>16</v>
      </c>
    </row>
    <row r="445" spans="1:10">
      <c r="A445" t="str">
        <v>G224049</v>
      </c>
      <c r="B445" t="str">
        <f>_xlfn.XLOOKUP(A445,monthly_work_hours!A:A,monthly_work_hours!B:B)</f>
        <v>김건수</v>
      </c>
      <c r="C445" t="str">
        <f>_xlfn.XLOOKUP(A445,monthly_work_hours!A:A,monthly_work_hours!C:C)</f>
        <v>FL재료팀</v>
      </c>
      <c r="D445" t="str">
        <f>_xlfn.XLOOKUP(A445,monthly_work_hours!A:A,monthly_work_hours!D:D)</f>
        <v>사원</v>
      </c>
      <c r="E445">
        <f>SUMIFS(monthly_work_hours!$K:$K,monthly_work_hours!$A:$A,'FTE 계산'!$A445,monthly_work_hours!$F:$F,'FTE 계산'!E$2)</f>
        <v>153.1</v>
      </c>
      <c r="F445">
        <f>SUMIFS(monthly_work_hours!$K:$K,monthly_work_hours!$A:$A,'FTE 계산'!$A445,monthly_work_hours!$F:$F,'FTE 계산'!F$2)</f>
        <v>202.3</v>
      </c>
      <c r="G445">
        <f>SUMIFS(monthly_work_hours!$K:$K,monthly_work_hours!$A:$A,'FTE 계산'!$A445,monthly_work_hours!$F:$F,'FTE 계산'!G$2)</f>
        <v>131.19999999999999</v>
      </c>
      <c r="H445">
        <f>(SUMIFS(monthly_work_hours!$G:$G,monthly_work_hours!$A:$A,'FTE 계산'!$A445,monthly_work_hours!$F:$F,'FTE 계산'!H$2)) - (SUMIFS(monthly_work_hours!$J:$J,monthly_work_hours!$A:$A,'FTE 계산'!$A445,monthly_work_hours!$F:$F,'FTE 계산'!H$2))</f>
        <v>17</v>
      </c>
      <c r="I445">
        <f>(SUMIFS(monthly_work_hours!$G:$G,monthly_work_hours!$A:$A,'FTE 계산'!$A445,monthly_work_hours!$F:$F,'FTE 계산'!I$2)) - (SUMIFS(monthly_work_hours!$J:$J,monthly_work_hours!$A:$A,'FTE 계산'!$A445,monthly_work_hours!$F:$F,'FTE 계산'!I$2))</f>
        <v>19</v>
      </c>
      <c r="J445">
        <f>(SUMIFS(monthly_work_hours!$G:$G,monthly_work_hours!$A:$A,'FTE 계산'!$A445,monthly_work_hours!$F:$F,'FTE 계산'!J$2)) - (SUMIFS(monthly_work_hours!$J:$J,monthly_work_hours!$A:$A,'FTE 계산'!$A445,monthly_work_hours!$F:$F,'FTE 계산'!J$2))</f>
        <v>15</v>
      </c>
    </row>
    <row r="446" spans="1:10">
      <c r="A446" t="str">
        <v>G224051</v>
      </c>
      <c r="B446" t="str">
        <f>_xlfn.XLOOKUP(A446,monthly_work_hours!A:A,monthly_work_hours!B:B)</f>
        <v>최영진</v>
      </c>
      <c r="C446" t="str">
        <f>_xlfn.XLOOKUP(A446,monthly_work_hours!A:A,monthly_work_hours!C:C)</f>
        <v>Defense사업팀</v>
      </c>
      <c r="D446" t="str">
        <f>_xlfn.XLOOKUP(A446,monthly_work_hours!A:A,monthly_work_hours!D:D)</f>
        <v>사원</v>
      </c>
      <c r="E446">
        <f>SUMIFS(monthly_work_hours!$K:$K,monthly_work_hours!$A:$A,'FTE 계산'!$A446,monthly_work_hours!$F:$F,'FTE 계산'!E$2)</f>
        <v>167.6</v>
      </c>
      <c r="F446">
        <f>SUMIFS(monthly_work_hours!$K:$K,monthly_work_hours!$A:$A,'FTE 계산'!$A446,monthly_work_hours!$F:$F,'FTE 계산'!F$2)</f>
        <v>176</v>
      </c>
      <c r="G446">
        <f>SUMIFS(monthly_work_hours!$K:$K,monthly_work_hours!$A:$A,'FTE 계산'!$A446,monthly_work_hours!$F:$F,'FTE 계산'!G$2)</f>
        <v>139.69999999999999</v>
      </c>
      <c r="H446">
        <f>(SUMIFS(monthly_work_hours!$G:$G,monthly_work_hours!$A:$A,'FTE 계산'!$A446,monthly_work_hours!$F:$F,'FTE 계산'!H$2)) - (SUMIFS(monthly_work_hours!$J:$J,monthly_work_hours!$A:$A,'FTE 계산'!$A446,monthly_work_hours!$F:$F,'FTE 계산'!H$2))</f>
        <v>18</v>
      </c>
      <c r="I446">
        <f>(SUMIFS(monthly_work_hours!$G:$G,monthly_work_hours!$A:$A,'FTE 계산'!$A446,monthly_work_hours!$F:$F,'FTE 계산'!I$2)) - (SUMIFS(monthly_work_hours!$J:$J,monthly_work_hours!$A:$A,'FTE 계산'!$A446,monthly_work_hours!$F:$F,'FTE 계산'!I$2))</f>
        <v>19</v>
      </c>
      <c r="J446">
        <f>(SUMIFS(monthly_work_hours!$G:$G,monthly_work_hours!$A:$A,'FTE 계산'!$A446,monthly_work_hours!$F:$F,'FTE 계산'!J$2)) - (SUMIFS(monthly_work_hours!$J:$J,monthly_work_hours!$A:$A,'FTE 계산'!$A446,monthly_work_hours!$F:$F,'FTE 계산'!J$2))</f>
        <v>16</v>
      </c>
    </row>
    <row r="447" spans="1:10">
      <c r="A447" t="str">
        <v>G224052</v>
      </c>
      <c r="B447" t="str">
        <f>_xlfn.XLOOKUP(A447,monthly_work_hours!A:A,monthly_work_hours!B:B)</f>
        <v>문지원</v>
      </c>
      <c r="C447" t="str">
        <f>_xlfn.XLOOKUP(A447,monthly_work_hours!A:A,monthly_work_hours!C:C)</f>
        <v>PI팀</v>
      </c>
      <c r="D447" t="str">
        <f>_xlfn.XLOOKUP(A447,monthly_work_hours!A:A,monthly_work_hours!D:D)</f>
        <v>사원</v>
      </c>
      <c r="E447">
        <f>SUMIFS(monthly_work_hours!$K:$K,monthly_work_hours!$A:$A,'FTE 계산'!$A447,monthly_work_hours!$F:$F,'FTE 계산'!E$2)</f>
        <v>282</v>
      </c>
      <c r="F447">
        <f>SUMIFS(monthly_work_hours!$K:$K,monthly_work_hours!$A:$A,'FTE 계산'!$A447,monthly_work_hours!$F:$F,'FTE 계산'!F$2)</f>
        <v>338</v>
      </c>
      <c r="G447">
        <f>SUMIFS(monthly_work_hours!$K:$K,monthly_work_hours!$A:$A,'FTE 계산'!$A447,monthly_work_hours!$F:$F,'FTE 계산'!G$2)</f>
        <v>134.19999999999999</v>
      </c>
      <c r="H447">
        <f>(SUMIFS(monthly_work_hours!$G:$G,monthly_work_hours!$A:$A,'FTE 계산'!$A447,monthly_work_hours!$F:$F,'FTE 계산'!H$2)) - (SUMIFS(monthly_work_hours!$J:$J,monthly_work_hours!$A:$A,'FTE 계산'!$A447,monthly_work_hours!$F:$F,'FTE 계산'!H$2))</f>
        <v>20</v>
      </c>
      <c r="I447">
        <f>(SUMIFS(monthly_work_hours!$G:$G,monthly_work_hours!$A:$A,'FTE 계산'!$A447,monthly_work_hours!$F:$F,'FTE 계산'!I$2)) - (SUMIFS(monthly_work_hours!$J:$J,monthly_work_hours!$A:$A,'FTE 계산'!$A447,monthly_work_hours!$F:$F,'FTE 계산'!I$2))</f>
        <v>23</v>
      </c>
      <c r="J447">
        <f>(SUMIFS(monthly_work_hours!$G:$G,monthly_work_hours!$A:$A,'FTE 계산'!$A447,monthly_work_hours!$F:$F,'FTE 계산'!J$2)) - (SUMIFS(monthly_work_hours!$J:$J,monthly_work_hours!$A:$A,'FTE 계산'!$A447,monthly_work_hours!$F:$F,'FTE 계산'!J$2))</f>
        <v>14</v>
      </c>
    </row>
    <row r="448" spans="1:10">
      <c r="A448" t="str">
        <v>G224053</v>
      </c>
      <c r="B448" t="str">
        <f>_xlfn.XLOOKUP(A448,monthly_work_hours!A:A,monthly_work_hours!B:B)</f>
        <v>이예진</v>
      </c>
      <c r="C448" t="str">
        <f>_xlfn.XLOOKUP(A448,monthly_work_hours!A:A,monthly_work_hours!C:C)</f>
        <v>TPE개발팀</v>
      </c>
      <c r="D448" t="str">
        <f>_xlfn.XLOOKUP(A448,monthly_work_hours!A:A,monthly_work_hours!D:D)</f>
        <v>사원</v>
      </c>
      <c r="E448">
        <f>SUMIFS(monthly_work_hours!$K:$K,monthly_work_hours!$A:$A,'FTE 계산'!$A448,monthly_work_hours!$F:$F,'FTE 계산'!E$2)</f>
        <v>150.6</v>
      </c>
      <c r="F448">
        <f>SUMIFS(monthly_work_hours!$K:$K,monthly_work_hours!$A:$A,'FTE 계산'!$A448,monthly_work_hours!$F:$F,'FTE 계산'!F$2)</f>
        <v>209.4</v>
      </c>
      <c r="G448">
        <f>SUMIFS(monthly_work_hours!$K:$K,monthly_work_hours!$A:$A,'FTE 계산'!$A448,monthly_work_hours!$F:$F,'FTE 계산'!G$2)</f>
        <v>133.80000000000001</v>
      </c>
      <c r="H448">
        <f>(SUMIFS(monthly_work_hours!$G:$G,monthly_work_hours!$A:$A,'FTE 계산'!$A448,monthly_work_hours!$F:$F,'FTE 계산'!H$2)) - (SUMIFS(monthly_work_hours!$J:$J,monthly_work_hours!$A:$A,'FTE 계산'!$A448,monthly_work_hours!$F:$F,'FTE 계산'!H$2))</f>
        <v>17</v>
      </c>
      <c r="I448">
        <f>(SUMIFS(monthly_work_hours!$G:$G,monthly_work_hours!$A:$A,'FTE 계산'!$A448,monthly_work_hours!$F:$F,'FTE 계산'!I$2)) - (SUMIFS(monthly_work_hours!$J:$J,monthly_work_hours!$A:$A,'FTE 계산'!$A448,monthly_work_hours!$F:$F,'FTE 계산'!I$2))</f>
        <v>18</v>
      </c>
      <c r="J448">
        <f>(SUMIFS(monthly_work_hours!$G:$G,monthly_work_hours!$A:$A,'FTE 계산'!$A448,monthly_work_hours!$F:$F,'FTE 계산'!J$2)) - (SUMIFS(monthly_work_hours!$J:$J,monthly_work_hours!$A:$A,'FTE 계산'!$A448,monthly_work_hours!$F:$F,'FTE 계산'!J$2))</f>
        <v>15</v>
      </c>
    </row>
    <row r="449" spans="1:10">
      <c r="A449" t="str">
        <v>G224058</v>
      </c>
      <c r="B449" t="str">
        <f>_xlfn.XLOOKUP(A449,monthly_work_hours!A:A,monthly_work_hours!B:B)</f>
        <v>함종혁</v>
      </c>
      <c r="C449" t="str">
        <f>_xlfn.XLOOKUP(A449,monthly_work_hours!A:A,monthly_work_hours!C:C)</f>
        <v>환경안전팀</v>
      </c>
      <c r="D449" t="str">
        <f>_xlfn.XLOOKUP(A449,monthly_work_hours!A:A,monthly_work_hours!D:D)</f>
        <v>선임</v>
      </c>
      <c r="E449">
        <f>SUMIFS(monthly_work_hours!$K:$K,monthly_work_hours!$A:$A,'FTE 계산'!$A449,monthly_work_hours!$F:$F,'FTE 계산'!E$2)</f>
        <v>150.30000000000001</v>
      </c>
      <c r="F449">
        <f>SUMIFS(monthly_work_hours!$K:$K,monthly_work_hours!$A:$A,'FTE 계산'!$A449,monthly_work_hours!$F:$F,'FTE 계산'!F$2)</f>
        <v>242.3</v>
      </c>
      <c r="G449">
        <f>SUMIFS(monthly_work_hours!$K:$K,monthly_work_hours!$A:$A,'FTE 계산'!$A449,monthly_work_hours!$F:$F,'FTE 계산'!G$2)</f>
        <v>70.8</v>
      </c>
      <c r="H449">
        <f>(SUMIFS(monthly_work_hours!$G:$G,monthly_work_hours!$A:$A,'FTE 계산'!$A449,monthly_work_hours!$F:$F,'FTE 계산'!H$2)) - (SUMIFS(monthly_work_hours!$J:$J,monthly_work_hours!$A:$A,'FTE 계산'!$A449,monthly_work_hours!$F:$F,'FTE 계산'!H$2))</f>
        <v>13</v>
      </c>
      <c r="I449">
        <f>(SUMIFS(monthly_work_hours!$G:$G,monthly_work_hours!$A:$A,'FTE 계산'!$A449,monthly_work_hours!$F:$F,'FTE 계산'!I$2)) - (SUMIFS(monthly_work_hours!$J:$J,monthly_work_hours!$A:$A,'FTE 계산'!$A449,monthly_work_hours!$F:$F,'FTE 계산'!I$2))</f>
        <v>22</v>
      </c>
      <c r="J449">
        <f>(SUMIFS(monthly_work_hours!$G:$G,monthly_work_hours!$A:$A,'FTE 계산'!$A449,monthly_work_hours!$F:$F,'FTE 계산'!J$2)) - (SUMIFS(monthly_work_hours!$J:$J,monthly_work_hours!$A:$A,'FTE 계산'!$A449,monthly_work_hours!$F:$F,'FTE 계산'!J$2))</f>
        <v>7</v>
      </c>
    </row>
    <row r="450" spans="1:10">
      <c r="A450" t="str">
        <v>G224059</v>
      </c>
      <c r="B450" t="str">
        <f>_xlfn.XLOOKUP(A450,monthly_work_hours!A:A,monthly_work_hours!B:B)</f>
        <v>홍지혜</v>
      </c>
      <c r="C450" t="str">
        <f>_xlfn.XLOOKUP(A450,monthly_work_hours!A:A,monthly_work_hours!C:C)</f>
        <v>기획팀</v>
      </c>
      <c r="D450" t="str">
        <f>_xlfn.XLOOKUP(A450,monthly_work_hours!A:A,monthly_work_hours!D:D)</f>
        <v>선임</v>
      </c>
      <c r="E450">
        <f>SUMIFS(monthly_work_hours!$K:$K,monthly_work_hours!$A:$A,'FTE 계산'!$A450,monthly_work_hours!$F:$F,'FTE 계산'!E$2)</f>
        <v>185.4</v>
      </c>
      <c r="F450">
        <f>SUMIFS(monthly_work_hours!$K:$K,monthly_work_hours!$A:$A,'FTE 계산'!$A450,monthly_work_hours!$F:$F,'FTE 계산'!F$2)</f>
        <v>197.4</v>
      </c>
      <c r="G450">
        <f>SUMIFS(monthly_work_hours!$K:$K,monthly_work_hours!$A:$A,'FTE 계산'!$A450,monthly_work_hours!$F:$F,'FTE 계산'!G$2)</f>
        <v>191.3</v>
      </c>
      <c r="H450">
        <f>(SUMIFS(monthly_work_hours!$G:$G,monthly_work_hours!$A:$A,'FTE 계산'!$A450,monthly_work_hours!$F:$F,'FTE 계산'!H$2)) - (SUMIFS(monthly_work_hours!$J:$J,monthly_work_hours!$A:$A,'FTE 계산'!$A450,monthly_work_hours!$F:$F,'FTE 계산'!H$2))</f>
        <v>18</v>
      </c>
      <c r="I450">
        <f>(SUMIFS(monthly_work_hours!$G:$G,monthly_work_hours!$A:$A,'FTE 계산'!$A450,monthly_work_hours!$F:$F,'FTE 계산'!I$2)) - (SUMIFS(monthly_work_hours!$J:$J,monthly_work_hours!$A:$A,'FTE 계산'!$A450,monthly_work_hours!$F:$F,'FTE 계산'!I$2))</f>
        <v>18</v>
      </c>
      <c r="J450">
        <f>(SUMIFS(monthly_work_hours!$G:$G,monthly_work_hours!$A:$A,'FTE 계산'!$A450,monthly_work_hours!$F:$F,'FTE 계산'!J$2)) - (SUMIFS(monthly_work_hours!$J:$J,monthly_work_hours!$A:$A,'FTE 계산'!$A450,monthly_work_hours!$F:$F,'FTE 계산'!J$2))</f>
        <v>16</v>
      </c>
    </row>
    <row r="451" spans="1:10">
      <c r="A451" t="str">
        <v>G224060</v>
      </c>
      <c r="B451" t="str">
        <f>_xlfn.XLOOKUP(A451,monthly_work_hours!A:A,monthly_work_hours!B:B)</f>
        <v>김권지</v>
      </c>
      <c r="C451" t="str">
        <f>_xlfn.XLOOKUP(A451,monthly_work_hours!A:A,monthly_work_hours!C:C)</f>
        <v>정보상황실</v>
      </c>
      <c r="D451" t="str">
        <f>_xlfn.XLOOKUP(A451,monthly_work_hours!A:A,monthly_work_hours!D:D)</f>
        <v>사원</v>
      </c>
      <c r="E451">
        <f>SUMIFS(monthly_work_hours!$K:$K,monthly_work_hours!$A:$A,'FTE 계산'!$A451,monthly_work_hours!$F:$F,'FTE 계산'!E$2)</f>
        <v>162</v>
      </c>
      <c r="F451">
        <f>SUMIFS(monthly_work_hours!$K:$K,monthly_work_hours!$A:$A,'FTE 계산'!$A451,monthly_work_hours!$F:$F,'FTE 계산'!F$2)</f>
        <v>154.1</v>
      </c>
      <c r="G451">
        <f>SUMIFS(monthly_work_hours!$K:$K,monthly_work_hours!$A:$A,'FTE 계산'!$A451,monthly_work_hours!$F:$F,'FTE 계산'!G$2)</f>
        <v>156</v>
      </c>
      <c r="H451">
        <f>(SUMIFS(monthly_work_hours!$G:$G,monthly_work_hours!$A:$A,'FTE 계산'!$A451,monthly_work_hours!$F:$F,'FTE 계산'!H$2)) - (SUMIFS(monthly_work_hours!$J:$J,monthly_work_hours!$A:$A,'FTE 계산'!$A451,monthly_work_hours!$F:$F,'FTE 계산'!H$2))</f>
        <v>19</v>
      </c>
      <c r="I451">
        <f>(SUMIFS(monthly_work_hours!$G:$G,monthly_work_hours!$A:$A,'FTE 계산'!$A451,monthly_work_hours!$F:$F,'FTE 계산'!I$2)) - (SUMIFS(monthly_work_hours!$J:$J,monthly_work_hours!$A:$A,'FTE 계산'!$A451,monthly_work_hours!$F:$F,'FTE 계산'!I$2))</f>
        <v>17</v>
      </c>
      <c r="J451">
        <f>(SUMIFS(monthly_work_hours!$G:$G,monthly_work_hours!$A:$A,'FTE 계산'!$A451,monthly_work_hours!$F:$F,'FTE 계산'!J$2)) - (SUMIFS(monthly_work_hours!$J:$J,monthly_work_hours!$A:$A,'FTE 계산'!$A451,monthly_work_hours!$F:$F,'FTE 계산'!J$2))</f>
        <v>16</v>
      </c>
    </row>
    <row r="452" spans="1:10">
      <c r="A452" t="str">
        <v>G224064</v>
      </c>
      <c r="B452" t="str">
        <f>_xlfn.XLOOKUP(A452,monthly_work_hours!A:A,monthly_work_hours!B:B)</f>
        <v>조홍준</v>
      </c>
      <c r="C452" t="str">
        <f>_xlfn.XLOOKUP(A452,monthly_work_hours!A:A,monthly_work_hours!C:C)</f>
        <v>회계팀</v>
      </c>
      <c r="D452" t="str">
        <f>_xlfn.XLOOKUP(A452,monthly_work_hours!A:A,monthly_work_hours!D:D)</f>
        <v>사원</v>
      </c>
      <c r="E452">
        <f>SUMIFS(monthly_work_hours!$K:$K,monthly_work_hours!$A:$A,'FTE 계산'!$A452,monthly_work_hours!$F:$F,'FTE 계산'!E$2)</f>
        <v>155.80000000000001</v>
      </c>
      <c r="F452">
        <f>SUMIFS(monthly_work_hours!$K:$K,monthly_work_hours!$A:$A,'FTE 계산'!$A452,monthly_work_hours!$F:$F,'FTE 계산'!F$2)</f>
        <v>232.1</v>
      </c>
      <c r="G452">
        <f>SUMIFS(monthly_work_hours!$K:$K,monthly_work_hours!$A:$A,'FTE 계산'!$A452,monthly_work_hours!$F:$F,'FTE 계산'!G$2)</f>
        <v>144.69999999999999</v>
      </c>
      <c r="H452">
        <f>(SUMIFS(monthly_work_hours!$G:$G,monthly_work_hours!$A:$A,'FTE 계산'!$A452,monthly_work_hours!$F:$F,'FTE 계산'!H$2)) - (SUMIFS(monthly_work_hours!$J:$J,monthly_work_hours!$A:$A,'FTE 계산'!$A452,monthly_work_hours!$F:$F,'FTE 계산'!H$2))</f>
        <v>17</v>
      </c>
      <c r="I452">
        <f>(SUMIFS(monthly_work_hours!$G:$G,monthly_work_hours!$A:$A,'FTE 계산'!$A452,monthly_work_hours!$F:$F,'FTE 계산'!I$2)) - (SUMIFS(monthly_work_hours!$J:$J,monthly_work_hours!$A:$A,'FTE 계산'!$A452,monthly_work_hours!$F:$F,'FTE 계산'!I$2))</f>
        <v>23</v>
      </c>
      <c r="J452">
        <f>(SUMIFS(monthly_work_hours!$G:$G,monthly_work_hours!$A:$A,'FTE 계산'!$A452,monthly_work_hours!$F:$F,'FTE 계산'!J$2)) - (SUMIFS(monthly_work_hours!$J:$J,monthly_work_hours!$A:$A,'FTE 계산'!$A452,monthly_work_hours!$F:$F,'FTE 계산'!J$2))</f>
        <v>16</v>
      </c>
    </row>
    <row r="453" spans="1:10">
      <c r="A453" t="str">
        <v>G224065</v>
      </c>
      <c r="B453" t="str">
        <f>_xlfn.XLOOKUP(A453,monthly_work_hours!A:A,monthly_work_hours!B:B)</f>
        <v>김다솔</v>
      </c>
      <c r="C453" t="str">
        <f>_xlfn.XLOOKUP(A453,monthly_work_hours!A:A,monthly_work_hours!C:C)</f>
        <v>CMB영업팀</v>
      </c>
      <c r="D453" t="str">
        <f>_xlfn.XLOOKUP(A453,monthly_work_hours!A:A,monthly_work_hours!D:D)</f>
        <v>사원</v>
      </c>
      <c r="E453">
        <f>SUMIFS(monthly_work_hours!$K:$K,monthly_work_hours!$A:$A,'FTE 계산'!$A453,monthly_work_hours!$F:$F,'FTE 계산'!E$2)</f>
        <v>158.80000000000001</v>
      </c>
      <c r="F453">
        <f>SUMIFS(monthly_work_hours!$K:$K,monthly_work_hours!$A:$A,'FTE 계산'!$A453,monthly_work_hours!$F:$F,'FTE 계산'!F$2)</f>
        <v>177.3</v>
      </c>
      <c r="G453">
        <f>SUMIFS(monthly_work_hours!$K:$K,monthly_work_hours!$A:$A,'FTE 계산'!$A453,monthly_work_hours!$F:$F,'FTE 계산'!G$2)</f>
        <v>139.30000000000001</v>
      </c>
      <c r="H453">
        <f>(SUMIFS(monthly_work_hours!$G:$G,monthly_work_hours!$A:$A,'FTE 계산'!$A453,monthly_work_hours!$F:$F,'FTE 계산'!H$2)) - (SUMIFS(monthly_work_hours!$J:$J,monthly_work_hours!$A:$A,'FTE 계산'!$A453,monthly_work_hours!$F:$F,'FTE 계산'!H$2))</f>
        <v>17</v>
      </c>
      <c r="I453">
        <f>(SUMIFS(monthly_work_hours!$G:$G,monthly_work_hours!$A:$A,'FTE 계산'!$A453,monthly_work_hours!$F:$F,'FTE 계산'!I$2)) - (SUMIFS(monthly_work_hours!$J:$J,monthly_work_hours!$A:$A,'FTE 계산'!$A453,monthly_work_hours!$F:$F,'FTE 계산'!I$2))</f>
        <v>19</v>
      </c>
      <c r="J453">
        <f>(SUMIFS(monthly_work_hours!$G:$G,monthly_work_hours!$A:$A,'FTE 계산'!$A453,monthly_work_hours!$F:$F,'FTE 계산'!J$2)) - (SUMIFS(monthly_work_hours!$J:$J,monthly_work_hours!$A:$A,'FTE 계산'!$A453,monthly_work_hours!$F:$F,'FTE 계산'!J$2))</f>
        <v>16</v>
      </c>
    </row>
    <row r="454" spans="1:10">
      <c r="A454" t="str">
        <v>G224068</v>
      </c>
      <c r="B454" t="str">
        <f>_xlfn.XLOOKUP(A454,monthly_work_hours!A:A,monthly_work_hours!B:B)</f>
        <v>김흔수</v>
      </c>
      <c r="C454" t="str">
        <f>_xlfn.XLOOKUP(A454,monthly_work_hours!A:A,monthly_work_hours!C:C)</f>
        <v>IT 1팀</v>
      </c>
      <c r="D454" t="str">
        <f>_xlfn.XLOOKUP(A454,monthly_work_hours!A:A,monthly_work_hours!D:D)</f>
        <v>사원</v>
      </c>
      <c r="E454">
        <f>SUMIFS(monthly_work_hours!$K:$K,monthly_work_hours!$A:$A,'FTE 계산'!$A454,monthly_work_hours!$F:$F,'FTE 계산'!E$2)</f>
        <v>174.2</v>
      </c>
      <c r="F454">
        <f>SUMIFS(monthly_work_hours!$K:$K,monthly_work_hours!$A:$A,'FTE 계산'!$A454,monthly_work_hours!$F:$F,'FTE 계산'!F$2)</f>
        <v>190.9</v>
      </c>
      <c r="G454">
        <f>SUMIFS(monthly_work_hours!$K:$K,monthly_work_hours!$A:$A,'FTE 계산'!$A454,monthly_work_hours!$F:$F,'FTE 계산'!G$2)</f>
        <v>173.8</v>
      </c>
      <c r="H454">
        <f>(SUMIFS(monthly_work_hours!$G:$G,monthly_work_hours!$A:$A,'FTE 계산'!$A454,monthly_work_hours!$F:$F,'FTE 계산'!H$2)) - (SUMIFS(monthly_work_hours!$J:$J,monthly_work_hours!$A:$A,'FTE 계산'!$A454,monthly_work_hours!$F:$F,'FTE 계산'!H$2))</f>
        <v>18</v>
      </c>
      <c r="I454">
        <f>(SUMIFS(monthly_work_hours!$G:$G,monthly_work_hours!$A:$A,'FTE 계산'!$A454,monthly_work_hours!$F:$F,'FTE 계산'!I$2)) - (SUMIFS(monthly_work_hours!$J:$J,monthly_work_hours!$A:$A,'FTE 계산'!$A454,monthly_work_hours!$F:$F,'FTE 계산'!I$2))</f>
        <v>20</v>
      </c>
      <c r="J454">
        <f>(SUMIFS(monthly_work_hours!$G:$G,monthly_work_hours!$A:$A,'FTE 계산'!$A454,monthly_work_hours!$F:$F,'FTE 계산'!J$2)) - (SUMIFS(monthly_work_hours!$J:$J,monthly_work_hours!$A:$A,'FTE 계산'!$A454,monthly_work_hours!$F:$F,'FTE 계산'!J$2))</f>
        <v>17</v>
      </c>
    </row>
    <row r="455" spans="1:10">
      <c r="A455" t="str">
        <v>G224077</v>
      </c>
      <c r="B455" t="str">
        <f>_xlfn.XLOOKUP(A455,monthly_work_hours!A:A,monthly_work_hours!B:B)</f>
        <v>이영은</v>
      </c>
      <c r="C455" t="str">
        <f>_xlfn.XLOOKUP(A455,monthly_work_hours!A:A,monthly_work_hours!C:C)</f>
        <v>회계팀</v>
      </c>
      <c r="D455" t="str">
        <f>_xlfn.XLOOKUP(A455,monthly_work_hours!A:A,monthly_work_hours!D:D)</f>
        <v>사원</v>
      </c>
      <c r="E455">
        <f>SUMIFS(monthly_work_hours!$K:$K,monthly_work_hours!$A:$A,'FTE 계산'!$A455,monthly_work_hours!$F:$F,'FTE 계산'!E$2)</f>
        <v>161</v>
      </c>
      <c r="F455">
        <f>SUMIFS(monthly_work_hours!$K:$K,monthly_work_hours!$A:$A,'FTE 계산'!$A455,monthly_work_hours!$F:$F,'FTE 계산'!F$2)</f>
        <v>202.2</v>
      </c>
      <c r="G455">
        <f>SUMIFS(monthly_work_hours!$K:$K,monthly_work_hours!$A:$A,'FTE 계산'!$A455,monthly_work_hours!$F:$F,'FTE 계산'!G$2)</f>
        <v>141.19999999999999</v>
      </c>
      <c r="H455">
        <f>(SUMIFS(monthly_work_hours!$G:$G,monthly_work_hours!$A:$A,'FTE 계산'!$A455,monthly_work_hours!$F:$F,'FTE 계산'!H$2)) - (SUMIFS(monthly_work_hours!$J:$J,monthly_work_hours!$A:$A,'FTE 계산'!$A455,monthly_work_hours!$F:$F,'FTE 계산'!H$2))</f>
        <v>18</v>
      </c>
      <c r="I455">
        <f>(SUMIFS(monthly_work_hours!$G:$G,monthly_work_hours!$A:$A,'FTE 계산'!$A455,monthly_work_hours!$F:$F,'FTE 계산'!I$2)) - (SUMIFS(monthly_work_hours!$J:$J,monthly_work_hours!$A:$A,'FTE 계산'!$A455,monthly_work_hours!$F:$F,'FTE 계산'!I$2))</f>
        <v>23</v>
      </c>
      <c r="J455">
        <f>(SUMIFS(monthly_work_hours!$G:$G,monthly_work_hours!$A:$A,'FTE 계산'!$A455,monthly_work_hours!$F:$F,'FTE 계산'!J$2)) - (SUMIFS(monthly_work_hours!$J:$J,monthly_work_hours!$A:$A,'FTE 계산'!$A455,monthly_work_hours!$F:$F,'FTE 계산'!J$2))</f>
        <v>17</v>
      </c>
    </row>
    <row r="456" spans="1:10">
      <c r="A456" t="str">
        <v>G224078</v>
      </c>
      <c r="B456" t="str">
        <f>_xlfn.XLOOKUP(A456,monthly_work_hours!A:A,monthly_work_hours!B:B)</f>
        <v>권성하</v>
      </c>
      <c r="C456" t="str">
        <f>_xlfn.XLOOKUP(A456,monthly_work_hours!A:A,monthly_work_hours!C:C)</f>
        <v>IT 2팀</v>
      </c>
      <c r="D456" t="str">
        <f>_xlfn.XLOOKUP(A456,monthly_work_hours!A:A,monthly_work_hours!D:D)</f>
        <v>사원</v>
      </c>
      <c r="E456">
        <f>SUMIFS(monthly_work_hours!$K:$K,monthly_work_hours!$A:$A,'FTE 계산'!$A456,monthly_work_hours!$F:$F,'FTE 계산'!E$2)</f>
        <v>200.4</v>
      </c>
      <c r="F456">
        <f>SUMIFS(monthly_work_hours!$K:$K,monthly_work_hours!$A:$A,'FTE 계산'!$A456,monthly_work_hours!$F:$F,'FTE 계산'!F$2)</f>
        <v>192.4</v>
      </c>
      <c r="G456">
        <f>SUMIFS(monthly_work_hours!$K:$K,monthly_work_hours!$A:$A,'FTE 계산'!$A456,monthly_work_hours!$F:$F,'FTE 계산'!G$2)</f>
        <v>146.4</v>
      </c>
      <c r="H456">
        <f>(SUMIFS(monthly_work_hours!$G:$G,monthly_work_hours!$A:$A,'FTE 계산'!$A456,monthly_work_hours!$F:$F,'FTE 계산'!H$2)) - (SUMIFS(monthly_work_hours!$J:$J,monthly_work_hours!$A:$A,'FTE 계산'!$A456,monthly_work_hours!$F:$F,'FTE 계산'!H$2))</f>
        <v>18</v>
      </c>
      <c r="I456">
        <f>(SUMIFS(monthly_work_hours!$G:$G,monthly_work_hours!$A:$A,'FTE 계산'!$A456,monthly_work_hours!$F:$F,'FTE 계산'!I$2)) - (SUMIFS(monthly_work_hours!$J:$J,monthly_work_hours!$A:$A,'FTE 계산'!$A456,monthly_work_hours!$F:$F,'FTE 계산'!I$2))</f>
        <v>19</v>
      </c>
      <c r="J456">
        <f>(SUMIFS(monthly_work_hours!$G:$G,monthly_work_hours!$A:$A,'FTE 계산'!$A456,monthly_work_hours!$F:$F,'FTE 계산'!J$2)) - (SUMIFS(monthly_work_hours!$J:$J,monthly_work_hours!$A:$A,'FTE 계산'!$A456,monthly_work_hours!$F:$F,'FTE 계산'!J$2))</f>
        <v>15</v>
      </c>
    </row>
    <row r="457" spans="1:10">
      <c r="A457" t="str">
        <v>G224079</v>
      </c>
      <c r="B457" t="str">
        <f>_xlfn.XLOOKUP(A457,monthly_work_hours!A:A,monthly_work_hours!B:B)</f>
        <v>노승윤</v>
      </c>
      <c r="C457" t="str">
        <f>_xlfn.XLOOKUP(A457,monthly_work_hours!A:A,monthly_work_hours!C:C)</f>
        <v>원가지원팀</v>
      </c>
      <c r="D457" t="str">
        <f>_xlfn.XLOOKUP(A457,monthly_work_hours!A:A,monthly_work_hours!D:D)</f>
        <v>선임</v>
      </c>
      <c r="E457">
        <f>SUMIFS(monthly_work_hours!$K:$K,monthly_work_hours!$A:$A,'FTE 계산'!$A457,monthly_work_hours!$F:$F,'FTE 계산'!E$2)</f>
        <v>207.3</v>
      </c>
      <c r="F457">
        <f>SUMIFS(monthly_work_hours!$K:$K,monthly_work_hours!$A:$A,'FTE 계산'!$A457,monthly_work_hours!$F:$F,'FTE 계산'!F$2)</f>
        <v>210.6</v>
      </c>
      <c r="G457">
        <f>SUMIFS(monthly_work_hours!$K:$K,monthly_work_hours!$A:$A,'FTE 계산'!$A457,monthly_work_hours!$F:$F,'FTE 계산'!G$2)</f>
        <v>152.4</v>
      </c>
      <c r="H457">
        <f>(SUMIFS(monthly_work_hours!$G:$G,monthly_work_hours!$A:$A,'FTE 계산'!$A457,monthly_work_hours!$F:$F,'FTE 계산'!H$2)) - (SUMIFS(monthly_work_hours!$J:$J,monthly_work_hours!$A:$A,'FTE 계산'!$A457,monthly_work_hours!$F:$F,'FTE 계산'!H$2))</f>
        <v>18</v>
      </c>
      <c r="I457">
        <f>(SUMIFS(monthly_work_hours!$G:$G,monthly_work_hours!$A:$A,'FTE 계산'!$A457,monthly_work_hours!$F:$F,'FTE 계산'!I$2)) - (SUMIFS(monthly_work_hours!$J:$J,monthly_work_hours!$A:$A,'FTE 계산'!$A457,monthly_work_hours!$F:$F,'FTE 계산'!I$2))</f>
        <v>19</v>
      </c>
      <c r="J457">
        <f>(SUMIFS(monthly_work_hours!$G:$G,monthly_work_hours!$A:$A,'FTE 계산'!$A457,monthly_work_hours!$F:$F,'FTE 계산'!J$2)) - (SUMIFS(monthly_work_hours!$J:$J,monthly_work_hours!$A:$A,'FTE 계산'!$A457,monthly_work_hours!$F:$F,'FTE 계산'!J$2))</f>
        <v>16</v>
      </c>
    </row>
    <row r="458" spans="1:10">
      <c r="A458" t="str">
        <v>G224086</v>
      </c>
      <c r="B458" t="str">
        <f>_xlfn.XLOOKUP(A458,monthly_work_hours!A:A,monthly_work_hours!B:B)</f>
        <v>김영철</v>
      </c>
      <c r="C458" t="str">
        <f>_xlfn.XLOOKUP(A458,monthly_work_hours!A:A,monthly_work_hours!C:C)</f>
        <v>품질관리팀</v>
      </c>
      <c r="D458" t="str">
        <f>_xlfn.XLOOKUP(A458,monthly_work_hours!A:A,monthly_work_hours!D:D)</f>
        <v>책임</v>
      </c>
      <c r="E458">
        <f>SUMIFS(monthly_work_hours!$K:$K,monthly_work_hours!$A:$A,'FTE 계산'!$A458,monthly_work_hours!$F:$F,'FTE 계산'!E$2)</f>
        <v>198.3</v>
      </c>
      <c r="F458">
        <f>SUMIFS(monthly_work_hours!$K:$K,monthly_work_hours!$A:$A,'FTE 계산'!$A458,monthly_work_hours!$F:$F,'FTE 계산'!F$2)</f>
        <v>184</v>
      </c>
      <c r="G458">
        <f>SUMIFS(monthly_work_hours!$K:$K,monthly_work_hours!$A:$A,'FTE 계산'!$A458,monthly_work_hours!$F:$F,'FTE 계산'!G$2)</f>
        <v>159.5</v>
      </c>
      <c r="H458">
        <f>(SUMIFS(monthly_work_hours!$G:$G,monthly_work_hours!$A:$A,'FTE 계산'!$A458,monthly_work_hours!$F:$F,'FTE 계산'!H$2)) - (SUMIFS(monthly_work_hours!$J:$J,monthly_work_hours!$A:$A,'FTE 계산'!$A458,monthly_work_hours!$F:$F,'FTE 계산'!H$2))</f>
        <v>19</v>
      </c>
      <c r="I458">
        <f>(SUMIFS(monthly_work_hours!$G:$G,monthly_work_hours!$A:$A,'FTE 계산'!$A458,monthly_work_hours!$F:$F,'FTE 계산'!I$2)) - (SUMIFS(monthly_work_hours!$J:$J,monthly_work_hours!$A:$A,'FTE 계산'!$A458,monthly_work_hours!$F:$F,'FTE 계산'!I$2))</f>
        <v>18</v>
      </c>
      <c r="J458">
        <f>(SUMIFS(monthly_work_hours!$G:$G,monthly_work_hours!$A:$A,'FTE 계산'!$A458,monthly_work_hours!$F:$F,'FTE 계산'!J$2)) - (SUMIFS(monthly_work_hours!$J:$J,monthly_work_hours!$A:$A,'FTE 계산'!$A458,monthly_work_hours!$F:$F,'FTE 계산'!J$2))</f>
        <v>16</v>
      </c>
    </row>
    <row r="459" spans="1:10">
      <c r="A459" t="str">
        <v>G224088</v>
      </c>
      <c r="B459" t="str">
        <f>_xlfn.XLOOKUP(A459,monthly_work_hours!A:A,monthly_work_hours!B:B)</f>
        <v>김빛남</v>
      </c>
      <c r="C459" t="str">
        <f>_xlfn.XLOOKUP(A459,monthly_work_hours!A:A,monthly_work_hours!C:C)</f>
        <v>PEOPLE팀</v>
      </c>
      <c r="D459" t="str">
        <f>_xlfn.XLOOKUP(A459,monthly_work_hours!A:A,monthly_work_hours!D:D)</f>
        <v>선임</v>
      </c>
      <c r="E459">
        <f>SUMIFS(monthly_work_hours!$K:$K,monthly_work_hours!$A:$A,'FTE 계산'!$A459,monthly_work_hours!$F:$F,'FTE 계산'!E$2)</f>
        <v>166.8</v>
      </c>
      <c r="F459">
        <f>SUMIFS(monthly_work_hours!$K:$K,monthly_work_hours!$A:$A,'FTE 계산'!$A459,monthly_work_hours!$F:$F,'FTE 계산'!F$2)</f>
        <v>227.3</v>
      </c>
      <c r="G459">
        <f>SUMIFS(monthly_work_hours!$K:$K,monthly_work_hours!$A:$A,'FTE 계산'!$A459,monthly_work_hours!$F:$F,'FTE 계산'!G$2)</f>
        <v>181.7</v>
      </c>
      <c r="H459">
        <f>(SUMIFS(monthly_work_hours!$G:$G,monthly_work_hours!$A:$A,'FTE 계산'!$A459,monthly_work_hours!$F:$F,'FTE 계산'!H$2)) - (SUMIFS(monthly_work_hours!$J:$J,monthly_work_hours!$A:$A,'FTE 계산'!$A459,monthly_work_hours!$F:$F,'FTE 계산'!H$2))</f>
        <v>17</v>
      </c>
      <c r="I459">
        <f>(SUMIFS(monthly_work_hours!$G:$G,monthly_work_hours!$A:$A,'FTE 계산'!$A459,monthly_work_hours!$F:$F,'FTE 계산'!I$2)) - (SUMIFS(monthly_work_hours!$J:$J,monthly_work_hours!$A:$A,'FTE 계산'!$A459,monthly_work_hours!$F:$F,'FTE 계산'!I$2))</f>
        <v>23</v>
      </c>
      <c r="J459">
        <f>(SUMIFS(monthly_work_hours!$G:$G,monthly_work_hours!$A:$A,'FTE 계산'!$A459,monthly_work_hours!$F:$F,'FTE 계산'!J$2)) - (SUMIFS(monthly_work_hours!$J:$J,monthly_work_hours!$A:$A,'FTE 계산'!$A459,monthly_work_hours!$F:$F,'FTE 계산'!J$2))</f>
        <v>17</v>
      </c>
    </row>
    <row r="460" spans="1:10">
      <c r="A460" t="str">
        <v>G224098</v>
      </c>
      <c r="B460" t="str">
        <f>_xlfn.XLOOKUP(A460,monthly_work_hours!A:A,monthly_work_hours!B:B)</f>
        <v>김강민</v>
      </c>
      <c r="C460" t="str">
        <f>_xlfn.XLOOKUP(A460,monthly_work_hours!A:A,monthly_work_hours!C:C)</f>
        <v>인더스트리얼 설계개발팀</v>
      </c>
      <c r="D460" t="str">
        <f>_xlfn.XLOOKUP(A460,monthly_work_hours!A:A,monthly_work_hours!D:D)</f>
        <v>선임</v>
      </c>
      <c r="E460">
        <f>SUMIFS(monthly_work_hours!$K:$K,monthly_work_hours!$A:$A,'FTE 계산'!$A460,monthly_work_hours!$F:$F,'FTE 계산'!E$2)</f>
        <v>199.1</v>
      </c>
      <c r="F460">
        <f>SUMIFS(monthly_work_hours!$K:$K,monthly_work_hours!$A:$A,'FTE 계산'!$A460,monthly_work_hours!$F:$F,'FTE 계산'!F$2)</f>
        <v>229.5</v>
      </c>
      <c r="G460">
        <f>SUMIFS(monthly_work_hours!$K:$K,monthly_work_hours!$A:$A,'FTE 계산'!$A460,monthly_work_hours!$F:$F,'FTE 계산'!G$2)</f>
        <v>67.7</v>
      </c>
      <c r="H460">
        <f>(SUMIFS(monthly_work_hours!$G:$G,monthly_work_hours!$A:$A,'FTE 계산'!$A460,monthly_work_hours!$F:$F,'FTE 계산'!H$2)) - (SUMIFS(monthly_work_hours!$J:$J,monthly_work_hours!$A:$A,'FTE 계산'!$A460,monthly_work_hours!$F:$F,'FTE 계산'!H$2))</f>
        <v>19</v>
      </c>
      <c r="I460">
        <f>(SUMIFS(monthly_work_hours!$G:$G,monthly_work_hours!$A:$A,'FTE 계산'!$A460,monthly_work_hours!$F:$F,'FTE 계산'!I$2)) - (SUMIFS(monthly_work_hours!$J:$J,monthly_work_hours!$A:$A,'FTE 계산'!$A460,monthly_work_hours!$F:$F,'FTE 계산'!I$2))</f>
        <v>19</v>
      </c>
      <c r="J460">
        <f>(SUMIFS(monthly_work_hours!$G:$G,monthly_work_hours!$A:$A,'FTE 계산'!$A460,monthly_work_hours!$F:$F,'FTE 계산'!J$2)) - (SUMIFS(monthly_work_hours!$J:$J,monthly_work_hours!$A:$A,'FTE 계산'!$A460,monthly_work_hours!$F:$F,'FTE 계산'!J$2))</f>
        <v>8</v>
      </c>
    </row>
    <row r="461" spans="1:10">
      <c r="A461" t="str">
        <v>G224099</v>
      </c>
      <c r="B461" t="str">
        <f>_xlfn.XLOOKUP(A461,monthly_work_hours!A:A,monthly_work_hours!B:B)</f>
        <v>김영미</v>
      </c>
      <c r="C461" t="str">
        <f>_xlfn.XLOOKUP(A461,monthly_work_hours!A:A,monthly_work_hours!C:C)</f>
        <v>인더스트리얼 설계개발팀</v>
      </c>
      <c r="D461" t="str">
        <f>_xlfn.XLOOKUP(A461,monthly_work_hours!A:A,monthly_work_hours!D:D)</f>
        <v>사원</v>
      </c>
      <c r="E461">
        <f>SUMIFS(monthly_work_hours!$K:$K,monthly_work_hours!$A:$A,'FTE 계산'!$A461,monthly_work_hours!$F:$F,'FTE 계산'!E$2)</f>
        <v>169.8</v>
      </c>
      <c r="F461">
        <f>SUMIFS(monthly_work_hours!$K:$K,monthly_work_hours!$A:$A,'FTE 계산'!$A461,monthly_work_hours!$F:$F,'FTE 계산'!F$2)</f>
        <v>175.9</v>
      </c>
      <c r="G461">
        <f>SUMIFS(monthly_work_hours!$K:$K,monthly_work_hours!$A:$A,'FTE 계산'!$A461,monthly_work_hours!$F:$F,'FTE 계산'!G$2)</f>
        <v>138.4</v>
      </c>
      <c r="H461">
        <f>(SUMIFS(monthly_work_hours!$G:$G,monthly_work_hours!$A:$A,'FTE 계산'!$A461,monthly_work_hours!$F:$F,'FTE 계산'!H$2)) - (SUMIFS(monthly_work_hours!$J:$J,monthly_work_hours!$A:$A,'FTE 계산'!$A461,monthly_work_hours!$F:$F,'FTE 계산'!H$2))</f>
        <v>19</v>
      </c>
      <c r="I461">
        <f>(SUMIFS(monthly_work_hours!$G:$G,monthly_work_hours!$A:$A,'FTE 계산'!$A461,monthly_work_hours!$F:$F,'FTE 계산'!I$2)) - (SUMIFS(monthly_work_hours!$J:$J,monthly_work_hours!$A:$A,'FTE 계산'!$A461,monthly_work_hours!$F:$F,'FTE 계산'!I$2))</f>
        <v>19</v>
      </c>
      <c r="J461">
        <f>(SUMIFS(monthly_work_hours!$G:$G,monthly_work_hours!$A:$A,'FTE 계산'!$A461,monthly_work_hours!$F:$F,'FTE 계산'!J$2)) - (SUMIFS(monthly_work_hours!$J:$J,monthly_work_hours!$A:$A,'FTE 계산'!$A461,monthly_work_hours!$F:$F,'FTE 계산'!J$2))</f>
        <v>16</v>
      </c>
    </row>
    <row r="462" spans="1:10">
      <c r="A462" t="str">
        <v>G224100</v>
      </c>
      <c r="B462" t="str">
        <f>_xlfn.XLOOKUP(A462,monthly_work_hours!A:A,monthly_work_hours!B:B)</f>
        <v>강예경</v>
      </c>
      <c r="C462" t="str">
        <f>_xlfn.XLOOKUP(A462,monthly_work_hours!A:A,monthly_work_hours!C:C)</f>
        <v>IFS사업팀</v>
      </c>
      <c r="D462" t="str">
        <f>_xlfn.XLOOKUP(A462,monthly_work_hours!A:A,monthly_work_hours!D:D)</f>
        <v>사원</v>
      </c>
      <c r="E462">
        <f>SUMIFS(monthly_work_hours!$K:$K,monthly_work_hours!$A:$A,'FTE 계산'!$A462,monthly_work_hours!$F:$F,'FTE 계산'!E$2)</f>
        <v>166</v>
      </c>
      <c r="F462">
        <f>SUMIFS(monthly_work_hours!$K:$K,monthly_work_hours!$A:$A,'FTE 계산'!$A462,monthly_work_hours!$F:$F,'FTE 계산'!F$2)</f>
        <v>174.9</v>
      </c>
      <c r="G462">
        <f>SUMIFS(monthly_work_hours!$K:$K,monthly_work_hours!$A:$A,'FTE 계산'!$A462,monthly_work_hours!$F:$F,'FTE 계산'!G$2)</f>
        <v>122.2</v>
      </c>
      <c r="H462">
        <f>(SUMIFS(monthly_work_hours!$G:$G,monthly_work_hours!$A:$A,'FTE 계산'!$A462,monthly_work_hours!$F:$F,'FTE 계산'!H$2)) - (SUMIFS(monthly_work_hours!$J:$J,monthly_work_hours!$A:$A,'FTE 계산'!$A462,monthly_work_hours!$F:$F,'FTE 계산'!H$2))</f>
        <v>18</v>
      </c>
      <c r="I462">
        <f>(SUMIFS(monthly_work_hours!$G:$G,monthly_work_hours!$A:$A,'FTE 계산'!$A462,monthly_work_hours!$F:$F,'FTE 계산'!I$2)) - (SUMIFS(monthly_work_hours!$J:$J,monthly_work_hours!$A:$A,'FTE 계산'!$A462,monthly_work_hours!$F:$F,'FTE 계산'!I$2))</f>
        <v>19</v>
      </c>
      <c r="J462">
        <f>(SUMIFS(monthly_work_hours!$G:$G,monthly_work_hours!$A:$A,'FTE 계산'!$A462,monthly_work_hours!$F:$F,'FTE 계산'!J$2)) - (SUMIFS(monthly_work_hours!$J:$J,monthly_work_hours!$A:$A,'FTE 계산'!$A462,monthly_work_hours!$F:$F,'FTE 계산'!J$2))</f>
        <v>15</v>
      </c>
    </row>
    <row r="463" spans="1:10">
      <c r="A463" t="str">
        <v>G224105</v>
      </c>
      <c r="B463" t="str">
        <f>_xlfn.XLOOKUP(A463,monthly_work_hours!A:A,monthly_work_hours!B:B)</f>
        <v>이창민</v>
      </c>
      <c r="C463" t="str">
        <f>_xlfn.XLOOKUP(A463,monthly_work_hours!A:A,monthly_work_hours!C:C)</f>
        <v>인더스트리얼 설계개발팀</v>
      </c>
      <c r="D463" t="str">
        <f>_xlfn.XLOOKUP(A463,monthly_work_hours!A:A,monthly_work_hours!D:D)</f>
        <v>선임</v>
      </c>
      <c r="E463">
        <f>SUMIFS(monthly_work_hours!$K:$K,monthly_work_hours!$A:$A,'FTE 계산'!$A463,monthly_work_hours!$F:$F,'FTE 계산'!E$2)</f>
        <v>208.2</v>
      </c>
      <c r="F463">
        <f>SUMIFS(monthly_work_hours!$K:$K,monthly_work_hours!$A:$A,'FTE 계산'!$A463,monthly_work_hours!$F:$F,'FTE 계산'!F$2)</f>
        <v>204.2</v>
      </c>
      <c r="G463">
        <f>SUMIFS(monthly_work_hours!$K:$K,monthly_work_hours!$A:$A,'FTE 계산'!$A463,monthly_work_hours!$F:$F,'FTE 계산'!G$2)</f>
        <v>173.6</v>
      </c>
      <c r="H463">
        <f>(SUMIFS(monthly_work_hours!$G:$G,monthly_work_hours!$A:$A,'FTE 계산'!$A463,monthly_work_hours!$F:$F,'FTE 계산'!H$2)) - (SUMIFS(monthly_work_hours!$J:$J,monthly_work_hours!$A:$A,'FTE 계산'!$A463,monthly_work_hours!$F:$F,'FTE 계산'!H$2))</f>
        <v>18</v>
      </c>
      <c r="I463">
        <f>(SUMIFS(monthly_work_hours!$G:$G,monthly_work_hours!$A:$A,'FTE 계산'!$A463,monthly_work_hours!$F:$F,'FTE 계산'!I$2)) - (SUMIFS(monthly_work_hours!$J:$J,monthly_work_hours!$A:$A,'FTE 계산'!$A463,monthly_work_hours!$F:$F,'FTE 계산'!I$2))</f>
        <v>19</v>
      </c>
      <c r="J463">
        <f>(SUMIFS(monthly_work_hours!$G:$G,monthly_work_hours!$A:$A,'FTE 계산'!$A463,monthly_work_hours!$F:$F,'FTE 계산'!J$2)) - (SUMIFS(monthly_work_hours!$J:$J,monthly_work_hours!$A:$A,'FTE 계산'!$A463,monthly_work_hours!$F:$F,'FTE 계산'!J$2))</f>
        <v>16</v>
      </c>
    </row>
    <row r="464" spans="1:10">
      <c r="A464" t="str">
        <v>G224107</v>
      </c>
      <c r="B464" t="str">
        <f>_xlfn.XLOOKUP(A464,monthly_work_hours!A:A,monthly_work_hours!B:B)</f>
        <v>조찬혁</v>
      </c>
      <c r="C464" t="str">
        <f>_xlfn.XLOOKUP(A464,monthly_work_hours!A:A,monthly_work_hours!C:C)</f>
        <v>IFS사업팀</v>
      </c>
      <c r="D464" t="str">
        <f>_xlfn.XLOOKUP(A464,monthly_work_hours!A:A,monthly_work_hours!D:D)</f>
        <v>사원</v>
      </c>
      <c r="E464">
        <f>SUMIFS(monthly_work_hours!$K:$K,monthly_work_hours!$A:$A,'FTE 계산'!$A464,monthly_work_hours!$F:$F,'FTE 계산'!E$2)</f>
        <v>179.2</v>
      </c>
      <c r="F464">
        <f>SUMIFS(monthly_work_hours!$K:$K,monthly_work_hours!$A:$A,'FTE 계산'!$A464,monthly_work_hours!$F:$F,'FTE 계산'!F$2)</f>
        <v>171.9</v>
      </c>
      <c r="G464">
        <f>SUMIFS(monthly_work_hours!$K:$K,monthly_work_hours!$A:$A,'FTE 계산'!$A464,monthly_work_hours!$F:$F,'FTE 계산'!G$2)</f>
        <v>145.4</v>
      </c>
      <c r="H464">
        <f>(SUMIFS(monthly_work_hours!$G:$G,monthly_work_hours!$A:$A,'FTE 계산'!$A464,monthly_work_hours!$F:$F,'FTE 계산'!H$2)) - (SUMIFS(monthly_work_hours!$J:$J,monthly_work_hours!$A:$A,'FTE 계산'!$A464,monthly_work_hours!$F:$F,'FTE 계산'!H$2))</f>
        <v>19</v>
      </c>
      <c r="I464">
        <f>(SUMIFS(monthly_work_hours!$G:$G,monthly_work_hours!$A:$A,'FTE 계산'!$A464,monthly_work_hours!$F:$F,'FTE 계산'!I$2)) - (SUMIFS(monthly_work_hours!$J:$J,monthly_work_hours!$A:$A,'FTE 계산'!$A464,monthly_work_hours!$F:$F,'FTE 계산'!I$2))</f>
        <v>22</v>
      </c>
      <c r="J464">
        <f>(SUMIFS(monthly_work_hours!$G:$G,monthly_work_hours!$A:$A,'FTE 계산'!$A464,monthly_work_hours!$F:$F,'FTE 계산'!J$2)) - (SUMIFS(monthly_work_hours!$J:$J,monthly_work_hours!$A:$A,'FTE 계산'!$A464,monthly_work_hours!$F:$F,'FTE 계산'!J$2))</f>
        <v>17</v>
      </c>
    </row>
    <row r="465" spans="1:10">
      <c r="A465" t="str">
        <v>G224109</v>
      </c>
      <c r="B465" t="str">
        <f>_xlfn.XLOOKUP(A465,monthly_work_hours!A:A,monthly_work_hours!B:B)</f>
        <v>정지원</v>
      </c>
      <c r="C465" t="str">
        <f>_xlfn.XLOOKUP(A465,monthly_work_hours!A:A,monthly_work_hours!C:C)</f>
        <v>DI팀</v>
      </c>
      <c r="D465" t="str">
        <f>_xlfn.XLOOKUP(A465,monthly_work_hours!A:A,monthly_work_hours!D:D)</f>
        <v>사원</v>
      </c>
      <c r="E465">
        <f>SUMIFS(monthly_work_hours!$K:$K,monthly_work_hours!$A:$A,'FTE 계산'!$A465,monthly_work_hours!$F:$F,'FTE 계산'!E$2)</f>
        <v>161.19999999999999</v>
      </c>
      <c r="F465">
        <f>SUMIFS(monthly_work_hours!$K:$K,monthly_work_hours!$A:$A,'FTE 계산'!$A465,monthly_work_hours!$F:$F,'FTE 계산'!F$2)</f>
        <v>148</v>
      </c>
      <c r="G465">
        <f>SUMIFS(monthly_work_hours!$K:$K,monthly_work_hours!$A:$A,'FTE 계산'!$A465,monthly_work_hours!$F:$F,'FTE 계산'!G$2)</f>
        <v>119.5</v>
      </c>
      <c r="H465">
        <f>(SUMIFS(monthly_work_hours!$G:$G,monthly_work_hours!$A:$A,'FTE 계산'!$A465,monthly_work_hours!$F:$F,'FTE 계산'!H$2)) - (SUMIFS(monthly_work_hours!$J:$J,monthly_work_hours!$A:$A,'FTE 계산'!$A465,monthly_work_hours!$F:$F,'FTE 계산'!H$2))</f>
        <v>17</v>
      </c>
      <c r="I465">
        <f>(SUMIFS(monthly_work_hours!$G:$G,monthly_work_hours!$A:$A,'FTE 계산'!$A465,monthly_work_hours!$F:$F,'FTE 계산'!I$2)) - (SUMIFS(monthly_work_hours!$J:$J,monthly_work_hours!$A:$A,'FTE 계산'!$A465,monthly_work_hours!$F:$F,'FTE 계산'!I$2))</f>
        <v>16</v>
      </c>
      <c r="J465">
        <f>(SUMIFS(monthly_work_hours!$G:$G,monthly_work_hours!$A:$A,'FTE 계산'!$A465,monthly_work_hours!$F:$F,'FTE 계산'!J$2)) - (SUMIFS(monthly_work_hours!$J:$J,monthly_work_hours!$A:$A,'FTE 계산'!$A465,monthly_work_hours!$F:$F,'FTE 계산'!J$2))</f>
        <v>14</v>
      </c>
    </row>
    <row r="466" spans="1:10">
      <c r="A466" t="str">
        <v>G224122</v>
      </c>
      <c r="B466" t="str">
        <f>_xlfn.XLOOKUP(A466,monthly_work_hours!A:A,monthly_work_hours!B:B)</f>
        <v>송민석</v>
      </c>
      <c r="C466" t="str">
        <f>_xlfn.XLOOKUP(A466,monthly_work_hours!A:A,monthly_work_hours!C:C)</f>
        <v>비서팀</v>
      </c>
      <c r="D466" t="str">
        <f>_xlfn.XLOOKUP(A466,monthly_work_hours!A:A,monthly_work_hours!D:D)</f>
        <v>사원</v>
      </c>
      <c r="E466">
        <f>SUMIFS(monthly_work_hours!$K:$K,monthly_work_hours!$A:$A,'FTE 계산'!$A466,monthly_work_hours!$F:$F,'FTE 계산'!E$2)</f>
        <v>177</v>
      </c>
      <c r="F466">
        <f>SUMIFS(monthly_work_hours!$K:$K,monthly_work_hours!$A:$A,'FTE 계산'!$A466,monthly_work_hours!$F:$F,'FTE 계산'!F$2)</f>
        <v>179.1</v>
      </c>
      <c r="G466">
        <f>SUMIFS(monthly_work_hours!$K:$K,monthly_work_hours!$A:$A,'FTE 계산'!$A466,monthly_work_hours!$F:$F,'FTE 계산'!G$2)</f>
        <v>146.4</v>
      </c>
      <c r="H466">
        <f>(SUMIFS(monthly_work_hours!$G:$G,monthly_work_hours!$A:$A,'FTE 계산'!$A466,monthly_work_hours!$F:$F,'FTE 계산'!H$2)) - (SUMIFS(monthly_work_hours!$J:$J,monthly_work_hours!$A:$A,'FTE 계산'!$A466,monthly_work_hours!$F:$F,'FTE 계산'!H$2))</f>
        <v>19</v>
      </c>
      <c r="I466">
        <f>(SUMIFS(monthly_work_hours!$G:$G,monthly_work_hours!$A:$A,'FTE 계산'!$A466,monthly_work_hours!$F:$F,'FTE 계산'!I$2)) - (SUMIFS(monthly_work_hours!$J:$J,monthly_work_hours!$A:$A,'FTE 계산'!$A466,monthly_work_hours!$F:$F,'FTE 계산'!I$2))</f>
        <v>19</v>
      </c>
      <c r="J466">
        <f>(SUMIFS(monthly_work_hours!$G:$G,monthly_work_hours!$A:$A,'FTE 계산'!$A466,monthly_work_hours!$F:$F,'FTE 계산'!J$2)) - (SUMIFS(monthly_work_hours!$J:$J,monthly_work_hours!$A:$A,'FTE 계산'!$A466,monthly_work_hours!$F:$F,'FTE 계산'!J$2))</f>
        <v>16</v>
      </c>
    </row>
    <row r="467" spans="1:10">
      <c r="A467" t="str">
        <v>G224132</v>
      </c>
      <c r="B467" t="str">
        <f>_xlfn.XLOOKUP(A467,monthly_work_hours!A:A,monthly_work_hours!B:B)</f>
        <v>김서화</v>
      </c>
      <c r="C467" t="str">
        <f>_xlfn.XLOOKUP(A467,monthly_work_hours!A:A,monthly_work_hours!C:C)</f>
        <v>GS팀</v>
      </c>
      <c r="D467" t="str">
        <f>_xlfn.XLOOKUP(A467,monthly_work_hours!A:A,monthly_work_hours!D:D)</f>
        <v>사원</v>
      </c>
      <c r="E467">
        <f>SUMIFS(monthly_work_hours!$K:$K,monthly_work_hours!$A:$A,'FTE 계산'!$A467,monthly_work_hours!$F:$F,'FTE 계산'!E$2)</f>
        <v>168.8</v>
      </c>
      <c r="F467">
        <f>SUMIFS(monthly_work_hours!$K:$K,monthly_work_hours!$A:$A,'FTE 계산'!$A467,monthly_work_hours!$F:$F,'FTE 계산'!F$2)</f>
        <v>223.7</v>
      </c>
      <c r="G467">
        <f>SUMIFS(monthly_work_hours!$K:$K,monthly_work_hours!$A:$A,'FTE 계산'!$A467,monthly_work_hours!$F:$F,'FTE 계산'!G$2)</f>
        <v>153.69999999999999</v>
      </c>
      <c r="H467">
        <f>(SUMIFS(monthly_work_hours!$G:$G,monthly_work_hours!$A:$A,'FTE 계산'!$A467,monthly_work_hours!$F:$F,'FTE 계산'!H$2)) - (SUMIFS(monthly_work_hours!$J:$J,monthly_work_hours!$A:$A,'FTE 계산'!$A467,monthly_work_hours!$F:$F,'FTE 계산'!H$2))</f>
        <v>18</v>
      </c>
      <c r="I467">
        <f>(SUMIFS(monthly_work_hours!$G:$G,monthly_work_hours!$A:$A,'FTE 계산'!$A467,monthly_work_hours!$F:$F,'FTE 계산'!I$2)) - (SUMIFS(monthly_work_hours!$J:$J,monthly_work_hours!$A:$A,'FTE 계산'!$A467,monthly_work_hours!$F:$F,'FTE 계산'!I$2))</f>
        <v>23</v>
      </c>
      <c r="J467">
        <f>(SUMIFS(monthly_work_hours!$G:$G,monthly_work_hours!$A:$A,'FTE 계산'!$A467,monthly_work_hours!$F:$F,'FTE 계산'!J$2)) - (SUMIFS(monthly_work_hours!$J:$J,monthly_work_hours!$A:$A,'FTE 계산'!$A467,monthly_work_hours!$F:$F,'FTE 계산'!J$2))</f>
        <v>17</v>
      </c>
    </row>
    <row r="468" spans="1:10">
      <c r="A468" t="str">
        <v>G224133</v>
      </c>
      <c r="B468" t="str">
        <f>_xlfn.XLOOKUP(A468,monthly_work_hours!A:A,monthly_work_hours!B:B)</f>
        <v>김가림</v>
      </c>
      <c r="C468" t="str">
        <f>_xlfn.XLOOKUP(A468,monthly_work_hours!A:A,monthly_work_hours!C:C)</f>
        <v>GS팀</v>
      </c>
      <c r="D468" t="str">
        <f>_xlfn.XLOOKUP(A468,monthly_work_hours!A:A,monthly_work_hours!D:D)</f>
        <v>사원</v>
      </c>
      <c r="E468">
        <f>SUMIFS(monthly_work_hours!$K:$K,monthly_work_hours!$A:$A,'FTE 계산'!$A468,monthly_work_hours!$F:$F,'FTE 계산'!E$2)</f>
        <v>186.3</v>
      </c>
      <c r="F468">
        <f>SUMIFS(monthly_work_hours!$K:$K,monthly_work_hours!$A:$A,'FTE 계산'!$A468,monthly_work_hours!$F:$F,'FTE 계산'!F$2)</f>
        <v>220.6</v>
      </c>
      <c r="G468">
        <f>SUMIFS(monthly_work_hours!$K:$K,monthly_work_hours!$A:$A,'FTE 계산'!$A468,monthly_work_hours!$F:$F,'FTE 계산'!G$2)</f>
        <v>170.1</v>
      </c>
      <c r="H468">
        <f>(SUMIFS(monthly_work_hours!$G:$G,monthly_work_hours!$A:$A,'FTE 계산'!$A468,monthly_work_hours!$F:$F,'FTE 계산'!H$2)) - (SUMIFS(monthly_work_hours!$J:$J,monthly_work_hours!$A:$A,'FTE 계산'!$A468,monthly_work_hours!$F:$F,'FTE 계산'!H$2))</f>
        <v>18</v>
      </c>
      <c r="I468">
        <f>(SUMIFS(monthly_work_hours!$G:$G,monthly_work_hours!$A:$A,'FTE 계산'!$A468,monthly_work_hours!$F:$F,'FTE 계산'!I$2)) - (SUMIFS(monthly_work_hours!$J:$J,monthly_work_hours!$A:$A,'FTE 계산'!$A468,monthly_work_hours!$F:$F,'FTE 계산'!I$2))</f>
        <v>18</v>
      </c>
      <c r="J468">
        <f>(SUMIFS(monthly_work_hours!$G:$G,monthly_work_hours!$A:$A,'FTE 계산'!$A468,monthly_work_hours!$F:$F,'FTE 계산'!J$2)) - (SUMIFS(monthly_work_hours!$J:$J,monthly_work_hours!$A:$A,'FTE 계산'!$A468,monthly_work_hours!$F:$F,'FTE 계산'!J$2))</f>
        <v>17</v>
      </c>
    </row>
    <row r="469" spans="1:10">
      <c r="A469" t="str">
        <v>G224140</v>
      </c>
      <c r="B469" t="str">
        <f>_xlfn.XLOOKUP(A469,monthly_work_hours!A:A,monthly_work_hours!B:B)</f>
        <v>여재우</v>
      </c>
      <c r="C469" t="str">
        <f>_xlfn.XLOOKUP(A469,monthly_work_hours!A:A,monthly_work_hours!C:C)</f>
        <v>GS팀</v>
      </c>
      <c r="D469" t="str">
        <f>_xlfn.XLOOKUP(A469,monthly_work_hours!A:A,monthly_work_hours!D:D)</f>
        <v>사원</v>
      </c>
      <c r="E469">
        <f>SUMIFS(monthly_work_hours!$K:$K,monthly_work_hours!$A:$A,'FTE 계산'!$A469,monthly_work_hours!$F:$F,'FTE 계산'!E$2)</f>
        <v>179.2</v>
      </c>
      <c r="F469">
        <f>SUMIFS(monthly_work_hours!$K:$K,monthly_work_hours!$A:$A,'FTE 계산'!$A469,monthly_work_hours!$F:$F,'FTE 계산'!F$2)</f>
        <v>179.2</v>
      </c>
      <c r="G469">
        <f>SUMIFS(monthly_work_hours!$K:$K,monthly_work_hours!$A:$A,'FTE 계산'!$A469,monthly_work_hours!$F:$F,'FTE 계산'!G$2)</f>
        <v>145.30000000000001</v>
      </c>
      <c r="H469">
        <f>(SUMIFS(monthly_work_hours!$G:$G,monthly_work_hours!$A:$A,'FTE 계산'!$A469,monthly_work_hours!$F:$F,'FTE 계산'!H$2)) - (SUMIFS(monthly_work_hours!$J:$J,monthly_work_hours!$A:$A,'FTE 계산'!$A469,monthly_work_hours!$F:$F,'FTE 계산'!H$2))</f>
        <v>18</v>
      </c>
      <c r="I469">
        <f>(SUMIFS(monthly_work_hours!$G:$G,monthly_work_hours!$A:$A,'FTE 계산'!$A469,monthly_work_hours!$F:$F,'FTE 계산'!I$2)) - (SUMIFS(monthly_work_hours!$J:$J,monthly_work_hours!$A:$A,'FTE 계산'!$A469,monthly_work_hours!$F:$F,'FTE 계산'!I$2))</f>
        <v>18</v>
      </c>
      <c r="J469">
        <f>(SUMIFS(monthly_work_hours!$G:$G,monthly_work_hours!$A:$A,'FTE 계산'!$A469,monthly_work_hours!$F:$F,'FTE 계산'!J$2)) - (SUMIFS(monthly_work_hours!$J:$J,monthly_work_hours!$A:$A,'FTE 계산'!$A469,monthly_work_hours!$F:$F,'FTE 계산'!J$2))</f>
        <v>16</v>
      </c>
    </row>
    <row r="470" spans="1:10">
      <c r="A470" t="str">
        <v>G224141</v>
      </c>
      <c r="B470" t="str">
        <f>_xlfn.XLOOKUP(A470,monthly_work_hours!A:A,monthly_work_hours!B:B)</f>
        <v>김민지</v>
      </c>
      <c r="C470" t="str">
        <f>_xlfn.XLOOKUP(A470,monthly_work_hours!A:A,monthly_work_hours!C:C)</f>
        <v>IFS사업팀</v>
      </c>
      <c r="D470" t="str">
        <f>_xlfn.XLOOKUP(A470,monthly_work_hours!A:A,monthly_work_hours!D:D)</f>
        <v>사원</v>
      </c>
      <c r="E470">
        <f>SUMIFS(monthly_work_hours!$K:$K,monthly_work_hours!$A:$A,'FTE 계산'!$A470,monthly_work_hours!$F:$F,'FTE 계산'!E$2)</f>
        <v>134.69999999999999</v>
      </c>
      <c r="F470">
        <f>SUMIFS(monthly_work_hours!$K:$K,monthly_work_hours!$A:$A,'FTE 계산'!$A470,monthly_work_hours!$F:$F,'FTE 계산'!F$2)</f>
        <v>203.6</v>
      </c>
      <c r="G470">
        <f>SUMIFS(monthly_work_hours!$K:$K,monthly_work_hours!$A:$A,'FTE 계산'!$A470,monthly_work_hours!$F:$F,'FTE 계산'!G$2)</f>
        <v>149.9</v>
      </c>
      <c r="H470">
        <f>(SUMIFS(monthly_work_hours!$G:$G,monthly_work_hours!$A:$A,'FTE 계산'!$A470,monthly_work_hours!$F:$F,'FTE 계산'!H$2)) - (SUMIFS(monthly_work_hours!$J:$J,monthly_work_hours!$A:$A,'FTE 계산'!$A470,monthly_work_hours!$F:$F,'FTE 계산'!H$2))</f>
        <v>14</v>
      </c>
      <c r="I470">
        <f>(SUMIFS(monthly_work_hours!$G:$G,monthly_work_hours!$A:$A,'FTE 계산'!$A470,monthly_work_hours!$F:$F,'FTE 계산'!I$2)) - (SUMIFS(monthly_work_hours!$J:$J,monthly_work_hours!$A:$A,'FTE 계산'!$A470,monthly_work_hours!$F:$F,'FTE 계산'!I$2))</f>
        <v>22</v>
      </c>
      <c r="J470">
        <f>(SUMIFS(monthly_work_hours!$G:$G,monthly_work_hours!$A:$A,'FTE 계산'!$A470,monthly_work_hours!$F:$F,'FTE 계산'!J$2)) - (SUMIFS(monthly_work_hours!$J:$J,monthly_work_hours!$A:$A,'FTE 계산'!$A470,monthly_work_hours!$F:$F,'FTE 계산'!J$2))</f>
        <v>17</v>
      </c>
    </row>
    <row r="471" spans="1:10">
      <c r="A471" t="str">
        <v>G225003</v>
      </c>
      <c r="B471" t="str">
        <f>_xlfn.XLOOKUP(A471,monthly_work_hours!A:A,monthly_work_hours!B:B)</f>
        <v>박효진</v>
      </c>
      <c r="C471" t="str">
        <f>_xlfn.XLOOKUP(A471,monthly_work_hours!A:A,monthly_work_hours!C:C)</f>
        <v>Energy사업팀</v>
      </c>
      <c r="D471" t="str">
        <f>_xlfn.XLOOKUP(A471,monthly_work_hours!A:A,monthly_work_hours!D:D)</f>
        <v>사원</v>
      </c>
      <c r="E471">
        <f>SUMIFS(monthly_work_hours!$K:$K,monthly_work_hours!$A:$A,'FTE 계산'!$A471,monthly_work_hours!$F:$F,'FTE 계산'!E$2)</f>
        <v>156.6</v>
      </c>
      <c r="F471">
        <f>SUMIFS(monthly_work_hours!$K:$K,monthly_work_hours!$A:$A,'FTE 계산'!$A471,monthly_work_hours!$F:$F,'FTE 계산'!F$2)</f>
        <v>184.9</v>
      </c>
      <c r="G471">
        <f>SUMIFS(monthly_work_hours!$K:$K,monthly_work_hours!$A:$A,'FTE 계산'!$A471,monthly_work_hours!$F:$F,'FTE 계산'!G$2)</f>
        <v>153</v>
      </c>
      <c r="H471">
        <f>(SUMIFS(monthly_work_hours!$G:$G,monthly_work_hours!$A:$A,'FTE 계산'!$A471,monthly_work_hours!$F:$F,'FTE 계산'!H$2)) - (SUMIFS(monthly_work_hours!$J:$J,monthly_work_hours!$A:$A,'FTE 계산'!$A471,monthly_work_hours!$F:$F,'FTE 계산'!H$2))</f>
        <v>16</v>
      </c>
      <c r="I471">
        <f>(SUMIFS(monthly_work_hours!$G:$G,monthly_work_hours!$A:$A,'FTE 계산'!$A471,monthly_work_hours!$F:$F,'FTE 계산'!I$2)) - (SUMIFS(monthly_work_hours!$J:$J,monthly_work_hours!$A:$A,'FTE 계산'!$A471,monthly_work_hours!$F:$F,'FTE 계산'!I$2))</f>
        <v>19</v>
      </c>
      <c r="J471">
        <f>(SUMIFS(monthly_work_hours!$G:$G,monthly_work_hours!$A:$A,'FTE 계산'!$A471,monthly_work_hours!$F:$F,'FTE 계산'!J$2)) - (SUMIFS(monthly_work_hours!$J:$J,monthly_work_hours!$A:$A,'FTE 계산'!$A471,monthly_work_hours!$F:$F,'FTE 계산'!J$2))</f>
        <v>14</v>
      </c>
    </row>
    <row r="472" spans="1:10">
      <c r="A472" t="str">
        <v>G225005</v>
      </c>
      <c r="B472" t="str">
        <f>_xlfn.XLOOKUP(A472,monthly_work_hours!A:A,monthly_work_hours!B:B)</f>
        <v>최보경</v>
      </c>
      <c r="C472" t="str">
        <f>_xlfn.XLOOKUP(A472,monthly_work_hours!A:A,monthly_work_hours!C:C)</f>
        <v>SL재료팀</v>
      </c>
      <c r="D472" t="str">
        <f>_xlfn.XLOOKUP(A472,monthly_work_hours!A:A,monthly_work_hours!D:D)</f>
        <v>사원</v>
      </c>
      <c r="E472">
        <f>SUMIFS(monthly_work_hours!$K:$K,monthly_work_hours!$A:$A,'FTE 계산'!$A472,monthly_work_hours!$F:$F,'FTE 계산'!E$2)</f>
        <v>174</v>
      </c>
      <c r="F472">
        <f>SUMIFS(monthly_work_hours!$K:$K,monthly_work_hours!$A:$A,'FTE 계산'!$A472,monthly_work_hours!$F:$F,'FTE 계산'!F$2)</f>
        <v>167</v>
      </c>
      <c r="G472">
        <f>SUMIFS(monthly_work_hours!$K:$K,monthly_work_hours!$A:$A,'FTE 계산'!$A472,monthly_work_hours!$F:$F,'FTE 계산'!G$2)</f>
        <v>133</v>
      </c>
      <c r="H472">
        <f>(SUMIFS(monthly_work_hours!$G:$G,monthly_work_hours!$A:$A,'FTE 계산'!$A472,monthly_work_hours!$F:$F,'FTE 계산'!H$2)) - (SUMIFS(monthly_work_hours!$J:$J,monthly_work_hours!$A:$A,'FTE 계산'!$A472,monthly_work_hours!$F:$F,'FTE 계산'!H$2))</f>
        <v>19</v>
      </c>
      <c r="I472">
        <f>(SUMIFS(monthly_work_hours!$G:$G,monthly_work_hours!$A:$A,'FTE 계산'!$A472,monthly_work_hours!$F:$F,'FTE 계산'!I$2)) - (SUMIFS(monthly_work_hours!$J:$J,monthly_work_hours!$A:$A,'FTE 계산'!$A472,monthly_work_hours!$F:$F,'FTE 계산'!I$2))</f>
        <v>18</v>
      </c>
      <c r="J472">
        <f>(SUMIFS(monthly_work_hours!$G:$G,monthly_work_hours!$A:$A,'FTE 계산'!$A472,monthly_work_hours!$F:$F,'FTE 계산'!J$2)) - (SUMIFS(monthly_work_hours!$J:$J,monthly_work_hours!$A:$A,'FTE 계산'!$A472,monthly_work_hours!$F:$F,'FTE 계산'!J$2))</f>
        <v>15</v>
      </c>
    </row>
    <row r="473" spans="1:10">
      <c r="A473" t="str">
        <v>G225006</v>
      </c>
      <c r="B473" t="str">
        <f>_xlfn.XLOOKUP(A473,monthly_work_hours!A:A,monthly_work_hours!B:B)</f>
        <v>최현승</v>
      </c>
      <c r="C473" t="str">
        <f>_xlfn.XLOOKUP(A473,monthly_work_hours!A:A,monthly_work_hours!C:C)</f>
        <v>TPE개발팀</v>
      </c>
      <c r="D473" t="str">
        <f>_xlfn.XLOOKUP(A473,monthly_work_hours!A:A,monthly_work_hours!D:D)</f>
        <v>사원</v>
      </c>
      <c r="E473">
        <f>SUMIFS(monthly_work_hours!$K:$K,monthly_work_hours!$A:$A,'FTE 계산'!$A473,monthly_work_hours!$F:$F,'FTE 계산'!E$2)</f>
        <v>140</v>
      </c>
      <c r="F473">
        <f>SUMIFS(monthly_work_hours!$K:$K,monthly_work_hours!$A:$A,'FTE 계산'!$A473,monthly_work_hours!$F:$F,'FTE 계산'!F$2)</f>
        <v>169.4</v>
      </c>
      <c r="G473">
        <f>SUMIFS(monthly_work_hours!$K:$K,monthly_work_hours!$A:$A,'FTE 계산'!$A473,monthly_work_hours!$F:$F,'FTE 계산'!G$2)</f>
        <v>125.9</v>
      </c>
      <c r="H473">
        <f>(SUMIFS(monthly_work_hours!$G:$G,monthly_work_hours!$A:$A,'FTE 계산'!$A473,monthly_work_hours!$F:$F,'FTE 계산'!H$2)) - (SUMIFS(monthly_work_hours!$J:$J,monthly_work_hours!$A:$A,'FTE 계산'!$A473,monthly_work_hours!$F:$F,'FTE 계산'!H$2))</f>
        <v>16</v>
      </c>
      <c r="I473">
        <f>(SUMIFS(monthly_work_hours!$G:$G,monthly_work_hours!$A:$A,'FTE 계산'!$A473,monthly_work_hours!$F:$F,'FTE 계산'!I$2)) - (SUMIFS(monthly_work_hours!$J:$J,monthly_work_hours!$A:$A,'FTE 계산'!$A473,monthly_work_hours!$F:$F,'FTE 계산'!I$2))</f>
        <v>19</v>
      </c>
      <c r="J473">
        <f>(SUMIFS(monthly_work_hours!$G:$G,monthly_work_hours!$A:$A,'FTE 계산'!$A473,monthly_work_hours!$F:$F,'FTE 계산'!J$2)) - (SUMIFS(monthly_work_hours!$J:$J,monthly_work_hours!$A:$A,'FTE 계산'!$A473,monthly_work_hours!$F:$F,'FTE 계산'!J$2))</f>
        <v>15</v>
      </c>
    </row>
    <row r="474" spans="1:10">
      <c r="A474" t="str">
        <v>G225007</v>
      </c>
      <c r="B474" t="str">
        <f>_xlfn.XLOOKUP(A474,monthly_work_hours!A:A,monthly_work_hours!B:B)</f>
        <v>김세훈</v>
      </c>
      <c r="C474" t="str">
        <f>_xlfn.XLOOKUP(A474,monthly_work_hours!A:A,monthly_work_hours!C:C)</f>
        <v>신재료연구팀</v>
      </c>
      <c r="D474" t="str">
        <f>_xlfn.XLOOKUP(A474,monthly_work_hours!A:A,monthly_work_hours!D:D)</f>
        <v>사원</v>
      </c>
      <c r="E474">
        <f>SUMIFS(monthly_work_hours!$K:$K,monthly_work_hours!$A:$A,'FTE 계산'!$A474,monthly_work_hours!$F:$F,'FTE 계산'!E$2)</f>
        <v>171</v>
      </c>
      <c r="F474">
        <f>SUMIFS(monthly_work_hours!$K:$K,monthly_work_hours!$A:$A,'FTE 계산'!$A474,monthly_work_hours!$F:$F,'FTE 계산'!F$2)</f>
        <v>158.1</v>
      </c>
      <c r="G474">
        <f>SUMIFS(monthly_work_hours!$K:$K,monthly_work_hours!$A:$A,'FTE 계산'!$A474,monthly_work_hours!$F:$F,'FTE 계산'!G$2)</f>
        <v>118</v>
      </c>
      <c r="H474">
        <f>(SUMIFS(monthly_work_hours!$G:$G,monthly_work_hours!$A:$A,'FTE 계산'!$A474,monthly_work_hours!$F:$F,'FTE 계산'!H$2)) - (SUMIFS(monthly_work_hours!$J:$J,monthly_work_hours!$A:$A,'FTE 계산'!$A474,monthly_work_hours!$F:$F,'FTE 계산'!H$2))</f>
        <v>18</v>
      </c>
      <c r="I474">
        <f>(SUMIFS(monthly_work_hours!$G:$G,monthly_work_hours!$A:$A,'FTE 계산'!$A474,monthly_work_hours!$F:$F,'FTE 계산'!I$2)) - (SUMIFS(monthly_work_hours!$J:$J,monthly_work_hours!$A:$A,'FTE 계산'!$A474,monthly_work_hours!$F:$F,'FTE 계산'!I$2))</f>
        <v>19</v>
      </c>
      <c r="J474">
        <f>(SUMIFS(monthly_work_hours!$G:$G,monthly_work_hours!$A:$A,'FTE 계산'!$A474,monthly_work_hours!$F:$F,'FTE 계산'!J$2)) - (SUMIFS(monthly_work_hours!$J:$J,monthly_work_hours!$A:$A,'FTE 계산'!$A474,monthly_work_hours!$F:$F,'FTE 계산'!J$2))</f>
        <v>13</v>
      </c>
    </row>
    <row r="475" spans="1:10">
      <c r="A475" t="str">
        <v>G225008</v>
      </c>
      <c r="B475" t="str">
        <f>_xlfn.XLOOKUP(A475,monthly_work_hours!A:A,monthly_work_hours!B:B)</f>
        <v>김효용</v>
      </c>
      <c r="C475" t="str">
        <f>_xlfn.XLOOKUP(A475,monthly_work_hours!A:A,monthly_work_hours!C:C)</f>
        <v>IT 1팀</v>
      </c>
      <c r="D475" t="str">
        <f>_xlfn.XLOOKUP(A475,monthly_work_hours!A:A,monthly_work_hours!D:D)</f>
        <v>사원</v>
      </c>
      <c r="E475">
        <f>SUMIFS(monthly_work_hours!$K:$K,monthly_work_hours!$A:$A,'FTE 계산'!$A475,monthly_work_hours!$F:$F,'FTE 계산'!E$2)</f>
        <v>192</v>
      </c>
      <c r="F475">
        <f>SUMIFS(monthly_work_hours!$K:$K,monthly_work_hours!$A:$A,'FTE 계산'!$A475,monthly_work_hours!$F:$F,'FTE 계산'!F$2)</f>
        <v>438.7</v>
      </c>
      <c r="G475">
        <f>SUMIFS(monthly_work_hours!$K:$K,monthly_work_hours!$A:$A,'FTE 계산'!$A475,monthly_work_hours!$F:$F,'FTE 계산'!G$2)</f>
        <v>150.80000000000001</v>
      </c>
      <c r="H475">
        <f>(SUMIFS(monthly_work_hours!$G:$G,monthly_work_hours!$A:$A,'FTE 계산'!$A475,monthly_work_hours!$F:$F,'FTE 계산'!H$2)) - (SUMIFS(monthly_work_hours!$J:$J,monthly_work_hours!$A:$A,'FTE 계산'!$A475,monthly_work_hours!$F:$F,'FTE 계산'!H$2))</f>
        <v>19</v>
      </c>
      <c r="I475">
        <f>(SUMIFS(monthly_work_hours!$G:$G,monthly_work_hours!$A:$A,'FTE 계산'!$A475,monthly_work_hours!$F:$F,'FTE 계산'!I$2)) - (SUMIFS(monthly_work_hours!$J:$J,monthly_work_hours!$A:$A,'FTE 계산'!$A475,monthly_work_hours!$F:$F,'FTE 계산'!I$2))</f>
        <v>22</v>
      </c>
      <c r="J475">
        <f>(SUMIFS(monthly_work_hours!$G:$G,monthly_work_hours!$A:$A,'FTE 계산'!$A475,monthly_work_hours!$F:$F,'FTE 계산'!J$2)) - (SUMIFS(monthly_work_hours!$J:$J,monthly_work_hours!$A:$A,'FTE 계산'!$A475,monthly_work_hours!$F:$F,'FTE 계산'!J$2))</f>
        <v>11</v>
      </c>
    </row>
    <row r="476" spans="1:10">
      <c r="A476" t="str">
        <v>G225013</v>
      </c>
      <c r="B476" t="str">
        <f>_xlfn.XLOOKUP(A476,monthly_work_hours!A:A,monthly_work_hours!B:B)</f>
        <v>윤지호</v>
      </c>
      <c r="C476" t="str">
        <f>_xlfn.XLOOKUP(A476,monthly_work_hours!A:A,monthly_work_hours!C:C)</f>
        <v>CMB영업팀</v>
      </c>
      <c r="D476" t="str">
        <f>_xlfn.XLOOKUP(A476,monthly_work_hours!A:A,monthly_work_hours!D:D)</f>
        <v>사원</v>
      </c>
      <c r="E476">
        <f>SUMIFS(monthly_work_hours!$K:$K,monthly_work_hours!$A:$A,'FTE 계산'!$A476,monthly_work_hours!$F:$F,'FTE 계산'!E$2)</f>
        <v>177.1</v>
      </c>
      <c r="F476">
        <f>SUMIFS(monthly_work_hours!$K:$K,monthly_work_hours!$A:$A,'FTE 계산'!$A476,monthly_work_hours!$F:$F,'FTE 계산'!F$2)</f>
        <v>163.6</v>
      </c>
      <c r="G476">
        <f>SUMIFS(monthly_work_hours!$K:$K,monthly_work_hours!$A:$A,'FTE 계산'!$A476,monthly_work_hours!$F:$F,'FTE 계산'!G$2)</f>
        <v>108</v>
      </c>
      <c r="H476">
        <f>(SUMIFS(monthly_work_hours!$G:$G,monthly_work_hours!$A:$A,'FTE 계산'!$A476,monthly_work_hours!$F:$F,'FTE 계산'!H$2)) - (SUMIFS(monthly_work_hours!$J:$J,monthly_work_hours!$A:$A,'FTE 계산'!$A476,monthly_work_hours!$F:$F,'FTE 계산'!H$2))</f>
        <v>19</v>
      </c>
      <c r="I476">
        <f>(SUMIFS(monthly_work_hours!$G:$G,monthly_work_hours!$A:$A,'FTE 계산'!$A476,monthly_work_hours!$F:$F,'FTE 계산'!I$2)) - (SUMIFS(monthly_work_hours!$J:$J,monthly_work_hours!$A:$A,'FTE 계산'!$A476,monthly_work_hours!$F:$F,'FTE 계산'!I$2))</f>
        <v>17</v>
      </c>
      <c r="J476">
        <f>(SUMIFS(monthly_work_hours!$G:$G,monthly_work_hours!$A:$A,'FTE 계산'!$A476,monthly_work_hours!$F:$F,'FTE 계산'!J$2)) - (SUMIFS(monthly_work_hours!$J:$J,monthly_work_hours!$A:$A,'FTE 계산'!$A476,monthly_work_hours!$F:$F,'FTE 계산'!J$2))</f>
        <v>13</v>
      </c>
    </row>
    <row r="477" spans="1:10">
      <c r="A477" t="str">
        <v>G225014</v>
      </c>
      <c r="B477" t="str">
        <f>_xlfn.XLOOKUP(A477,monthly_work_hours!A:A,monthly_work_hours!B:B)</f>
        <v>김민수</v>
      </c>
      <c r="C477" t="str">
        <f>_xlfn.XLOOKUP(A477,monthly_work_hours!A:A,monthly_work_hours!C:C)</f>
        <v>신재료연구팀</v>
      </c>
      <c r="D477" t="str">
        <f>_xlfn.XLOOKUP(A477,monthly_work_hours!A:A,monthly_work_hours!D:D)</f>
        <v>책임</v>
      </c>
      <c r="E477">
        <f>SUMIFS(monthly_work_hours!$K:$K,monthly_work_hours!$A:$A,'FTE 계산'!$A477,monthly_work_hours!$F:$F,'FTE 계산'!E$2)</f>
        <v>168.9</v>
      </c>
      <c r="F477">
        <f>SUMIFS(monthly_work_hours!$K:$K,monthly_work_hours!$A:$A,'FTE 계산'!$A477,monthly_work_hours!$F:$F,'FTE 계산'!F$2)</f>
        <v>157.9</v>
      </c>
      <c r="G477">
        <f>SUMIFS(monthly_work_hours!$K:$K,monthly_work_hours!$A:$A,'FTE 계산'!$A477,monthly_work_hours!$F:$F,'FTE 계산'!G$2)</f>
        <v>129.80000000000001</v>
      </c>
      <c r="H477">
        <f>(SUMIFS(monthly_work_hours!$G:$G,monthly_work_hours!$A:$A,'FTE 계산'!$A477,monthly_work_hours!$F:$F,'FTE 계산'!H$2)) - (SUMIFS(monthly_work_hours!$J:$J,monthly_work_hours!$A:$A,'FTE 계산'!$A477,monthly_work_hours!$F:$F,'FTE 계산'!H$2))</f>
        <v>18</v>
      </c>
      <c r="I477">
        <f>(SUMIFS(monthly_work_hours!$G:$G,monthly_work_hours!$A:$A,'FTE 계산'!$A477,monthly_work_hours!$F:$F,'FTE 계산'!I$2)) - (SUMIFS(monthly_work_hours!$J:$J,monthly_work_hours!$A:$A,'FTE 계산'!$A477,monthly_work_hours!$F:$F,'FTE 계산'!I$2))</f>
        <v>18</v>
      </c>
      <c r="J477">
        <f>(SUMIFS(monthly_work_hours!$G:$G,monthly_work_hours!$A:$A,'FTE 계산'!$A477,monthly_work_hours!$F:$F,'FTE 계산'!J$2)) - (SUMIFS(monthly_work_hours!$J:$J,monthly_work_hours!$A:$A,'FTE 계산'!$A477,monthly_work_hours!$F:$F,'FTE 계산'!J$2))</f>
        <v>14</v>
      </c>
    </row>
    <row r="478" spans="1:10">
      <c r="A478" t="str">
        <v>G225015</v>
      </c>
      <c r="B478" t="str">
        <f>_xlfn.XLOOKUP(A478,monthly_work_hours!A:A,monthly_work_hours!B:B)</f>
        <v>전민주</v>
      </c>
      <c r="C478" t="str">
        <f>_xlfn.XLOOKUP(A478,monthly_work_hours!A:A,monthly_work_hours!C:C)</f>
        <v>Energy사업팀</v>
      </c>
      <c r="D478" t="str">
        <f>_xlfn.XLOOKUP(A478,monthly_work_hours!A:A,monthly_work_hours!D:D)</f>
        <v>사원</v>
      </c>
      <c r="E478">
        <f>SUMIFS(monthly_work_hours!$K:$K,monthly_work_hours!$A:$A,'FTE 계산'!$A478,monthly_work_hours!$F:$F,'FTE 계산'!E$2)</f>
        <v>176.6</v>
      </c>
      <c r="F478">
        <f>SUMIFS(monthly_work_hours!$K:$K,monthly_work_hours!$A:$A,'FTE 계산'!$A478,monthly_work_hours!$F:$F,'FTE 계산'!F$2)</f>
        <v>199.4</v>
      </c>
      <c r="G478">
        <f>SUMIFS(monthly_work_hours!$K:$K,monthly_work_hours!$A:$A,'FTE 계산'!$A478,monthly_work_hours!$F:$F,'FTE 계산'!G$2)</f>
        <v>102.4</v>
      </c>
      <c r="H478">
        <f>(SUMIFS(monthly_work_hours!$G:$G,monthly_work_hours!$A:$A,'FTE 계산'!$A478,monthly_work_hours!$F:$F,'FTE 계산'!H$2)) - (SUMIFS(monthly_work_hours!$J:$J,monthly_work_hours!$A:$A,'FTE 계산'!$A478,monthly_work_hours!$F:$F,'FTE 계산'!H$2))</f>
        <v>18</v>
      </c>
      <c r="I478">
        <f>(SUMIFS(monthly_work_hours!$G:$G,monthly_work_hours!$A:$A,'FTE 계산'!$A478,monthly_work_hours!$F:$F,'FTE 계산'!I$2)) - (SUMIFS(monthly_work_hours!$J:$J,monthly_work_hours!$A:$A,'FTE 계산'!$A478,monthly_work_hours!$F:$F,'FTE 계산'!I$2))</f>
        <v>19</v>
      </c>
      <c r="J478">
        <f>(SUMIFS(monthly_work_hours!$G:$G,monthly_work_hours!$A:$A,'FTE 계산'!$A478,monthly_work_hours!$F:$F,'FTE 계산'!J$2)) - (SUMIFS(monthly_work_hours!$J:$J,monthly_work_hours!$A:$A,'FTE 계산'!$A478,monthly_work_hours!$F:$F,'FTE 계산'!J$2))</f>
        <v>12</v>
      </c>
    </row>
    <row r="479" spans="1:10">
      <c r="A479" t="str">
        <v>G225018</v>
      </c>
      <c r="B479" t="str">
        <f>_xlfn.XLOOKUP(A479,monthly_work_hours!A:A,monthly_work_hours!B:B)</f>
        <v>권오한</v>
      </c>
      <c r="C479" t="str">
        <f>_xlfn.XLOOKUP(A479,monthly_work_hours!A:A,monthly_work_hours!C:C)</f>
        <v>품질경영팀</v>
      </c>
      <c r="D479" t="str">
        <f>_xlfn.XLOOKUP(A479,monthly_work_hours!A:A,monthly_work_hours!D:D)</f>
        <v>책임</v>
      </c>
      <c r="E479">
        <f>SUMIFS(monthly_work_hours!$K:$K,monthly_work_hours!$A:$A,'FTE 계산'!$A479,monthly_work_hours!$F:$F,'FTE 계산'!E$2)</f>
        <v>166.4</v>
      </c>
      <c r="F479">
        <f>SUMIFS(monthly_work_hours!$K:$K,monthly_work_hours!$A:$A,'FTE 계산'!$A479,monthly_work_hours!$F:$F,'FTE 계산'!F$2)</f>
        <v>173.2</v>
      </c>
      <c r="G479">
        <f>SUMIFS(monthly_work_hours!$K:$K,monthly_work_hours!$A:$A,'FTE 계산'!$A479,monthly_work_hours!$F:$F,'FTE 계산'!G$2)</f>
        <v>140.5</v>
      </c>
      <c r="H479">
        <f>(SUMIFS(monthly_work_hours!$G:$G,monthly_work_hours!$A:$A,'FTE 계산'!$A479,monthly_work_hours!$F:$F,'FTE 계산'!H$2)) - (SUMIFS(monthly_work_hours!$J:$J,monthly_work_hours!$A:$A,'FTE 계산'!$A479,monthly_work_hours!$F:$F,'FTE 계산'!H$2))</f>
        <v>18</v>
      </c>
      <c r="I479">
        <f>(SUMIFS(monthly_work_hours!$G:$G,monthly_work_hours!$A:$A,'FTE 계산'!$A479,monthly_work_hours!$F:$F,'FTE 계산'!I$2)) - (SUMIFS(monthly_work_hours!$J:$J,monthly_work_hours!$A:$A,'FTE 계산'!$A479,monthly_work_hours!$F:$F,'FTE 계산'!I$2))</f>
        <v>19</v>
      </c>
      <c r="J479">
        <f>(SUMIFS(monthly_work_hours!$G:$G,monthly_work_hours!$A:$A,'FTE 계산'!$A479,monthly_work_hours!$F:$F,'FTE 계산'!J$2)) - (SUMIFS(monthly_work_hours!$J:$J,monthly_work_hours!$A:$A,'FTE 계산'!$A479,monthly_work_hours!$F:$F,'FTE 계산'!J$2))</f>
        <v>16</v>
      </c>
    </row>
    <row r="480" spans="1:10">
      <c r="A480" t="str">
        <v>G225020</v>
      </c>
      <c r="B480" t="str">
        <f>_xlfn.XLOOKUP(A480,monthly_work_hours!A:A,monthly_work_hours!B:B)</f>
        <v>전찬</v>
      </c>
      <c r="C480" t="str">
        <f>_xlfn.XLOOKUP(A480,monthly_work_hours!A:A,monthly_work_hours!C:C)</f>
        <v>Defense사업팀</v>
      </c>
      <c r="D480" t="str">
        <f>_xlfn.XLOOKUP(A480,monthly_work_hours!A:A,monthly_work_hours!D:D)</f>
        <v>선임</v>
      </c>
      <c r="E480">
        <f>SUMIFS(monthly_work_hours!$K:$K,monthly_work_hours!$A:$A,'FTE 계산'!$A480,monthly_work_hours!$F:$F,'FTE 계산'!E$2)</f>
        <v>173</v>
      </c>
      <c r="F480">
        <f>SUMIFS(monthly_work_hours!$K:$K,monthly_work_hours!$A:$A,'FTE 계산'!$A480,monthly_work_hours!$F:$F,'FTE 계산'!F$2)</f>
        <v>167.6</v>
      </c>
      <c r="G480">
        <f>SUMIFS(monthly_work_hours!$K:$K,monthly_work_hours!$A:$A,'FTE 계산'!$A480,monthly_work_hours!$F:$F,'FTE 계산'!G$2)</f>
        <v>138.4</v>
      </c>
      <c r="H480">
        <f>(SUMIFS(monthly_work_hours!$G:$G,monthly_work_hours!$A:$A,'FTE 계산'!$A480,monthly_work_hours!$F:$F,'FTE 계산'!H$2)) - (SUMIFS(monthly_work_hours!$J:$J,monthly_work_hours!$A:$A,'FTE 계산'!$A480,monthly_work_hours!$F:$F,'FTE 계산'!H$2))</f>
        <v>18</v>
      </c>
      <c r="I480">
        <f>(SUMIFS(monthly_work_hours!$G:$G,monthly_work_hours!$A:$A,'FTE 계산'!$A480,monthly_work_hours!$F:$F,'FTE 계산'!I$2)) - (SUMIFS(monthly_work_hours!$J:$J,monthly_work_hours!$A:$A,'FTE 계산'!$A480,monthly_work_hours!$F:$F,'FTE 계산'!I$2))</f>
        <v>18</v>
      </c>
      <c r="J480">
        <f>(SUMIFS(monthly_work_hours!$G:$G,monthly_work_hours!$A:$A,'FTE 계산'!$A480,monthly_work_hours!$F:$F,'FTE 계산'!J$2)) - (SUMIFS(monthly_work_hours!$J:$J,monthly_work_hours!$A:$A,'FTE 계산'!$A480,monthly_work_hours!$F:$F,'FTE 계산'!J$2))</f>
        <v>15</v>
      </c>
    </row>
    <row r="481" spans="1:10">
      <c r="A481" t="str">
        <v>G225021</v>
      </c>
      <c r="B481" t="str">
        <f>_xlfn.XLOOKUP(A481,monthly_work_hours!A:A,monthly_work_hours!B:B)</f>
        <v>신용재</v>
      </c>
      <c r="C481" t="str">
        <f>_xlfn.XLOOKUP(A481,monthly_work_hours!A:A,monthly_work_hours!C:C)</f>
        <v>품질관리팀</v>
      </c>
      <c r="D481" t="str">
        <f>_xlfn.XLOOKUP(A481,monthly_work_hours!A:A,monthly_work_hours!D:D)</f>
        <v>사원</v>
      </c>
      <c r="E481">
        <f>SUMIFS(monthly_work_hours!$K:$K,monthly_work_hours!$A:$A,'FTE 계산'!$A481,monthly_work_hours!$F:$F,'FTE 계산'!E$2)</f>
        <v>230.3</v>
      </c>
      <c r="F481">
        <f>SUMIFS(monthly_work_hours!$K:$K,monthly_work_hours!$A:$A,'FTE 계산'!$A481,monthly_work_hours!$F:$F,'FTE 계산'!F$2)</f>
        <v>219.8</v>
      </c>
      <c r="G481">
        <f>SUMIFS(monthly_work_hours!$K:$K,monthly_work_hours!$A:$A,'FTE 계산'!$A481,monthly_work_hours!$F:$F,'FTE 계산'!G$2)</f>
        <v>182</v>
      </c>
      <c r="H481">
        <f>(SUMIFS(monthly_work_hours!$G:$G,monthly_work_hours!$A:$A,'FTE 계산'!$A481,monthly_work_hours!$F:$F,'FTE 계산'!H$2)) - (SUMIFS(monthly_work_hours!$J:$J,monthly_work_hours!$A:$A,'FTE 계산'!$A481,monthly_work_hours!$F:$F,'FTE 계산'!H$2))</f>
        <v>19</v>
      </c>
      <c r="I481">
        <f>(SUMIFS(monthly_work_hours!$G:$G,monthly_work_hours!$A:$A,'FTE 계산'!$A481,monthly_work_hours!$F:$F,'FTE 계산'!I$2)) - (SUMIFS(monthly_work_hours!$J:$J,monthly_work_hours!$A:$A,'FTE 계산'!$A481,monthly_work_hours!$F:$F,'FTE 계산'!I$2))</f>
        <v>19</v>
      </c>
      <c r="J481">
        <f>(SUMIFS(monthly_work_hours!$G:$G,monthly_work_hours!$A:$A,'FTE 계산'!$A481,monthly_work_hours!$F:$F,'FTE 계산'!J$2)) - (SUMIFS(monthly_work_hours!$J:$J,monthly_work_hours!$A:$A,'FTE 계산'!$A481,monthly_work_hours!$F:$F,'FTE 계산'!J$2))</f>
        <v>17</v>
      </c>
    </row>
    <row r="482" spans="1:10">
      <c r="A482" t="str">
        <v>G225022</v>
      </c>
      <c r="B482" t="str">
        <f>_xlfn.XLOOKUP(A482,monthly_work_hours!A:A,monthly_work_hours!B:B)</f>
        <v>이재현</v>
      </c>
      <c r="C482" t="str">
        <f>_xlfn.XLOOKUP(A482,monthly_work_hours!A:A,monthly_work_hours!C:C)</f>
        <v>IT 1팀</v>
      </c>
      <c r="D482" t="str">
        <f>_xlfn.XLOOKUP(A482,monthly_work_hours!A:A,monthly_work_hours!D:D)</f>
        <v>사원</v>
      </c>
      <c r="E482">
        <f>SUMIFS(monthly_work_hours!$K:$K,monthly_work_hours!$A:$A,'FTE 계산'!$A482,monthly_work_hours!$F:$F,'FTE 계산'!E$2)</f>
        <v>172</v>
      </c>
      <c r="F482">
        <f>SUMIFS(monthly_work_hours!$K:$K,monthly_work_hours!$A:$A,'FTE 계산'!$A482,monthly_work_hours!$F:$F,'FTE 계산'!F$2)</f>
        <v>234</v>
      </c>
      <c r="G482">
        <f>SUMIFS(monthly_work_hours!$K:$K,monthly_work_hours!$A:$A,'FTE 계산'!$A482,monthly_work_hours!$F:$F,'FTE 계산'!G$2)</f>
        <v>98.6</v>
      </c>
      <c r="H482">
        <f>(SUMIFS(monthly_work_hours!$G:$G,monthly_work_hours!$A:$A,'FTE 계산'!$A482,monthly_work_hours!$F:$F,'FTE 계산'!H$2)) - (SUMIFS(monthly_work_hours!$J:$J,monthly_work_hours!$A:$A,'FTE 계산'!$A482,monthly_work_hours!$F:$F,'FTE 계산'!H$2))</f>
        <v>19</v>
      </c>
      <c r="I482">
        <f>(SUMIFS(monthly_work_hours!$G:$G,monthly_work_hours!$A:$A,'FTE 계산'!$A482,monthly_work_hours!$F:$F,'FTE 계산'!I$2)) - (SUMIFS(monthly_work_hours!$J:$J,monthly_work_hours!$A:$A,'FTE 계산'!$A482,monthly_work_hours!$F:$F,'FTE 계산'!I$2))</f>
        <v>22</v>
      </c>
      <c r="J482">
        <f>(SUMIFS(monthly_work_hours!$G:$G,monthly_work_hours!$A:$A,'FTE 계산'!$A482,monthly_work_hours!$F:$F,'FTE 계산'!J$2)) - (SUMIFS(monthly_work_hours!$J:$J,monthly_work_hours!$A:$A,'FTE 계산'!$A482,monthly_work_hours!$F:$F,'FTE 계산'!J$2))</f>
        <v>12</v>
      </c>
    </row>
    <row r="483" spans="1:10">
      <c r="A483" t="str">
        <v>G225023</v>
      </c>
      <c r="B483" t="str">
        <f>_xlfn.XLOOKUP(A483,monthly_work_hours!A:A,monthly_work_hours!B:B)</f>
        <v>권정솔</v>
      </c>
      <c r="C483" t="str">
        <f>_xlfn.XLOOKUP(A483,monthly_work_hours!A:A,monthly_work_hours!C:C)</f>
        <v>IT 1팀</v>
      </c>
      <c r="D483" t="str">
        <f>_xlfn.XLOOKUP(A483,monthly_work_hours!A:A,monthly_work_hours!D:D)</f>
        <v>사원</v>
      </c>
      <c r="E483">
        <f>SUMIFS(monthly_work_hours!$K:$K,monthly_work_hours!$A:$A,'FTE 계산'!$A483,monthly_work_hours!$F:$F,'FTE 계산'!E$2)</f>
        <v>172.2</v>
      </c>
      <c r="F483">
        <f>SUMIFS(monthly_work_hours!$K:$K,monthly_work_hours!$A:$A,'FTE 계산'!$A483,monthly_work_hours!$F:$F,'FTE 계산'!F$2)</f>
        <v>339.2</v>
      </c>
      <c r="G483">
        <f>SUMIFS(monthly_work_hours!$K:$K,monthly_work_hours!$A:$A,'FTE 계산'!$A483,monthly_work_hours!$F:$F,'FTE 계산'!G$2)</f>
        <v>135.19999999999999</v>
      </c>
      <c r="H483">
        <f>(SUMIFS(monthly_work_hours!$G:$G,monthly_work_hours!$A:$A,'FTE 계산'!$A483,monthly_work_hours!$F:$F,'FTE 계산'!H$2)) - (SUMIFS(monthly_work_hours!$J:$J,monthly_work_hours!$A:$A,'FTE 계산'!$A483,monthly_work_hours!$F:$F,'FTE 계산'!H$2))</f>
        <v>19</v>
      </c>
      <c r="I483">
        <f>(SUMIFS(monthly_work_hours!$G:$G,monthly_work_hours!$A:$A,'FTE 계산'!$A483,monthly_work_hours!$F:$F,'FTE 계산'!I$2)) - (SUMIFS(monthly_work_hours!$J:$J,monthly_work_hours!$A:$A,'FTE 계산'!$A483,monthly_work_hours!$F:$F,'FTE 계산'!I$2))</f>
        <v>22</v>
      </c>
      <c r="J483">
        <f>(SUMIFS(monthly_work_hours!$G:$G,monthly_work_hours!$A:$A,'FTE 계산'!$A483,monthly_work_hours!$F:$F,'FTE 계산'!J$2)) - (SUMIFS(monthly_work_hours!$J:$J,monthly_work_hours!$A:$A,'FTE 계산'!$A483,monthly_work_hours!$F:$F,'FTE 계산'!J$2))</f>
        <v>13</v>
      </c>
    </row>
    <row r="484" spans="1:10">
      <c r="A484" t="str">
        <v>G225025</v>
      </c>
      <c r="B484" t="str">
        <f>_xlfn.XLOOKUP(A484,monthly_work_hours!A:A,monthly_work_hours!B:B)</f>
        <v>이성수</v>
      </c>
      <c r="C484" t="str">
        <f>_xlfn.XLOOKUP(A484,monthly_work_hours!A:A,monthly_work_hours!C:C)</f>
        <v>FL기술지원팀</v>
      </c>
      <c r="D484" t="str">
        <f>_xlfn.XLOOKUP(A484,monthly_work_hours!A:A,monthly_work_hours!D:D)</f>
        <v>사원</v>
      </c>
      <c r="E484">
        <f>SUMIFS(monthly_work_hours!$K:$K,monthly_work_hours!$A:$A,'FTE 계산'!$A484,monthly_work_hours!$F:$F,'FTE 계산'!E$2)</f>
        <v>172.9</v>
      </c>
      <c r="F484">
        <f>SUMIFS(monthly_work_hours!$K:$K,monthly_work_hours!$A:$A,'FTE 계산'!$A484,monthly_work_hours!$F:$F,'FTE 계산'!F$2)</f>
        <v>135.4</v>
      </c>
      <c r="G484">
        <f>SUMIFS(monthly_work_hours!$K:$K,monthly_work_hours!$A:$A,'FTE 계산'!$A484,monthly_work_hours!$F:$F,'FTE 계산'!G$2)</f>
        <v>104.6</v>
      </c>
      <c r="H484">
        <f>(SUMIFS(monthly_work_hours!$G:$G,monthly_work_hours!$A:$A,'FTE 계산'!$A484,monthly_work_hours!$F:$F,'FTE 계산'!H$2)) - (SUMIFS(monthly_work_hours!$J:$J,monthly_work_hours!$A:$A,'FTE 계산'!$A484,monthly_work_hours!$F:$F,'FTE 계산'!H$2))</f>
        <v>18</v>
      </c>
      <c r="I484">
        <f>(SUMIFS(monthly_work_hours!$G:$G,monthly_work_hours!$A:$A,'FTE 계산'!$A484,monthly_work_hours!$F:$F,'FTE 계산'!I$2)) - (SUMIFS(monthly_work_hours!$J:$J,monthly_work_hours!$A:$A,'FTE 계산'!$A484,monthly_work_hours!$F:$F,'FTE 계산'!I$2))</f>
        <v>14</v>
      </c>
      <c r="J484">
        <f>(SUMIFS(monthly_work_hours!$G:$G,monthly_work_hours!$A:$A,'FTE 계산'!$A484,monthly_work_hours!$F:$F,'FTE 계산'!J$2)) - (SUMIFS(monthly_work_hours!$J:$J,monthly_work_hours!$A:$A,'FTE 계산'!$A484,monthly_work_hours!$F:$F,'FTE 계산'!J$2))</f>
        <v>12</v>
      </c>
    </row>
    <row r="485" spans="1:10">
      <c r="A485" t="str">
        <v>G225026</v>
      </c>
      <c r="B485" t="str">
        <f>_xlfn.XLOOKUP(A485,monthly_work_hours!A:A,monthly_work_hours!B:B)</f>
        <v>박예준</v>
      </c>
      <c r="C485" t="str">
        <f>_xlfn.XLOOKUP(A485,monthly_work_hours!A:A,monthly_work_hours!C:C)</f>
        <v>인더스트리얼 설계개발팀</v>
      </c>
      <c r="D485" t="str">
        <f>_xlfn.XLOOKUP(A485,monthly_work_hours!A:A,monthly_work_hours!D:D)</f>
        <v>사원</v>
      </c>
      <c r="E485">
        <f>SUMIFS(monthly_work_hours!$K:$K,monthly_work_hours!$A:$A,'FTE 계산'!$A485,monthly_work_hours!$F:$F,'FTE 계산'!E$2)</f>
        <v>176.9</v>
      </c>
      <c r="F485">
        <f>SUMIFS(monthly_work_hours!$K:$K,monthly_work_hours!$A:$A,'FTE 계산'!$A485,monthly_work_hours!$F:$F,'FTE 계산'!F$2)</f>
        <v>223.5</v>
      </c>
      <c r="G485">
        <f>SUMIFS(monthly_work_hours!$K:$K,monthly_work_hours!$A:$A,'FTE 계산'!$A485,monthly_work_hours!$F:$F,'FTE 계산'!G$2)</f>
        <v>138.69999999999999</v>
      </c>
      <c r="H485">
        <f>(SUMIFS(monthly_work_hours!$G:$G,monthly_work_hours!$A:$A,'FTE 계산'!$A485,monthly_work_hours!$F:$F,'FTE 계산'!H$2)) - (SUMIFS(monthly_work_hours!$J:$J,monthly_work_hours!$A:$A,'FTE 계산'!$A485,monthly_work_hours!$F:$F,'FTE 계산'!H$2))</f>
        <v>18</v>
      </c>
      <c r="I485">
        <f>(SUMIFS(monthly_work_hours!$G:$G,monthly_work_hours!$A:$A,'FTE 계산'!$A485,monthly_work_hours!$F:$F,'FTE 계산'!I$2)) - (SUMIFS(monthly_work_hours!$J:$J,monthly_work_hours!$A:$A,'FTE 계산'!$A485,monthly_work_hours!$F:$F,'FTE 계산'!I$2))</f>
        <v>19</v>
      </c>
      <c r="J485">
        <f>(SUMIFS(monthly_work_hours!$G:$G,monthly_work_hours!$A:$A,'FTE 계산'!$A485,monthly_work_hours!$F:$F,'FTE 계산'!J$2)) - (SUMIFS(monthly_work_hours!$J:$J,monthly_work_hours!$A:$A,'FTE 계산'!$A485,monthly_work_hours!$F:$F,'FTE 계산'!J$2))</f>
        <v>15</v>
      </c>
    </row>
    <row r="486" spans="1:10">
      <c r="A486" t="str">
        <v>G225027</v>
      </c>
      <c r="B486" t="str">
        <f>_xlfn.XLOOKUP(A486,monthly_work_hours!A:A,monthly_work_hours!B:B)</f>
        <v>김예지</v>
      </c>
      <c r="C486" t="str">
        <f>_xlfn.XLOOKUP(A486,monthly_work_hours!A:A,monthly_work_hours!C:C)</f>
        <v>인더스트리얼 설계개발팀</v>
      </c>
      <c r="D486" t="str">
        <f>_xlfn.XLOOKUP(A486,monthly_work_hours!A:A,monthly_work_hours!D:D)</f>
        <v>사원</v>
      </c>
      <c r="E486">
        <f>SUMIFS(monthly_work_hours!$K:$K,monthly_work_hours!$A:$A,'FTE 계산'!$A486,monthly_work_hours!$F:$F,'FTE 계산'!E$2)</f>
        <v>183.8</v>
      </c>
      <c r="F486">
        <f>SUMIFS(monthly_work_hours!$K:$K,monthly_work_hours!$A:$A,'FTE 계산'!$A486,monthly_work_hours!$F:$F,'FTE 계산'!F$2)</f>
        <v>182.9</v>
      </c>
      <c r="G486">
        <f>SUMIFS(monthly_work_hours!$K:$K,monthly_work_hours!$A:$A,'FTE 계산'!$A486,monthly_work_hours!$F:$F,'FTE 계산'!G$2)</f>
        <v>92.6</v>
      </c>
      <c r="H486">
        <f>(SUMIFS(monthly_work_hours!$G:$G,monthly_work_hours!$A:$A,'FTE 계산'!$A486,monthly_work_hours!$F:$F,'FTE 계산'!H$2)) - (SUMIFS(monthly_work_hours!$J:$J,monthly_work_hours!$A:$A,'FTE 계산'!$A486,monthly_work_hours!$F:$F,'FTE 계산'!H$2))</f>
        <v>18</v>
      </c>
      <c r="I486">
        <f>(SUMIFS(monthly_work_hours!$G:$G,monthly_work_hours!$A:$A,'FTE 계산'!$A486,monthly_work_hours!$F:$F,'FTE 계산'!I$2)) - (SUMIFS(monthly_work_hours!$J:$J,monthly_work_hours!$A:$A,'FTE 계산'!$A486,monthly_work_hours!$F:$F,'FTE 계산'!I$2))</f>
        <v>18</v>
      </c>
      <c r="J486">
        <f>(SUMIFS(monthly_work_hours!$G:$G,monthly_work_hours!$A:$A,'FTE 계산'!$A486,monthly_work_hours!$F:$F,'FTE 계산'!J$2)) - (SUMIFS(monthly_work_hours!$J:$J,monthly_work_hours!$A:$A,'FTE 계산'!$A486,monthly_work_hours!$F:$F,'FTE 계산'!J$2))</f>
        <v>11</v>
      </c>
    </row>
    <row r="487" spans="1:10">
      <c r="A487" t="str">
        <v>G225028</v>
      </c>
      <c r="B487" t="str">
        <f>_xlfn.XLOOKUP(A487,monthly_work_hours!A:A,monthly_work_hours!B:B)</f>
        <v>이진형</v>
      </c>
      <c r="C487" t="str">
        <f>_xlfn.XLOOKUP(A487,monthly_work_hours!A:A,monthly_work_hours!C:C)</f>
        <v>기획팀</v>
      </c>
      <c r="D487" t="str">
        <f>_xlfn.XLOOKUP(A487,monthly_work_hours!A:A,monthly_work_hours!D:D)</f>
        <v>사원</v>
      </c>
      <c r="E487">
        <f>SUMIFS(monthly_work_hours!$K:$K,monthly_work_hours!$A:$A,'FTE 계산'!$A487,monthly_work_hours!$F:$F,'FTE 계산'!E$2)</f>
        <v>178.8</v>
      </c>
      <c r="F487">
        <f>SUMIFS(monthly_work_hours!$K:$K,monthly_work_hours!$A:$A,'FTE 계산'!$A487,monthly_work_hours!$F:$F,'FTE 계산'!F$2)</f>
        <v>168.7</v>
      </c>
      <c r="G487">
        <f>SUMIFS(monthly_work_hours!$K:$K,monthly_work_hours!$A:$A,'FTE 계산'!$A487,monthly_work_hours!$F:$F,'FTE 계산'!G$2)</f>
        <v>120.2</v>
      </c>
      <c r="H487">
        <f>(SUMIFS(monthly_work_hours!$G:$G,monthly_work_hours!$A:$A,'FTE 계산'!$A487,monthly_work_hours!$F:$F,'FTE 계산'!H$2)) - (SUMIFS(monthly_work_hours!$J:$J,monthly_work_hours!$A:$A,'FTE 계산'!$A487,monthly_work_hours!$F:$F,'FTE 계산'!H$2))</f>
        <v>19</v>
      </c>
      <c r="I487">
        <f>(SUMIFS(monthly_work_hours!$G:$G,monthly_work_hours!$A:$A,'FTE 계산'!$A487,monthly_work_hours!$F:$F,'FTE 계산'!I$2)) - (SUMIFS(monthly_work_hours!$J:$J,monthly_work_hours!$A:$A,'FTE 계산'!$A487,monthly_work_hours!$F:$F,'FTE 계산'!I$2))</f>
        <v>18</v>
      </c>
      <c r="J487">
        <f>(SUMIFS(monthly_work_hours!$G:$G,monthly_work_hours!$A:$A,'FTE 계산'!$A487,monthly_work_hours!$F:$F,'FTE 계산'!J$2)) - (SUMIFS(monthly_work_hours!$J:$J,monthly_work_hours!$A:$A,'FTE 계산'!$A487,monthly_work_hours!$F:$F,'FTE 계산'!J$2))</f>
        <v>15</v>
      </c>
    </row>
    <row r="488" spans="1:10">
      <c r="A488" t="str">
        <v>G225029</v>
      </c>
      <c r="B488" t="str">
        <f>_xlfn.XLOOKUP(A488,monthly_work_hours!A:A,monthly_work_hours!B:B)</f>
        <v>고병희</v>
      </c>
      <c r="C488" t="str">
        <f>_xlfn.XLOOKUP(A488,monthly_work_hours!A:A,monthly_work_hours!C:C)</f>
        <v>품질관리팀</v>
      </c>
      <c r="D488" t="str">
        <f>_xlfn.XLOOKUP(A488,monthly_work_hours!A:A,monthly_work_hours!D:D)</f>
        <v>선임</v>
      </c>
      <c r="E488">
        <f>SUMIFS(monthly_work_hours!$K:$K,monthly_work_hours!$A:$A,'FTE 계산'!$A488,monthly_work_hours!$F:$F,'FTE 계산'!E$2)</f>
        <v>191.3</v>
      </c>
      <c r="F488">
        <f>SUMIFS(monthly_work_hours!$K:$K,monthly_work_hours!$A:$A,'FTE 계산'!$A488,monthly_work_hours!$F:$F,'FTE 계산'!F$2)</f>
        <v>242.1</v>
      </c>
      <c r="G488">
        <f>SUMIFS(monthly_work_hours!$K:$K,monthly_work_hours!$A:$A,'FTE 계산'!$A488,monthly_work_hours!$F:$F,'FTE 계산'!G$2)</f>
        <v>169.7</v>
      </c>
      <c r="H488">
        <f>(SUMIFS(monthly_work_hours!$G:$G,monthly_work_hours!$A:$A,'FTE 계산'!$A488,monthly_work_hours!$F:$F,'FTE 계산'!H$2)) - (SUMIFS(monthly_work_hours!$J:$J,monthly_work_hours!$A:$A,'FTE 계산'!$A488,monthly_work_hours!$F:$F,'FTE 계산'!H$2))</f>
        <v>18</v>
      </c>
      <c r="I488">
        <f>(SUMIFS(monthly_work_hours!$G:$G,monthly_work_hours!$A:$A,'FTE 계산'!$A488,monthly_work_hours!$F:$F,'FTE 계산'!I$2)) - (SUMIFS(monthly_work_hours!$J:$J,monthly_work_hours!$A:$A,'FTE 계산'!$A488,monthly_work_hours!$F:$F,'FTE 계산'!I$2))</f>
        <v>19</v>
      </c>
      <c r="J488">
        <f>(SUMIFS(monthly_work_hours!$G:$G,monthly_work_hours!$A:$A,'FTE 계산'!$A488,monthly_work_hours!$F:$F,'FTE 계산'!J$2)) - (SUMIFS(monthly_work_hours!$J:$J,monthly_work_hours!$A:$A,'FTE 계산'!$A488,monthly_work_hours!$F:$F,'FTE 계산'!J$2))</f>
        <v>15</v>
      </c>
    </row>
    <row r="489" spans="1:10">
      <c r="A489" t="str">
        <v>G225035</v>
      </c>
      <c r="B489" t="str">
        <f>_xlfn.XLOOKUP(A489,monthly_work_hours!A:A,monthly_work_hours!B:B)</f>
        <v>윤인석</v>
      </c>
      <c r="C489" t="str">
        <f>_xlfn.XLOOKUP(A489,monthly_work_hours!A:A,monthly_work_hours!C:C)</f>
        <v>비서팀</v>
      </c>
      <c r="D489" t="str">
        <f>_xlfn.XLOOKUP(A489,monthly_work_hours!A:A,monthly_work_hours!D:D)</f>
        <v>선임</v>
      </c>
      <c r="E489">
        <f>SUMIFS(monthly_work_hours!$K:$K,monthly_work_hours!$A:$A,'FTE 계산'!$A489,monthly_work_hours!$F:$F,'FTE 계산'!E$2)</f>
        <v>162.6</v>
      </c>
      <c r="F489">
        <f>SUMIFS(monthly_work_hours!$K:$K,monthly_work_hours!$A:$A,'FTE 계산'!$A489,monthly_work_hours!$F:$F,'FTE 계산'!F$2)</f>
        <v>167.6</v>
      </c>
      <c r="G489">
        <f>SUMIFS(monthly_work_hours!$K:$K,monthly_work_hours!$A:$A,'FTE 계산'!$A489,monthly_work_hours!$F:$F,'FTE 계산'!G$2)</f>
        <v>112.1</v>
      </c>
      <c r="H489">
        <f>(SUMIFS(monthly_work_hours!$G:$G,monthly_work_hours!$A:$A,'FTE 계산'!$A489,monthly_work_hours!$F:$F,'FTE 계산'!H$2)) - (SUMIFS(monthly_work_hours!$J:$J,monthly_work_hours!$A:$A,'FTE 계산'!$A489,monthly_work_hours!$F:$F,'FTE 계산'!H$2))</f>
        <v>18</v>
      </c>
      <c r="I489">
        <f>(SUMIFS(monthly_work_hours!$G:$G,monthly_work_hours!$A:$A,'FTE 계산'!$A489,monthly_work_hours!$F:$F,'FTE 계산'!I$2)) - (SUMIFS(monthly_work_hours!$J:$J,monthly_work_hours!$A:$A,'FTE 계산'!$A489,monthly_work_hours!$F:$F,'FTE 계산'!I$2))</f>
        <v>18</v>
      </c>
      <c r="J489">
        <f>(SUMIFS(monthly_work_hours!$G:$G,monthly_work_hours!$A:$A,'FTE 계산'!$A489,monthly_work_hours!$F:$F,'FTE 계산'!J$2)) - (SUMIFS(monthly_work_hours!$J:$J,monthly_work_hours!$A:$A,'FTE 계산'!$A489,monthly_work_hours!$F:$F,'FTE 계산'!J$2))</f>
        <v>13</v>
      </c>
    </row>
    <row r="490" spans="1:10">
      <c r="A490" t="str">
        <v>G225037</v>
      </c>
      <c r="B490" t="str">
        <f>_xlfn.XLOOKUP(A490,monthly_work_hours!A:A,monthly_work_hours!B:B)</f>
        <v>민윤재</v>
      </c>
      <c r="C490" t="str">
        <f>_xlfn.XLOOKUP(A490,monthly_work_hours!A:A,monthly_work_hours!C:C)</f>
        <v>지속가능경영2팀</v>
      </c>
      <c r="D490" t="str">
        <f>_xlfn.XLOOKUP(A490,monthly_work_hours!A:A,monthly_work_hours!D:D)</f>
        <v>선임</v>
      </c>
      <c r="E490">
        <f>SUMIFS(monthly_work_hours!$K:$K,monthly_work_hours!$A:$A,'FTE 계산'!$A490,monthly_work_hours!$F:$F,'FTE 계산'!E$2)</f>
        <v>156.4</v>
      </c>
      <c r="F490">
        <f>SUMIFS(monthly_work_hours!$K:$K,monthly_work_hours!$A:$A,'FTE 계산'!$A490,monthly_work_hours!$F:$F,'FTE 계산'!F$2)</f>
        <v>208.6</v>
      </c>
      <c r="G490">
        <f>SUMIFS(monthly_work_hours!$K:$K,monthly_work_hours!$A:$A,'FTE 계산'!$A490,monthly_work_hours!$F:$F,'FTE 계산'!G$2)</f>
        <v>116.3</v>
      </c>
      <c r="H490">
        <f>(SUMIFS(monthly_work_hours!$G:$G,monthly_work_hours!$A:$A,'FTE 계산'!$A490,monthly_work_hours!$F:$F,'FTE 계산'!H$2)) - (SUMIFS(monthly_work_hours!$J:$J,monthly_work_hours!$A:$A,'FTE 계산'!$A490,monthly_work_hours!$F:$F,'FTE 계산'!H$2))</f>
        <v>15</v>
      </c>
      <c r="I490">
        <f>(SUMIFS(monthly_work_hours!$G:$G,monthly_work_hours!$A:$A,'FTE 계산'!$A490,monthly_work_hours!$F:$F,'FTE 계산'!I$2)) - (SUMIFS(monthly_work_hours!$J:$J,monthly_work_hours!$A:$A,'FTE 계산'!$A490,monthly_work_hours!$F:$F,'FTE 계산'!I$2))</f>
        <v>19</v>
      </c>
      <c r="J490">
        <f>(SUMIFS(monthly_work_hours!$G:$G,monthly_work_hours!$A:$A,'FTE 계산'!$A490,monthly_work_hours!$F:$F,'FTE 계산'!J$2)) - (SUMIFS(monthly_work_hours!$J:$J,monthly_work_hours!$A:$A,'FTE 계산'!$A490,monthly_work_hours!$F:$F,'FTE 계산'!J$2))</f>
        <v>14</v>
      </c>
    </row>
    <row r="491" spans="1:10">
      <c r="A491" t="str">
        <v>G225039</v>
      </c>
      <c r="B491" t="str">
        <f>_xlfn.XLOOKUP(A491,monthly_work_hours!A:A,monthly_work_hours!B:B)</f>
        <v>김금석</v>
      </c>
      <c r="C491" t="str">
        <f>_xlfn.XLOOKUP(A491,monthly_work_hours!A:A,monthly_work_hours!C:C)</f>
        <v>SL기술지원팀</v>
      </c>
      <c r="D491" t="str">
        <f>_xlfn.XLOOKUP(A491,monthly_work_hours!A:A,monthly_work_hours!D:D)</f>
        <v>선임</v>
      </c>
      <c r="E491">
        <f>SUMIFS(monthly_work_hours!$K:$K,monthly_work_hours!$A:$A,'FTE 계산'!$A491,monthly_work_hours!$F:$F,'FTE 계산'!E$2)</f>
        <v>0</v>
      </c>
      <c r="F491">
        <f>SUMIFS(monthly_work_hours!$K:$K,monthly_work_hours!$A:$A,'FTE 계산'!$A491,monthly_work_hours!$F:$F,'FTE 계산'!F$2)</f>
        <v>144.30000000000001</v>
      </c>
      <c r="G491">
        <f>SUMIFS(monthly_work_hours!$K:$K,monthly_work_hours!$A:$A,'FTE 계산'!$A491,monthly_work_hours!$F:$F,'FTE 계산'!G$2)</f>
        <v>157.69999999999999</v>
      </c>
      <c r="H491">
        <f>(SUMIFS(monthly_work_hours!$G:$G,monthly_work_hours!$A:$A,'FTE 계산'!$A491,monthly_work_hours!$F:$F,'FTE 계산'!H$2)) - (SUMIFS(monthly_work_hours!$J:$J,monthly_work_hours!$A:$A,'FTE 계산'!$A491,monthly_work_hours!$F:$F,'FTE 계산'!H$2))</f>
        <v>0</v>
      </c>
      <c r="I491">
        <f>(SUMIFS(monthly_work_hours!$G:$G,monthly_work_hours!$A:$A,'FTE 계산'!$A491,monthly_work_hours!$F:$F,'FTE 계산'!I$2)) - (SUMIFS(monthly_work_hours!$J:$J,monthly_work_hours!$A:$A,'FTE 계산'!$A491,monthly_work_hours!$F:$F,'FTE 계산'!I$2))</f>
        <v>16</v>
      </c>
      <c r="J491">
        <f>(SUMIFS(monthly_work_hours!$G:$G,monthly_work_hours!$A:$A,'FTE 계산'!$A491,monthly_work_hours!$F:$F,'FTE 계산'!J$2)) - (SUMIFS(monthly_work_hours!$J:$J,monthly_work_hours!$A:$A,'FTE 계산'!$A491,monthly_work_hours!$F:$F,'FTE 계산'!J$2))</f>
        <v>16</v>
      </c>
    </row>
    <row r="492" spans="1:10">
      <c r="A492" t="str">
        <v>G225042</v>
      </c>
      <c r="B492" t="str">
        <f>_xlfn.XLOOKUP(A492,monthly_work_hours!A:A,monthly_work_hours!B:B)</f>
        <v>김민수</v>
      </c>
      <c r="C492" t="str">
        <f>_xlfn.XLOOKUP(A492,monthly_work_hours!A:A,monthly_work_hours!C:C)</f>
        <v>Defense사업팀</v>
      </c>
      <c r="D492" t="str">
        <f>_xlfn.XLOOKUP(A492,monthly_work_hours!A:A,monthly_work_hours!D:D)</f>
        <v>사원</v>
      </c>
      <c r="E492">
        <f>SUMIFS(monthly_work_hours!$K:$K,monthly_work_hours!$A:$A,'FTE 계산'!$A492,monthly_work_hours!$F:$F,'FTE 계산'!E$2)</f>
        <v>0</v>
      </c>
      <c r="F492">
        <f>SUMIFS(monthly_work_hours!$K:$K,monthly_work_hours!$A:$A,'FTE 계산'!$A492,monthly_work_hours!$F:$F,'FTE 계산'!F$2)</f>
        <v>0</v>
      </c>
      <c r="G492">
        <f>SUMIFS(monthly_work_hours!$K:$K,monthly_work_hours!$A:$A,'FTE 계산'!$A492,monthly_work_hours!$F:$F,'FTE 계산'!G$2)</f>
        <v>9.9</v>
      </c>
      <c r="H492">
        <f>(SUMIFS(monthly_work_hours!$G:$G,monthly_work_hours!$A:$A,'FTE 계산'!$A492,monthly_work_hours!$F:$F,'FTE 계산'!H$2)) - (SUMIFS(monthly_work_hours!$J:$J,monthly_work_hours!$A:$A,'FTE 계산'!$A492,monthly_work_hours!$F:$F,'FTE 계산'!H$2))</f>
        <v>0</v>
      </c>
      <c r="I492">
        <f>(SUMIFS(monthly_work_hours!$G:$G,monthly_work_hours!$A:$A,'FTE 계산'!$A492,monthly_work_hours!$F:$F,'FTE 계산'!I$2)) - (SUMIFS(monthly_work_hours!$J:$J,monthly_work_hours!$A:$A,'FTE 계산'!$A492,monthly_work_hours!$F:$F,'FTE 계산'!I$2))</f>
        <v>0</v>
      </c>
      <c r="J492">
        <f>(SUMIFS(monthly_work_hours!$G:$G,monthly_work_hours!$A:$A,'FTE 계산'!$A492,monthly_work_hours!$F:$F,'FTE 계산'!J$2)) - (SUMIFS(monthly_work_hours!$J:$J,monthly_work_hours!$A:$A,'FTE 계산'!$A492,monthly_work_hours!$F:$F,'FTE 계산'!J$2))</f>
        <v>2</v>
      </c>
    </row>
    <row r="493" spans="1:10">
      <c r="A493" t="str">
        <v>G225043</v>
      </c>
      <c r="B493" t="str">
        <f>_xlfn.XLOOKUP(A493,monthly_work_hours!A:A,monthly_work_hours!B:B)</f>
        <v>문병렬</v>
      </c>
      <c r="C493" t="str">
        <f>_xlfn.XLOOKUP(A493,monthly_work_hours!A:A,monthly_work_hours!C:C)</f>
        <v>FL재료팀</v>
      </c>
      <c r="D493" t="str">
        <f>_xlfn.XLOOKUP(A493,monthly_work_hours!A:A,monthly_work_hours!D:D)</f>
        <v>사원</v>
      </c>
      <c r="E493">
        <f>SUMIFS(monthly_work_hours!$K:$K,monthly_work_hours!$A:$A,'FTE 계산'!$A493,monthly_work_hours!$F:$F,'FTE 계산'!E$2)</f>
        <v>0</v>
      </c>
      <c r="F493">
        <f>SUMIFS(monthly_work_hours!$K:$K,monthly_work_hours!$A:$A,'FTE 계산'!$A493,monthly_work_hours!$F:$F,'FTE 계산'!F$2)</f>
        <v>0</v>
      </c>
      <c r="G493">
        <f>SUMIFS(monthly_work_hours!$K:$K,monthly_work_hours!$A:$A,'FTE 계산'!$A493,monthly_work_hours!$F:$F,'FTE 계산'!G$2)</f>
        <v>46.3</v>
      </c>
      <c r="H493">
        <f>(SUMIFS(monthly_work_hours!$G:$G,monthly_work_hours!$A:$A,'FTE 계산'!$A493,monthly_work_hours!$F:$F,'FTE 계산'!H$2)) - (SUMIFS(monthly_work_hours!$J:$J,monthly_work_hours!$A:$A,'FTE 계산'!$A493,monthly_work_hours!$F:$F,'FTE 계산'!H$2))</f>
        <v>0</v>
      </c>
      <c r="I493">
        <f>(SUMIFS(monthly_work_hours!$G:$G,monthly_work_hours!$A:$A,'FTE 계산'!$A493,monthly_work_hours!$F:$F,'FTE 계산'!I$2)) - (SUMIFS(monthly_work_hours!$J:$J,monthly_work_hours!$A:$A,'FTE 계산'!$A493,monthly_work_hours!$F:$F,'FTE 계산'!I$2))</f>
        <v>0</v>
      </c>
      <c r="J493">
        <f>(SUMIFS(monthly_work_hours!$G:$G,monthly_work_hours!$A:$A,'FTE 계산'!$A493,monthly_work_hours!$F:$F,'FTE 계산'!J$2)) - (SUMIFS(monthly_work_hours!$J:$J,monthly_work_hours!$A:$A,'FTE 계산'!$A493,monthly_work_hours!$F:$F,'FTE 계산'!J$2))</f>
        <v>6</v>
      </c>
    </row>
    <row r="494" spans="1:10">
      <c r="A494" t="str">
        <v>G225044</v>
      </c>
      <c r="B494" t="str">
        <f>_xlfn.XLOOKUP(A494,monthly_work_hours!A:A,monthly_work_hours!B:B)</f>
        <v>유솔화</v>
      </c>
      <c r="C494" t="str">
        <f>_xlfn.XLOOKUP(A494,monthly_work_hours!A:A,monthly_work_hours!C:C)</f>
        <v>FL재료팀</v>
      </c>
      <c r="D494" t="str">
        <f>_xlfn.XLOOKUP(A494,monthly_work_hours!A:A,monthly_work_hours!D:D)</f>
        <v>사원</v>
      </c>
      <c r="E494">
        <f>SUMIFS(monthly_work_hours!$K:$K,monthly_work_hours!$A:$A,'FTE 계산'!$A494,monthly_work_hours!$F:$F,'FTE 계산'!E$2)</f>
        <v>0</v>
      </c>
      <c r="F494">
        <f>SUMIFS(monthly_work_hours!$K:$K,monthly_work_hours!$A:$A,'FTE 계산'!$A494,monthly_work_hours!$F:$F,'FTE 계산'!F$2)</f>
        <v>0</v>
      </c>
      <c r="G494">
        <f>SUMIFS(monthly_work_hours!$K:$K,monthly_work_hours!$A:$A,'FTE 계산'!$A494,monthly_work_hours!$F:$F,'FTE 계산'!G$2)</f>
        <v>51.4</v>
      </c>
      <c r="H494">
        <f>(SUMIFS(monthly_work_hours!$G:$G,monthly_work_hours!$A:$A,'FTE 계산'!$A494,monthly_work_hours!$F:$F,'FTE 계산'!H$2)) - (SUMIFS(monthly_work_hours!$J:$J,monthly_work_hours!$A:$A,'FTE 계산'!$A494,monthly_work_hours!$F:$F,'FTE 계산'!H$2))</f>
        <v>0</v>
      </c>
      <c r="I494">
        <f>(SUMIFS(monthly_work_hours!$G:$G,monthly_work_hours!$A:$A,'FTE 계산'!$A494,monthly_work_hours!$F:$F,'FTE 계산'!I$2)) - (SUMIFS(monthly_work_hours!$J:$J,monthly_work_hours!$A:$A,'FTE 계산'!$A494,monthly_work_hours!$F:$F,'FTE 계산'!I$2))</f>
        <v>0</v>
      </c>
      <c r="J494">
        <f>(SUMIFS(monthly_work_hours!$G:$G,monthly_work_hours!$A:$A,'FTE 계산'!$A494,monthly_work_hours!$F:$F,'FTE 계산'!J$2)) - (SUMIFS(monthly_work_hours!$J:$J,monthly_work_hours!$A:$A,'FTE 계산'!$A494,monthly_work_hours!$F:$F,'FTE 계산'!J$2))</f>
        <v>6</v>
      </c>
    </row>
    <row r="495" spans="1:10">
      <c r="A495" t="str">
        <v>G225045</v>
      </c>
      <c r="B495" t="str">
        <f>_xlfn.XLOOKUP(A495,monthly_work_hours!A:A,monthly_work_hours!B:B)</f>
        <v>김수곤</v>
      </c>
      <c r="C495" t="str">
        <f>_xlfn.XLOOKUP(A495,monthly_work_hours!A:A,monthly_work_hours!C:C)</f>
        <v>SL재료팀</v>
      </c>
      <c r="D495" t="str">
        <f>_xlfn.XLOOKUP(A495,monthly_work_hours!A:A,monthly_work_hours!D:D)</f>
        <v>사원</v>
      </c>
      <c r="E495">
        <f>SUMIFS(monthly_work_hours!$K:$K,monthly_work_hours!$A:$A,'FTE 계산'!$A495,monthly_work_hours!$F:$F,'FTE 계산'!E$2)</f>
        <v>0</v>
      </c>
      <c r="F495">
        <f>SUMIFS(monthly_work_hours!$K:$K,monthly_work_hours!$A:$A,'FTE 계산'!$A495,monthly_work_hours!$F:$F,'FTE 계산'!F$2)</f>
        <v>0</v>
      </c>
      <c r="G495">
        <f>SUMIFS(monthly_work_hours!$K:$K,monthly_work_hours!$A:$A,'FTE 계산'!$A495,monthly_work_hours!$F:$F,'FTE 계산'!G$2)</f>
        <v>46.1</v>
      </c>
      <c r="H495">
        <f>(SUMIFS(monthly_work_hours!$G:$G,monthly_work_hours!$A:$A,'FTE 계산'!$A495,monthly_work_hours!$F:$F,'FTE 계산'!H$2)) - (SUMIFS(monthly_work_hours!$J:$J,monthly_work_hours!$A:$A,'FTE 계산'!$A495,monthly_work_hours!$F:$F,'FTE 계산'!H$2))</f>
        <v>0</v>
      </c>
      <c r="I495">
        <f>(SUMIFS(monthly_work_hours!$G:$G,monthly_work_hours!$A:$A,'FTE 계산'!$A495,monthly_work_hours!$F:$F,'FTE 계산'!I$2)) - (SUMIFS(monthly_work_hours!$J:$J,monthly_work_hours!$A:$A,'FTE 계산'!$A495,monthly_work_hours!$F:$F,'FTE 계산'!I$2))</f>
        <v>0</v>
      </c>
      <c r="J495">
        <f>(SUMIFS(monthly_work_hours!$G:$G,monthly_work_hours!$A:$A,'FTE 계산'!$A495,monthly_work_hours!$F:$F,'FTE 계산'!J$2)) - (SUMIFS(monthly_work_hours!$J:$J,monthly_work_hours!$A:$A,'FTE 계산'!$A495,monthly_work_hours!$F:$F,'FTE 계산'!J$2))</f>
        <v>6</v>
      </c>
    </row>
    <row r="496" spans="1:10">
      <c r="A496" t="str">
        <v>G225046</v>
      </c>
      <c r="B496" t="str">
        <f>_xlfn.XLOOKUP(A496,monthly_work_hours!A:A,monthly_work_hours!B:B)</f>
        <v>정하은</v>
      </c>
      <c r="C496" t="str">
        <f>_xlfn.XLOOKUP(A496,monthly_work_hours!A:A,monthly_work_hours!C:C)</f>
        <v>SL재료팀</v>
      </c>
      <c r="D496" t="str">
        <f>_xlfn.XLOOKUP(A496,monthly_work_hours!A:A,monthly_work_hours!D:D)</f>
        <v>사원</v>
      </c>
      <c r="E496">
        <f>SUMIFS(monthly_work_hours!$K:$K,monthly_work_hours!$A:$A,'FTE 계산'!$A496,monthly_work_hours!$F:$F,'FTE 계산'!E$2)</f>
        <v>0</v>
      </c>
      <c r="F496">
        <f>SUMIFS(monthly_work_hours!$K:$K,monthly_work_hours!$A:$A,'FTE 계산'!$A496,monthly_work_hours!$F:$F,'FTE 계산'!F$2)</f>
        <v>0</v>
      </c>
      <c r="G496">
        <f>SUMIFS(monthly_work_hours!$K:$K,monthly_work_hours!$A:$A,'FTE 계산'!$A496,monthly_work_hours!$F:$F,'FTE 계산'!G$2)</f>
        <v>46.4</v>
      </c>
      <c r="H496">
        <f>(SUMIFS(monthly_work_hours!$G:$G,monthly_work_hours!$A:$A,'FTE 계산'!$A496,monthly_work_hours!$F:$F,'FTE 계산'!H$2)) - (SUMIFS(monthly_work_hours!$J:$J,monthly_work_hours!$A:$A,'FTE 계산'!$A496,monthly_work_hours!$F:$F,'FTE 계산'!H$2))</f>
        <v>0</v>
      </c>
      <c r="I496">
        <f>(SUMIFS(monthly_work_hours!$G:$G,monthly_work_hours!$A:$A,'FTE 계산'!$A496,monthly_work_hours!$F:$F,'FTE 계산'!I$2)) - (SUMIFS(monthly_work_hours!$J:$J,monthly_work_hours!$A:$A,'FTE 계산'!$A496,monthly_work_hours!$F:$F,'FTE 계산'!I$2))</f>
        <v>0</v>
      </c>
      <c r="J496">
        <f>(SUMIFS(monthly_work_hours!$G:$G,monthly_work_hours!$A:$A,'FTE 계산'!$A496,monthly_work_hours!$F:$F,'FTE 계산'!J$2)) - (SUMIFS(monthly_work_hours!$J:$J,monthly_work_hours!$A:$A,'FTE 계산'!$A496,monthly_work_hours!$F:$F,'FTE 계산'!J$2))</f>
        <v>6</v>
      </c>
    </row>
    <row r="497" spans="1:10">
      <c r="A497" t="str">
        <v>G225047</v>
      </c>
      <c r="B497" t="str">
        <f>_xlfn.XLOOKUP(A497,monthly_work_hours!A:A,monthly_work_hours!B:B)</f>
        <v>정예원</v>
      </c>
      <c r="C497" t="str">
        <f>_xlfn.XLOOKUP(A497,monthly_work_hours!A:A,monthly_work_hours!C:C)</f>
        <v>신재료연구팀</v>
      </c>
      <c r="D497" t="str">
        <f>_xlfn.XLOOKUP(A497,monthly_work_hours!A:A,monthly_work_hours!D:D)</f>
        <v>사원</v>
      </c>
      <c r="E497">
        <f>SUMIFS(monthly_work_hours!$K:$K,monthly_work_hours!$A:$A,'FTE 계산'!$A497,monthly_work_hours!$F:$F,'FTE 계산'!E$2)</f>
        <v>0</v>
      </c>
      <c r="F497">
        <f>SUMIFS(monthly_work_hours!$K:$K,monthly_work_hours!$A:$A,'FTE 계산'!$A497,monthly_work_hours!$F:$F,'FTE 계산'!F$2)</f>
        <v>0</v>
      </c>
      <c r="G497">
        <f>SUMIFS(monthly_work_hours!$K:$K,monthly_work_hours!$A:$A,'FTE 계산'!$A497,monthly_work_hours!$F:$F,'FTE 계산'!G$2)</f>
        <v>54.6</v>
      </c>
      <c r="H497">
        <f>(SUMIFS(monthly_work_hours!$G:$G,monthly_work_hours!$A:$A,'FTE 계산'!$A497,monthly_work_hours!$F:$F,'FTE 계산'!H$2)) - (SUMIFS(monthly_work_hours!$J:$J,monthly_work_hours!$A:$A,'FTE 계산'!$A497,monthly_work_hours!$F:$F,'FTE 계산'!H$2))</f>
        <v>0</v>
      </c>
      <c r="I497">
        <f>(SUMIFS(monthly_work_hours!$G:$G,monthly_work_hours!$A:$A,'FTE 계산'!$A497,monthly_work_hours!$F:$F,'FTE 계산'!I$2)) - (SUMIFS(monthly_work_hours!$J:$J,monthly_work_hours!$A:$A,'FTE 계산'!$A497,monthly_work_hours!$F:$F,'FTE 계산'!I$2))</f>
        <v>0</v>
      </c>
      <c r="J497">
        <f>(SUMIFS(monthly_work_hours!$G:$G,monthly_work_hours!$A:$A,'FTE 계산'!$A497,monthly_work_hours!$F:$F,'FTE 계산'!J$2)) - (SUMIFS(monthly_work_hours!$J:$J,monthly_work_hours!$A:$A,'FTE 계산'!$A497,monthly_work_hours!$F:$F,'FTE 계산'!J$2))</f>
        <v>6</v>
      </c>
    </row>
    <row r="498" spans="1:10">
      <c r="A498" t="str">
        <v>G225048</v>
      </c>
      <c r="B498" t="str">
        <f>_xlfn.XLOOKUP(A498,monthly_work_hours!A:A,monthly_work_hours!B:B)</f>
        <v>이서영</v>
      </c>
      <c r="C498" t="str">
        <f>_xlfn.XLOOKUP(A498,monthly_work_hours!A:A,monthly_work_hours!C:C)</f>
        <v>인더스트리얼재료팀</v>
      </c>
      <c r="D498" t="str">
        <f>_xlfn.XLOOKUP(A498,monthly_work_hours!A:A,monthly_work_hours!D:D)</f>
        <v>사원</v>
      </c>
      <c r="E498">
        <f>SUMIFS(monthly_work_hours!$K:$K,monthly_work_hours!$A:$A,'FTE 계산'!$A498,monthly_work_hours!$F:$F,'FTE 계산'!E$2)</f>
        <v>0</v>
      </c>
      <c r="F498">
        <f>SUMIFS(monthly_work_hours!$K:$K,monthly_work_hours!$A:$A,'FTE 계산'!$A498,monthly_work_hours!$F:$F,'FTE 계산'!F$2)</f>
        <v>0</v>
      </c>
      <c r="G498">
        <f>SUMIFS(monthly_work_hours!$K:$K,monthly_work_hours!$A:$A,'FTE 계산'!$A498,monthly_work_hours!$F:$F,'FTE 계산'!G$2)</f>
        <v>63.7</v>
      </c>
      <c r="H498">
        <f>(SUMIFS(monthly_work_hours!$G:$G,monthly_work_hours!$A:$A,'FTE 계산'!$A498,monthly_work_hours!$F:$F,'FTE 계산'!H$2)) - (SUMIFS(monthly_work_hours!$J:$J,monthly_work_hours!$A:$A,'FTE 계산'!$A498,monthly_work_hours!$F:$F,'FTE 계산'!H$2))</f>
        <v>0</v>
      </c>
      <c r="I498">
        <f>(SUMIFS(monthly_work_hours!$G:$G,monthly_work_hours!$A:$A,'FTE 계산'!$A498,monthly_work_hours!$F:$F,'FTE 계산'!I$2)) - (SUMIFS(monthly_work_hours!$J:$J,monthly_work_hours!$A:$A,'FTE 계산'!$A498,monthly_work_hours!$F:$F,'FTE 계산'!I$2))</f>
        <v>0</v>
      </c>
      <c r="J498">
        <f>(SUMIFS(monthly_work_hours!$G:$G,monthly_work_hours!$A:$A,'FTE 계산'!$A498,monthly_work_hours!$F:$F,'FTE 계산'!J$2)) - (SUMIFS(monthly_work_hours!$J:$J,monthly_work_hours!$A:$A,'FTE 계산'!$A498,monthly_work_hours!$F:$F,'FTE 계산'!J$2))</f>
        <v>6</v>
      </c>
    </row>
    <row r="499" spans="1:10">
      <c r="A499" t="str">
        <v>G225049</v>
      </c>
      <c r="B499" t="str">
        <f>_xlfn.XLOOKUP(A499,monthly_work_hours!A:A,monthly_work_hours!B:B)</f>
        <v>박다빈</v>
      </c>
      <c r="C499" t="str">
        <f>_xlfn.XLOOKUP(A499,monthly_work_hours!A:A,monthly_work_hours!C:C)</f>
        <v>인더스트리얼재료팀</v>
      </c>
      <c r="D499" t="str">
        <f>_xlfn.XLOOKUP(A499,monthly_work_hours!A:A,monthly_work_hours!D:D)</f>
        <v>사원</v>
      </c>
      <c r="E499">
        <f>SUMIFS(monthly_work_hours!$K:$K,monthly_work_hours!$A:$A,'FTE 계산'!$A499,monthly_work_hours!$F:$F,'FTE 계산'!E$2)</f>
        <v>0</v>
      </c>
      <c r="F499">
        <f>SUMIFS(monthly_work_hours!$K:$K,monthly_work_hours!$A:$A,'FTE 계산'!$A499,monthly_work_hours!$F:$F,'FTE 계산'!F$2)</f>
        <v>0</v>
      </c>
      <c r="G499">
        <f>SUMIFS(monthly_work_hours!$K:$K,monthly_work_hours!$A:$A,'FTE 계산'!$A499,monthly_work_hours!$F:$F,'FTE 계산'!G$2)</f>
        <v>72.8</v>
      </c>
      <c r="H499">
        <f>(SUMIFS(monthly_work_hours!$G:$G,monthly_work_hours!$A:$A,'FTE 계산'!$A499,monthly_work_hours!$F:$F,'FTE 계산'!H$2)) - (SUMIFS(monthly_work_hours!$J:$J,monthly_work_hours!$A:$A,'FTE 계산'!$A499,monthly_work_hours!$F:$F,'FTE 계산'!H$2))</f>
        <v>0</v>
      </c>
      <c r="I499">
        <f>(SUMIFS(monthly_work_hours!$G:$G,monthly_work_hours!$A:$A,'FTE 계산'!$A499,monthly_work_hours!$F:$F,'FTE 계산'!I$2)) - (SUMIFS(monthly_work_hours!$J:$J,monthly_work_hours!$A:$A,'FTE 계산'!$A499,monthly_work_hours!$F:$F,'FTE 계산'!I$2))</f>
        <v>0</v>
      </c>
      <c r="J499">
        <f>(SUMIFS(monthly_work_hours!$G:$G,monthly_work_hours!$A:$A,'FTE 계산'!$A499,monthly_work_hours!$F:$F,'FTE 계산'!J$2)) - (SUMIFS(monthly_work_hours!$J:$J,monthly_work_hours!$A:$A,'FTE 계산'!$A499,monthly_work_hours!$F:$F,'FTE 계산'!J$2))</f>
        <v>8</v>
      </c>
    </row>
    <row r="500" spans="1:10">
      <c r="A500" t="str">
        <v>G225050</v>
      </c>
      <c r="B500" t="str">
        <f>_xlfn.XLOOKUP(A500,monthly_work_hours!A:A,monthly_work_hours!B:B)</f>
        <v>김소연</v>
      </c>
      <c r="C500" t="str">
        <f>_xlfn.XLOOKUP(A500,monthly_work_hours!A:A,monthly_work_hours!C:C)</f>
        <v>GS팀</v>
      </c>
      <c r="D500" t="str">
        <f>_xlfn.XLOOKUP(A500,monthly_work_hours!A:A,monthly_work_hours!D:D)</f>
        <v>사원</v>
      </c>
      <c r="E500">
        <f>SUMIFS(monthly_work_hours!$K:$K,monthly_work_hours!$A:$A,'FTE 계산'!$A500,monthly_work_hours!$F:$F,'FTE 계산'!E$2)</f>
        <v>0</v>
      </c>
      <c r="F500">
        <f>SUMIFS(monthly_work_hours!$K:$K,monthly_work_hours!$A:$A,'FTE 계산'!$A500,monthly_work_hours!$F:$F,'FTE 계산'!F$2)</f>
        <v>0</v>
      </c>
      <c r="G500">
        <f>SUMIFS(monthly_work_hours!$K:$K,monthly_work_hours!$A:$A,'FTE 계산'!$A500,monthly_work_hours!$F:$F,'FTE 계산'!G$2)</f>
        <v>46.4</v>
      </c>
      <c r="H500">
        <f>(SUMIFS(monthly_work_hours!$G:$G,monthly_work_hours!$A:$A,'FTE 계산'!$A500,monthly_work_hours!$F:$F,'FTE 계산'!H$2)) - (SUMIFS(monthly_work_hours!$J:$J,monthly_work_hours!$A:$A,'FTE 계산'!$A500,monthly_work_hours!$F:$F,'FTE 계산'!H$2))</f>
        <v>0</v>
      </c>
      <c r="I500">
        <f>(SUMIFS(monthly_work_hours!$G:$G,monthly_work_hours!$A:$A,'FTE 계산'!$A500,monthly_work_hours!$F:$F,'FTE 계산'!I$2)) - (SUMIFS(monthly_work_hours!$J:$J,monthly_work_hours!$A:$A,'FTE 계산'!$A500,monthly_work_hours!$F:$F,'FTE 계산'!I$2))</f>
        <v>0</v>
      </c>
      <c r="J500">
        <f>(SUMIFS(monthly_work_hours!$G:$G,monthly_work_hours!$A:$A,'FTE 계산'!$A500,monthly_work_hours!$F:$F,'FTE 계산'!J$2)) - (SUMIFS(monthly_work_hours!$J:$J,monthly_work_hours!$A:$A,'FTE 계산'!$A500,monthly_work_hours!$F:$F,'FTE 계산'!J$2))</f>
        <v>6</v>
      </c>
    </row>
    <row r="501" spans="1:10">
      <c r="A501" t="str">
        <v>G225051</v>
      </c>
      <c r="B501" t="str">
        <f>_xlfn.XLOOKUP(A501,monthly_work_hours!A:A,monthly_work_hours!B:B)</f>
        <v>이가현</v>
      </c>
      <c r="C501" t="str">
        <f>_xlfn.XLOOKUP(A501,monthly_work_hours!A:A,monthly_work_hours!C:C)</f>
        <v>IT 2팀</v>
      </c>
      <c r="D501" t="str">
        <f>_xlfn.XLOOKUP(A501,monthly_work_hours!A:A,monthly_work_hours!D:D)</f>
        <v>사원</v>
      </c>
      <c r="E501">
        <f>SUMIFS(monthly_work_hours!$K:$K,monthly_work_hours!$A:$A,'FTE 계산'!$A501,monthly_work_hours!$F:$F,'FTE 계산'!E$2)</f>
        <v>0</v>
      </c>
      <c r="F501">
        <f>SUMIFS(monthly_work_hours!$K:$K,monthly_work_hours!$A:$A,'FTE 계산'!$A501,monthly_work_hours!$F:$F,'FTE 계산'!F$2)</f>
        <v>0</v>
      </c>
      <c r="G501">
        <f>SUMIFS(monthly_work_hours!$K:$K,monthly_work_hours!$A:$A,'FTE 계산'!$A501,monthly_work_hours!$F:$F,'FTE 계산'!G$2)</f>
        <v>63.2</v>
      </c>
      <c r="H501">
        <f>(SUMIFS(monthly_work_hours!$G:$G,monthly_work_hours!$A:$A,'FTE 계산'!$A501,monthly_work_hours!$F:$F,'FTE 계산'!H$2)) - (SUMIFS(monthly_work_hours!$J:$J,monthly_work_hours!$A:$A,'FTE 계산'!$A501,monthly_work_hours!$F:$F,'FTE 계산'!H$2))</f>
        <v>0</v>
      </c>
      <c r="I501">
        <f>(SUMIFS(monthly_work_hours!$G:$G,monthly_work_hours!$A:$A,'FTE 계산'!$A501,monthly_work_hours!$F:$F,'FTE 계산'!I$2)) - (SUMIFS(monthly_work_hours!$J:$J,monthly_work_hours!$A:$A,'FTE 계산'!$A501,monthly_work_hours!$F:$F,'FTE 계산'!I$2))</f>
        <v>0</v>
      </c>
      <c r="J501">
        <f>(SUMIFS(monthly_work_hours!$G:$G,monthly_work_hours!$A:$A,'FTE 계산'!$A501,monthly_work_hours!$F:$F,'FTE 계산'!J$2)) - (SUMIFS(monthly_work_hours!$J:$J,monthly_work_hours!$A:$A,'FTE 계산'!$A501,monthly_work_hours!$F:$F,'FTE 계산'!J$2))</f>
        <v>7</v>
      </c>
    </row>
    <row r="502" spans="1:10">
      <c r="A502" t="str">
        <v>G225052</v>
      </c>
      <c r="B502" t="str">
        <f>_xlfn.XLOOKUP(A502,monthly_work_hours!A:A,monthly_work_hours!B:B)</f>
        <v>신호윤</v>
      </c>
      <c r="C502" t="str">
        <f>_xlfn.XLOOKUP(A502,monthly_work_hours!A:A,monthly_work_hours!C:C)</f>
        <v>SL기술지원팀</v>
      </c>
      <c r="D502" t="str">
        <f>_xlfn.XLOOKUP(A502,monthly_work_hours!A:A,monthly_work_hours!D:D)</f>
        <v>사원</v>
      </c>
      <c r="E502">
        <f>SUMIFS(monthly_work_hours!$K:$K,monthly_work_hours!$A:$A,'FTE 계산'!$A502,monthly_work_hours!$F:$F,'FTE 계산'!E$2)</f>
        <v>0</v>
      </c>
      <c r="F502">
        <f>SUMIFS(monthly_work_hours!$K:$K,monthly_work_hours!$A:$A,'FTE 계산'!$A502,monthly_work_hours!$F:$F,'FTE 계산'!F$2)</f>
        <v>0</v>
      </c>
      <c r="G502">
        <f>SUMIFS(monthly_work_hours!$K:$K,monthly_work_hours!$A:$A,'FTE 계산'!$A502,monthly_work_hours!$F:$F,'FTE 계산'!G$2)</f>
        <v>53.4</v>
      </c>
      <c r="H502">
        <f>(SUMIFS(monthly_work_hours!$G:$G,monthly_work_hours!$A:$A,'FTE 계산'!$A502,monthly_work_hours!$F:$F,'FTE 계산'!H$2)) - (SUMIFS(monthly_work_hours!$J:$J,monthly_work_hours!$A:$A,'FTE 계산'!$A502,monthly_work_hours!$F:$F,'FTE 계산'!H$2))</f>
        <v>0</v>
      </c>
      <c r="I502">
        <f>(SUMIFS(monthly_work_hours!$G:$G,monthly_work_hours!$A:$A,'FTE 계산'!$A502,monthly_work_hours!$F:$F,'FTE 계산'!I$2)) - (SUMIFS(monthly_work_hours!$J:$J,monthly_work_hours!$A:$A,'FTE 계산'!$A502,monthly_work_hours!$F:$F,'FTE 계산'!I$2))</f>
        <v>0</v>
      </c>
      <c r="J502">
        <f>(SUMIFS(monthly_work_hours!$G:$G,monthly_work_hours!$A:$A,'FTE 계산'!$A502,monthly_work_hours!$F:$F,'FTE 계산'!J$2)) - (SUMIFS(monthly_work_hours!$J:$J,monthly_work_hours!$A:$A,'FTE 계산'!$A502,monthly_work_hours!$F:$F,'FTE 계산'!J$2))</f>
        <v>6</v>
      </c>
    </row>
    <row r="503" spans="1:10">
      <c r="A503" t="str">
        <v>G225053</v>
      </c>
      <c r="B503" t="str">
        <f>_xlfn.XLOOKUP(A503,monthly_work_hours!A:A,monthly_work_hours!B:B)</f>
        <v>김종화</v>
      </c>
      <c r="C503" t="str">
        <f>_xlfn.XLOOKUP(A503,monthly_work_hours!A:A,monthly_work_hours!C:C)</f>
        <v>자금팀</v>
      </c>
      <c r="D503" t="str">
        <f>_xlfn.XLOOKUP(A503,monthly_work_hours!A:A,monthly_work_hours!D:D)</f>
        <v>사원</v>
      </c>
      <c r="E503">
        <f>SUMIFS(monthly_work_hours!$K:$K,monthly_work_hours!$A:$A,'FTE 계산'!$A503,monthly_work_hours!$F:$F,'FTE 계산'!E$2)</f>
        <v>0</v>
      </c>
      <c r="F503">
        <f>SUMIFS(monthly_work_hours!$K:$K,monthly_work_hours!$A:$A,'FTE 계산'!$A503,monthly_work_hours!$F:$F,'FTE 계산'!F$2)</f>
        <v>0</v>
      </c>
      <c r="G503">
        <f>SUMIFS(monthly_work_hours!$K:$K,monthly_work_hours!$A:$A,'FTE 계산'!$A503,monthly_work_hours!$F:$F,'FTE 계산'!G$2)</f>
        <v>44.4</v>
      </c>
      <c r="H503">
        <f>(SUMIFS(monthly_work_hours!$G:$G,monthly_work_hours!$A:$A,'FTE 계산'!$A503,monthly_work_hours!$F:$F,'FTE 계산'!H$2)) - (SUMIFS(monthly_work_hours!$J:$J,monthly_work_hours!$A:$A,'FTE 계산'!$A503,monthly_work_hours!$F:$F,'FTE 계산'!H$2))</f>
        <v>0</v>
      </c>
      <c r="I503">
        <f>(SUMIFS(monthly_work_hours!$G:$G,monthly_work_hours!$A:$A,'FTE 계산'!$A503,monthly_work_hours!$F:$F,'FTE 계산'!I$2)) - (SUMIFS(monthly_work_hours!$J:$J,monthly_work_hours!$A:$A,'FTE 계산'!$A503,monthly_work_hours!$F:$F,'FTE 계산'!I$2))</f>
        <v>0</v>
      </c>
      <c r="J503">
        <f>(SUMIFS(monthly_work_hours!$G:$G,monthly_work_hours!$A:$A,'FTE 계산'!$A503,monthly_work_hours!$F:$F,'FTE 계산'!J$2)) - (SUMIFS(monthly_work_hours!$J:$J,monthly_work_hours!$A:$A,'FTE 계산'!$A503,monthly_work_hours!$F:$F,'FTE 계산'!J$2))</f>
        <v>6</v>
      </c>
    </row>
  </sheetData>
  <mergeCells count="11">
    <mergeCell ref="AQ1:AT1"/>
    <mergeCell ref="AU1:AX1"/>
    <mergeCell ref="AA1:AD1"/>
    <mergeCell ref="AE1:AH1"/>
    <mergeCell ref="AI1:AL1"/>
    <mergeCell ref="AM1:AP1"/>
    <mergeCell ref="E1:G1"/>
    <mergeCell ref="H1:J1"/>
    <mergeCell ref="O1:R1"/>
    <mergeCell ref="S1:V1"/>
    <mergeCell ref="W1:Z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862-76AE-452B-B7DC-3CCD3849C787}">
  <dimension ref="A1:N123"/>
  <sheetViews>
    <sheetView workbookViewId="0">
      <selection activeCell="M6" sqref="M6"/>
    </sheetView>
  </sheetViews>
  <sheetFormatPr baseColWidth="10" defaultColWidth="8.83203125" defaultRowHeight="17"/>
  <sheetData>
    <row r="1" spans="1:14">
      <c r="B1" t="s">
        <v>1346</v>
      </c>
      <c r="F1" t="s">
        <v>1347</v>
      </c>
      <c r="K1" t="s">
        <v>1395</v>
      </c>
    </row>
    <row r="2" spans="1:14">
      <c r="B2" t="s">
        <v>1330</v>
      </c>
      <c r="C2" t="s">
        <v>20</v>
      </c>
      <c r="D2" t="s">
        <v>136</v>
      </c>
      <c r="E2" t="s">
        <v>194</v>
      </c>
      <c r="F2" t="s">
        <v>1330</v>
      </c>
      <c r="G2" t="s">
        <v>20</v>
      </c>
      <c r="H2" t="s">
        <v>136</v>
      </c>
      <c r="I2" t="s">
        <v>194</v>
      </c>
      <c r="K2" t="s">
        <v>1330</v>
      </c>
      <c r="L2" t="s">
        <v>20</v>
      </c>
      <c r="M2" t="s">
        <v>136</v>
      </c>
      <c r="N2" t="s">
        <v>194</v>
      </c>
    </row>
    <row r="3" spans="1:14">
      <c r="A3" t="s">
        <v>1348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f>B3+F3</f>
        <v>1</v>
      </c>
      <c r="L3">
        <f t="shared" ref="L3:N3" si="0">C3+G3</f>
        <v>0</v>
      </c>
      <c r="M3">
        <f t="shared" si="0"/>
        <v>0</v>
      </c>
      <c r="N3">
        <f t="shared" si="0"/>
        <v>0</v>
      </c>
    </row>
    <row r="4" spans="1:14">
      <c r="A4" t="s">
        <v>1349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K4">
        <f t="shared" ref="K4:K67" si="1">B4+F4</f>
        <v>1</v>
      </c>
      <c r="L4">
        <f t="shared" ref="L4:L67" si="2">C4+G4</f>
        <v>0</v>
      </c>
      <c r="M4">
        <f t="shared" ref="M4:M67" si="3">D4+H4</f>
        <v>0</v>
      </c>
      <c r="N4">
        <f t="shared" ref="N4:N67" si="4">E4+I4</f>
        <v>0</v>
      </c>
    </row>
    <row r="5" spans="1:14">
      <c r="A5" t="s">
        <v>1350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f t="shared" si="1"/>
        <v>1</v>
      </c>
      <c r="L5">
        <f t="shared" si="2"/>
        <v>0</v>
      </c>
      <c r="M5">
        <f t="shared" si="3"/>
        <v>0</v>
      </c>
      <c r="N5">
        <f t="shared" si="4"/>
        <v>0</v>
      </c>
    </row>
    <row r="6" spans="1:14">
      <c r="A6" t="s">
        <v>1351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f t="shared" si="1"/>
        <v>1</v>
      </c>
      <c r="L6">
        <f t="shared" si="2"/>
        <v>0</v>
      </c>
      <c r="M6">
        <f t="shared" si="3"/>
        <v>0</v>
      </c>
      <c r="N6">
        <f t="shared" si="4"/>
        <v>0</v>
      </c>
    </row>
    <row r="7" spans="1:14">
      <c r="A7" t="s">
        <v>1352</v>
      </c>
      <c r="B7">
        <v>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K7">
        <f t="shared" si="1"/>
        <v>3</v>
      </c>
      <c r="L7">
        <f t="shared" si="2"/>
        <v>1</v>
      </c>
      <c r="M7">
        <f t="shared" si="3"/>
        <v>1</v>
      </c>
      <c r="N7">
        <f t="shared" si="4"/>
        <v>0</v>
      </c>
    </row>
    <row r="8" spans="1:14">
      <c r="A8" t="s">
        <v>1353</v>
      </c>
      <c r="B8">
        <v>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>
        <f t="shared" si="1"/>
        <v>2</v>
      </c>
      <c r="L8">
        <f t="shared" si="2"/>
        <v>1</v>
      </c>
      <c r="M8">
        <f t="shared" si="3"/>
        <v>0</v>
      </c>
      <c r="N8">
        <f t="shared" si="4"/>
        <v>0</v>
      </c>
    </row>
    <row r="9" spans="1:14">
      <c r="A9" t="s">
        <v>1354</v>
      </c>
      <c r="B9">
        <v>6</v>
      </c>
      <c r="C9">
        <v>3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K9">
        <f t="shared" si="1"/>
        <v>6</v>
      </c>
      <c r="L9">
        <f t="shared" si="2"/>
        <v>3</v>
      </c>
      <c r="M9">
        <f t="shared" si="3"/>
        <v>1</v>
      </c>
      <c r="N9">
        <f t="shared" si="4"/>
        <v>0</v>
      </c>
    </row>
    <row r="10" spans="1:14">
      <c r="A10" t="s">
        <v>1355</v>
      </c>
      <c r="B10">
        <v>6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f t="shared" si="1"/>
        <v>6</v>
      </c>
      <c r="L10">
        <f t="shared" si="2"/>
        <v>5</v>
      </c>
      <c r="M10">
        <f t="shared" si="3"/>
        <v>0</v>
      </c>
      <c r="N10">
        <f t="shared" si="4"/>
        <v>0</v>
      </c>
    </row>
    <row r="11" spans="1:14">
      <c r="A11" t="s">
        <v>1356</v>
      </c>
      <c r="B11">
        <v>4</v>
      </c>
      <c r="C11">
        <v>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K11">
        <f t="shared" si="1"/>
        <v>4</v>
      </c>
      <c r="L11">
        <f t="shared" si="2"/>
        <v>2</v>
      </c>
      <c r="M11">
        <f t="shared" si="3"/>
        <v>1</v>
      </c>
      <c r="N11">
        <f t="shared" si="4"/>
        <v>0</v>
      </c>
    </row>
    <row r="12" spans="1:14">
      <c r="A12" t="s">
        <v>1357</v>
      </c>
      <c r="B12">
        <v>2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f t="shared" si="1"/>
        <v>2</v>
      </c>
      <c r="L12">
        <f t="shared" si="2"/>
        <v>1</v>
      </c>
      <c r="M12">
        <f t="shared" si="3"/>
        <v>0</v>
      </c>
      <c r="N12">
        <f t="shared" si="4"/>
        <v>0</v>
      </c>
    </row>
    <row r="13" spans="1:14">
      <c r="A13" t="s">
        <v>1358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f t="shared" si="1"/>
        <v>1</v>
      </c>
      <c r="L13">
        <f t="shared" si="2"/>
        <v>1</v>
      </c>
      <c r="M13">
        <f t="shared" si="3"/>
        <v>0</v>
      </c>
      <c r="N13">
        <f t="shared" si="4"/>
        <v>0</v>
      </c>
    </row>
    <row r="14" spans="1:14">
      <c r="A14" t="s">
        <v>1359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f t="shared" si="1"/>
        <v>1</v>
      </c>
      <c r="L14">
        <f t="shared" si="2"/>
        <v>1</v>
      </c>
      <c r="M14">
        <f t="shared" si="3"/>
        <v>0</v>
      </c>
      <c r="N14">
        <f t="shared" si="4"/>
        <v>0</v>
      </c>
    </row>
    <row r="15" spans="1:14">
      <c r="A15" t="s">
        <v>1360</v>
      </c>
      <c r="B15">
        <v>2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K15">
        <f t="shared" si="1"/>
        <v>2</v>
      </c>
      <c r="L15">
        <f t="shared" si="2"/>
        <v>1</v>
      </c>
      <c r="M15">
        <f t="shared" si="3"/>
        <v>1</v>
      </c>
      <c r="N15">
        <f t="shared" si="4"/>
        <v>0</v>
      </c>
    </row>
    <row r="16" spans="1:14">
      <c r="A16" t="s">
        <v>1361</v>
      </c>
      <c r="B16">
        <v>3</v>
      </c>
      <c r="C16">
        <v>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K16">
        <f t="shared" si="1"/>
        <v>3</v>
      </c>
      <c r="L16">
        <f t="shared" si="2"/>
        <v>2</v>
      </c>
      <c r="M16">
        <f t="shared" si="3"/>
        <v>1</v>
      </c>
      <c r="N16">
        <f t="shared" si="4"/>
        <v>0</v>
      </c>
    </row>
    <row r="17" spans="1:14">
      <c r="A17" t="s">
        <v>1362</v>
      </c>
      <c r="B17">
        <v>3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f t="shared" si="1"/>
        <v>3</v>
      </c>
      <c r="L17">
        <f t="shared" si="2"/>
        <v>3</v>
      </c>
      <c r="M17">
        <f t="shared" si="3"/>
        <v>0</v>
      </c>
      <c r="N17">
        <f t="shared" si="4"/>
        <v>0</v>
      </c>
    </row>
    <row r="18" spans="1:14">
      <c r="A18" t="s">
        <v>1363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f t="shared" si="1"/>
        <v>1</v>
      </c>
      <c r="L18">
        <f t="shared" si="2"/>
        <v>1</v>
      </c>
      <c r="M18">
        <f t="shared" si="3"/>
        <v>0</v>
      </c>
      <c r="N18">
        <f t="shared" si="4"/>
        <v>0</v>
      </c>
    </row>
    <row r="19" spans="1:14">
      <c r="A19" t="s">
        <v>1364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f t="shared" si="1"/>
        <v>1</v>
      </c>
      <c r="L19">
        <f t="shared" si="2"/>
        <v>1</v>
      </c>
      <c r="M19">
        <f t="shared" si="3"/>
        <v>0</v>
      </c>
      <c r="N19">
        <f t="shared" si="4"/>
        <v>0</v>
      </c>
    </row>
    <row r="20" spans="1:14">
      <c r="A20" t="s">
        <v>1365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f t="shared" si="1"/>
        <v>1</v>
      </c>
      <c r="L20">
        <f t="shared" si="2"/>
        <v>0</v>
      </c>
      <c r="M20">
        <f t="shared" si="3"/>
        <v>0</v>
      </c>
      <c r="N20">
        <f t="shared" si="4"/>
        <v>0</v>
      </c>
    </row>
    <row r="21" spans="1:14">
      <c r="A21" t="s">
        <v>638</v>
      </c>
      <c r="B21">
        <v>2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f t="shared" si="1"/>
        <v>2</v>
      </c>
      <c r="L21">
        <f t="shared" si="2"/>
        <v>2</v>
      </c>
      <c r="M21">
        <f t="shared" si="3"/>
        <v>0</v>
      </c>
      <c r="N21">
        <f t="shared" si="4"/>
        <v>0</v>
      </c>
    </row>
    <row r="22" spans="1:14">
      <c r="A22" t="s">
        <v>622</v>
      </c>
      <c r="B22">
        <v>4</v>
      </c>
      <c r="C22">
        <v>1</v>
      </c>
      <c r="D22">
        <v>2</v>
      </c>
      <c r="E22">
        <v>1</v>
      </c>
      <c r="F22">
        <v>0</v>
      </c>
      <c r="G22">
        <v>0</v>
      </c>
      <c r="H22">
        <v>0</v>
      </c>
      <c r="I22">
        <v>0</v>
      </c>
      <c r="K22">
        <f t="shared" si="1"/>
        <v>4</v>
      </c>
      <c r="L22">
        <f t="shared" si="2"/>
        <v>1</v>
      </c>
      <c r="M22">
        <f t="shared" si="3"/>
        <v>2</v>
      </c>
      <c r="N22">
        <f t="shared" si="4"/>
        <v>1</v>
      </c>
    </row>
    <row r="23" spans="1:14">
      <c r="A23" t="s">
        <v>1366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f t="shared" si="1"/>
        <v>1</v>
      </c>
      <c r="L23">
        <f t="shared" si="2"/>
        <v>0</v>
      </c>
      <c r="M23">
        <f t="shared" si="3"/>
        <v>0</v>
      </c>
      <c r="N23">
        <f t="shared" si="4"/>
        <v>0</v>
      </c>
    </row>
    <row r="24" spans="1:14">
      <c r="A24" t="s">
        <v>1367</v>
      </c>
      <c r="B24">
        <v>3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K24">
        <f t="shared" si="1"/>
        <v>3</v>
      </c>
      <c r="L24">
        <f t="shared" si="2"/>
        <v>1</v>
      </c>
      <c r="M24">
        <f t="shared" si="3"/>
        <v>2</v>
      </c>
      <c r="N24">
        <f t="shared" si="4"/>
        <v>0</v>
      </c>
    </row>
    <row r="25" spans="1:14">
      <c r="A25" t="s">
        <v>856</v>
      </c>
      <c r="B25">
        <v>3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K25">
        <f t="shared" si="1"/>
        <v>3</v>
      </c>
      <c r="L25">
        <f t="shared" si="2"/>
        <v>1</v>
      </c>
      <c r="M25">
        <f t="shared" si="3"/>
        <v>1</v>
      </c>
      <c r="N25">
        <f t="shared" si="4"/>
        <v>1</v>
      </c>
    </row>
    <row r="26" spans="1:14">
      <c r="A26" t="s">
        <v>1368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f t="shared" si="1"/>
        <v>1</v>
      </c>
      <c r="L26">
        <f t="shared" si="2"/>
        <v>0</v>
      </c>
      <c r="M26">
        <f t="shared" si="3"/>
        <v>0</v>
      </c>
      <c r="N26">
        <f t="shared" si="4"/>
        <v>0</v>
      </c>
    </row>
    <row r="27" spans="1:14">
      <c r="A27" t="s">
        <v>981</v>
      </c>
      <c r="B27">
        <v>4</v>
      </c>
      <c r="C27">
        <v>1</v>
      </c>
      <c r="D27">
        <v>2</v>
      </c>
      <c r="E27">
        <v>1</v>
      </c>
      <c r="F27">
        <v>0</v>
      </c>
      <c r="G27">
        <v>0</v>
      </c>
      <c r="H27">
        <v>0</v>
      </c>
      <c r="I27">
        <v>0</v>
      </c>
      <c r="K27">
        <f t="shared" si="1"/>
        <v>4</v>
      </c>
      <c r="L27">
        <f t="shared" si="2"/>
        <v>1</v>
      </c>
      <c r="M27">
        <f t="shared" si="3"/>
        <v>2</v>
      </c>
      <c r="N27">
        <f t="shared" si="4"/>
        <v>1</v>
      </c>
    </row>
    <row r="28" spans="1:14">
      <c r="A28" t="s">
        <v>978</v>
      </c>
      <c r="B28">
        <v>6</v>
      </c>
      <c r="C28">
        <v>1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K28">
        <f t="shared" si="1"/>
        <v>6</v>
      </c>
      <c r="L28">
        <f t="shared" si="2"/>
        <v>1</v>
      </c>
      <c r="M28">
        <f t="shared" si="3"/>
        <v>5</v>
      </c>
      <c r="N28">
        <f t="shared" si="4"/>
        <v>0</v>
      </c>
    </row>
    <row r="29" spans="1:14">
      <c r="A29" t="s">
        <v>668</v>
      </c>
      <c r="B29">
        <v>10</v>
      </c>
      <c r="C29">
        <v>2</v>
      </c>
      <c r="D29">
        <v>1</v>
      </c>
      <c r="E29">
        <v>2</v>
      </c>
      <c r="F29">
        <v>0</v>
      </c>
      <c r="G29">
        <v>0</v>
      </c>
      <c r="H29">
        <v>0</v>
      </c>
      <c r="I29">
        <v>0</v>
      </c>
      <c r="K29">
        <f t="shared" si="1"/>
        <v>10</v>
      </c>
      <c r="L29">
        <f t="shared" si="2"/>
        <v>2</v>
      </c>
      <c r="M29">
        <f t="shared" si="3"/>
        <v>1</v>
      </c>
      <c r="N29">
        <f t="shared" si="4"/>
        <v>2</v>
      </c>
    </row>
    <row r="30" spans="1:14">
      <c r="A30" t="s">
        <v>664</v>
      </c>
      <c r="B30">
        <v>9</v>
      </c>
      <c r="C30">
        <v>2</v>
      </c>
      <c r="D30">
        <v>4</v>
      </c>
      <c r="E30">
        <v>3</v>
      </c>
      <c r="F30">
        <v>0</v>
      </c>
      <c r="G30">
        <v>0</v>
      </c>
      <c r="H30">
        <v>0</v>
      </c>
      <c r="I30">
        <v>0</v>
      </c>
      <c r="K30">
        <f t="shared" si="1"/>
        <v>9</v>
      </c>
      <c r="L30">
        <f t="shared" si="2"/>
        <v>2</v>
      </c>
      <c r="M30">
        <f t="shared" si="3"/>
        <v>4</v>
      </c>
      <c r="N30">
        <f t="shared" si="4"/>
        <v>3</v>
      </c>
    </row>
    <row r="31" spans="1:14">
      <c r="A31" t="s">
        <v>1369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f t="shared" si="1"/>
        <v>1</v>
      </c>
      <c r="L31">
        <f t="shared" si="2"/>
        <v>0</v>
      </c>
      <c r="M31">
        <f t="shared" si="3"/>
        <v>0</v>
      </c>
      <c r="N31">
        <f t="shared" si="4"/>
        <v>0</v>
      </c>
    </row>
    <row r="32" spans="1:14">
      <c r="A32" t="s">
        <v>1370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K32">
        <f t="shared" si="1"/>
        <v>1</v>
      </c>
      <c r="L32">
        <f t="shared" si="2"/>
        <v>0</v>
      </c>
      <c r="M32">
        <f t="shared" si="3"/>
        <v>0</v>
      </c>
      <c r="N32">
        <f t="shared" si="4"/>
        <v>0</v>
      </c>
    </row>
    <row r="33" spans="1:14">
      <c r="A33" t="s">
        <v>1371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f t="shared" si="1"/>
        <v>1</v>
      </c>
      <c r="L33">
        <f t="shared" si="2"/>
        <v>0</v>
      </c>
      <c r="M33">
        <f t="shared" si="3"/>
        <v>0</v>
      </c>
      <c r="N33">
        <f t="shared" si="4"/>
        <v>0</v>
      </c>
    </row>
    <row r="34" spans="1:14">
      <c r="A34" t="s">
        <v>763</v>
      </c>
      <c r="B34">
        <v>5</v>
      </c>
      <c r="C34">
        <v>1</v>
      </c>
      <c r="D34">
        <v>3</v>
      </c>
      <c r="E34">
        <v>1</v>
      </c>
      <c r="F34">
        <v>0</v>
      </c>
      <c r="G34">
        <v>0</v>
      </c>
      <c r="H34">
        <v>0</v>
      </c>
      <c r="I34">
        <v>0</v>
      </c>
      <c r="K34">
        <f t="shared" si="1"/>
        <v>5</v>
      </c>
      <c r="L34">
        <f t="shared" si="2"/>
        <v>1</v>
      </c>
      <c r="M34">
        <f t="shared" si="3"/>
        <v>3</v>
      </c>
      <c r="N34">
        <f t="shared" si="4"/>
        <v>1</v>
      </c>
    </row>
    <row r="35" spans="1:14">
      <c r="A35" t="s">
        <v>915</v>
      </c>
      <c r="B35">
        <v>11</v>
      </c>
      <c r="C35">
        <v>4</v>
      </c>
      <c r="D35">
        <v>4</v>
      </c>
      <c r="E35">
        <v>2</v>
      </c>
      <c r="F35">
        <v>0</v>
      </c>
      <c r="G35">
        <v>0</v>
      </c>
      <c r="H35">
        <v>0</v>
      </c>
      <c r="I35">
        <v>0</v>
      </c>
      <c r="K35">
        <f t="shared" si="1"/>
        <v>11</v>
      </c>
      <c r="L35">
        <f t="shared" si="2"/>
        <v>4</v>
      </c>
      <c r="M35">
        <f t="shared" si="3"/>
        <v>4</v>
      </c>
      <c r="N35">
        <f t="shared" si="4"/>
        <v>2</v>
      </c>
    </row>
    <row r="36" spans="1:14">
      <c r="A36" t="s">
        <v>726</v>
      </c>
      <c r="B36">
        <v>8</v>
      </c>
      <c r="C36">
        <v>2</v>
      </c>
      <c r="D36">
        <v>4</v>
      </c>
      <c r="E36">
        <v>2</v>
      </c>
      <c r="F36">
        <v>0</v>
      </c>
      <c r="G36">
        <v>0</v>
      </c>
      <c r="H36">
        <v>0</v>
      </c>
      <c r="I36">
        <v>0</v>
      </c>
      <c r="K36">
        <f t="shared" si="1"/>
        <v>8</v>
      </c>
      <c r="L36">
        <f t="shared" si="2"/>
        <v>2</v>
      </c>
      <c r="M36">
        <f t="shared" si="3"/>
        <v>4</v>
      </c>
      <c r="N36">
        <f t="shared" si="4"/>
        <v>2</v>
      </c>
    </row>
    <row r="37" spans="1:14">
      <c r="A37" t="s">
        <v>730</v>
      </c>
      <c r="B37">
        <v>6</v>
      </c>
      <c r="C37">
        <v>2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K37">
        <f t="shared" si="1"/>
        <v>6</v>
      </c>
      <c r="L37">
        <f t="shared" si="2"/>
        <v>2</v>
      </c>
      <c r="M37">
        <f t="shared" si="3"/>
        <v>2</v>
      </c>
      <c r="N37">
        <f t="shared" si="4"/>
        <v>2</v>
      </c>
    </row>
    <row r="38" spans="1:14">
      <c r="A38" t="s">
        <v>733</v>
      </c>
      <c r="B38">
        <v>8</v>
      </c>
      <c r="C38">
        <v>3</v>
      </c>
      <c r="D38">
        <v>2</v>
      </c>
      <c r="E38">
        <v>3</v>
      </c>
      <c r="F38">
        <v>0</v>
      </c>
      <c r="G38">
        <v>0</v>
      </c>
      <c r="H38">
        <v>0</v>
      </c>
      <c r="I38">
        <v>0</v>
      </c>
      <c r="K38">
        <f t="shared" si="1"/>
        <v>8</v>
      </c>
      <c r="L38">
        <f t="shared" si="2"/>
        <v>3</v>
      </c>
      <c r="M38">
        <f t="shared" si="3"/>
        <v>2</v>
      </c>
      <c r="N38">
        <f t="shared" si="4"/>
        <v>3</v>
      </c>
    </row>
    <row r="39" spans="1:14">
      <c r="A39" t="s">
        <v>691</v>
      </c>
      <c r="B39">
        <v>3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K39">
        <f t="shared" si="1"/>
        <v>3</v>
      </c>
      <c r="L39">
        <f t="shared" si="2"/>
        <v>1</v>
      </c>
      <c r="M39">
        <f t="shared" si="3"/>
        <v>1</v>
      </c>
      <c r="N39">
        <f t="shared" si="4"/>
        <v>1</v>
      </c>
    </row>
    <row r="40" spans="1:14">
      <c r="A40" t="s">
        <v>635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f t="shared" si="1"/>
        <v>1</v>
      </c>
      <c r="L40">
        <f t="shared" si="2"/>
        <v>1</v>
      </c>
      <c r="M40">
        <f t="shared" si="3"/>
        <v>0</v>
      </c>
      <c r="N40">
        <f t="shared" si="4"/>
        <v>0</v>
      </c>
    </row>
    <row r="41" spans="1:14">
      <c r="A41" t="s">
        <v>757</v>
      </c>
      <c r="B41">
        <v>6</v>
      </c>
      <c r="C41">
        <v>2</v>
      </c>
      <c r="D41">
        <v>2</v>
      </c>
      <c r="E41">
        <v>1</v>
      </c>
      <c r="F41">
        <v>0</v>
      </c>
      <c r="G41">
        <v>0</v>
      </c>
      <c r="H41">
        <v>0</v>
      </c>
      <c r="I41">
        <v>0</v>
      </c>
      <c r="K41">
        <f t="shared" si="1"/>
        <v>6</v>
      </c>
      <c r="L41">
        <f t="shared" si="2"/>
        <v>2</v>
      </c>
      <c r="M41">
        <f t="shared" si="3"/>
        <v>2</v>
      </c>
      <c r="N41">
        <f t="shared" si="4"/>
        <v>1</v>
      </c>
    </row>
    <row r="42" spans="1:14">
      <c r="A42" t="s">
        <v>1013</v>
      </c>
      <c r="B42">
        <v>3</v>
      </c>
      <c r="C42">
        <v>1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K42">
        <f t="shared" si="1"/>
        <v>3</v>
      </c>
      <c r="L42">
        <f t="shared" si="2"/>
        <v>1</v>
      </c>
      <c r="M42">
        <f t="shared" si="3"/>
        <v>2</v>
      </c>
      <c r="N42">
        <f t="shared" si="4"/>
        <v>0</v>
      </c>
    </row>
    <row r="43" spans="1:14">
      <c r="A43" t="s">
        <v>1372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f t="shared" si="1"/>
        <v>1</v>
      </c>
      <c r="L43">
        <f t="shared" si="2"/>
        <v>0</v>
      </c>
      <c r="M43">
        <f t="shared" si="3"/>
        <v>0</v>
      </c>
      <c r="N43">
        <f t="shared" si="4"/>
        <v>0</v>
      </c>
    </row>
    <row r="44" spans="1:14">
      <c r="A44" t="s">
        <v>1373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f t="shared" si="1"/>
        <v>1</v>
      </c>
      <c r="L44">
        <f t="shared" si="2"/>
        <v>0</v>
      </c>
      <c r="M44">
        <f t="shared" si="3"/>
        <v>0</v>
      </c>
      <c r="N44">
        <f t="shared" si="4"/>
        <v>0</v>
      </c>
    </row>
    <row r="45" spans="1:14">
      <c r="A45" t="s">
        <v>1374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f t="shared" si="1"/>
        <v>1</v>
      </c>
      <c r="L45">
        <f t="shared" si="2"/>
        <v>0</v>
      </c>
      <c r="M45">
        <f t="shared" si="3"/>
        <v>0</v>
      </c>
      <c r="N45">
        <f t="shared" si="4"/>
        <v>0</v>
      </c>
    </row>
    <row r="46" spans="1:14">
      <c r="A46" t="s">
        <v>1375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f t="shared" si="1"/>
        <v>1</v>
      </c>
      <c r="L46">
        <f t="shared" si="2"/>
        <v>0</v>
      </c>
      <c r="M46">
        <f t="shared" si="3"/>
        <v>0</v>
      </c>
      <c r="N46">
        <f t="shared" si="4"/>
        <v>0</v>
      </c>
    </row>
    <row r="47" spans="1:14">
      <c r="A47" t="s">
        <v>713</v>
      </c>
      <c r="B47">
        <v>6</v>
      </c>
      <c r="C47">
        <v>4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K47">
        <f t="shared" si="1"/>
        <v>6</v>
      </c>
      <c r="L47">
        <f t="shared" si="2"/>
        <v>4</v>
      </c>
      <c r="M47">
        <f t="shared" si="3"/>
        <v>1</v>
      </c>
      <c r="N47">
        <f t="shared" si="4"/>
        <v>1</v>
      </c>
    </row>
    <row r="48" spans="1:14">
      <c r="A48" t="s">
        <v>709</v>
      </c>
      <c r="B48">
        <v>18</v>
      </c>
      <c r="C48">
        <v>4</v>
      </c>
      <c r="D48">
        <v>7</v>
      </c>
      <c r="E48">
        <v>7</v>
      </c>
      <c r="F48">
        <v>0</v>
      </c>
      <c r="G48">
        <v>0</v>
      </c>
      <c r="H48">
        <v>0</v>
      </c>
      <c r="I48">
        <v>0</v>
      </c>
      <c r="K48">
        <f t="shared" si="1"/>
        <v>18</v>
      </c>
      <c r="L48">
        <f t="shared" si="2"/>
        <v>4</v>
      </c>
      <c r="M48">
        <f t="shared" si="3"/>
        <v>7</v>
      </c>
      <c r="N48">
        <f t="shared" si="4"/>
        <v>7</v>
      </c>
    </row>
    <row r="49" spans="1:14">
      <c r="A49" t="s">
        <v>1144</v>
      </c>
      <c r="B49">
        <v>4</v>
      </c>
      <c r="C49">
        <v>2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K49">
        <f t="shared" si="1"/>
        <v>4</v>
      </c>
      <c r="L49">
        <f t="shared" si="2"/>
        <v>2</v>
      </c>
      <c r="M49">
        <f t="shared" si="3"/>
        <v>0</v>
      </c>
      <c r="N49">
        <f t="shared" si="4"/>
        <v>2</v>
      </c>
    </row>
    <row r="50" spans="1:14">
      <c r="A50" t="s">
        <v>1108</v>
      </c>
      <c r="B50">
        <v>8</v>
      </c>
      <c r="C50">
        <v>1</v>
      </c>
      <c r="D50">
        <v>4</v>
      </c>
      <c r="E50">
        <v>2</v>
      </c>
      <c r="F50">
        <v>0</v>
      </c>
      <c r="G50">
        <v>0</v>
      </c>
      <c r="H50">
        <v>0</v>
      </c>
      <c r="I50">
        <v>0</v>
      </c>
      <c r="K50">
        <f t="shared" si="1"/>
        <v>8</v>
      </c>
      <c r="L50">
        <f t="shared" si="2"/>
        <v>1</v>
      </c>
      <c r="M50">
        <f t="shared" si="3"/>
        <v>4</v>
      </c>
      <c r="N50">
        <f t="shared" si="4"/>
        <v>2</v>
      </c>
    </row>
    <row r="51" spans="1:14">
      <c r="A51" t="s">
        <v>886</v>
      </c>
      <c r="B51">
        <v>7</v>
      </c>
      <c r="C51">
        <v>1</v>
      </c>
      <c r="D51">
        <v>2</v>
      </c>
      <c r="E51">
        <v>4</v>
      </c>
      <c r="F51">
        <v>0</v>
      </c>
      <c r="G51">
        <v>0</v>
      </c>
      <c r="H51">
        <v>0</v>
      </c>
      <c r="I51">
        <v>0</v>
      </c>
      <c r="K51">
        <f t="shared" si="1"/>
        <v>7</v>
      </c>
      <c r="L51">
        <f t="shared" si="2"/>
        <v>1</v>
      </c>
      <c r="M51">
        <f t="shared" si="3"/>
        <v>2</v>
      </c>
      <c r="N51">
        <f t="shared" si="4"/>
        <v>4</v>
      </c>
    </row>
    <row r="52" spans="1:14">
      <c r="A52" t="s">
        <v>961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f t="shared" si="1"/>
        <v>1</v>
      </c>
      <c r="L52">
        <f t="shared" si="2"/>
        <v>1</v>
      </c>
      <c r="M52">
        <f t="shared" si="3"/>
        <v>0</v>
      </c>
      <c r="N52">
        <f t="shared" si="4"/>
        <v>0</v>
      </c>
    </row>
    <row r="53" spans="1:14">
      <c r="A53" t="s">
        <v>950</v>
      </c>
      <c r="B53">
        <v>4</v>
      </c>
      <c r="C53">
        <v>2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K53">
        <f t="shared" si="1"/>
        <v>4</v>
      </c>
      <c r="L53">
        <f t="shared" si="2"/>
        <v>2</v>
      </c>
      <c r="M53">
        <f t="shared" si="3"/>
        <v>1</v>
      </c>
      <c r="N53">
        <f t="shared" si="4"/>
        <v>1</v>
      </c>
    </row>
    <row r="54" spans="1:14">
      <c r="A54" t="s">
        <v>682</v>
      </c>
      <c r="B54">
        <v>12</v>
      </c>
      <c r="C54">
        <v>2</v>
      </c>
      <c r="D54">
        <v>5</v>
      </c>
      <c r="E54">
        <v>5</v>
      </c>
      <c r="F54">
        <v>0</v>
      </c>
      <c r="G54">
        <v>0</v>
      </c>
      <c r="H54">
        <v>0</v>
      </c>
      <c r="I54">
        <v>0</v>
      </c>
      <c r="K54">
        <f t="shared" si="1"/>
        <v>12</v>
      </c>
      <c r="L54">
        <f t="shared" si="2"/>
        <v>2</v>
      </c>
      <c r="M54">
        <f t="shared" si="3"/>
        <v>5</v>
      </c>
      <c r="N54">
        <f t="shared" si="4"/>
        <v>5</v>
      </c>
    </row>
    <row r="55" spans="1:14">
      <c r="A55" t="s">
        <v>964</v>
      </c>
      <c r="B55">
        <v>5</v>
      </c>
      <c r="C55">
        <v>1</v>
      </c>
      <c r="D55">
        <v>1</v>
      </c>
      <c r="E55">
        <v>2</v>
      </c>
      <c r="F55">
        <v>0</v>
      </c>
      <c r="G55">
        <v>0</v>
      </c>
      <c r="H55">
        <v>0</v>
      </c>
      <c r="I55">
        <v>0</v>
      </c>
      <c r="K55">
        <f t="shared" si="1"/>
        <v>5</v>
      </c>
      <c r="L55">
        <f t="shared" si="2"/>
        <v>1</v>
      </c>
      <c r="M55">
        <f t="shared" si="3"/>
        <v>1</v>
      </c>
      <c r="N55">
        <f t="shared" si="4"/>
        <v>2</v>
      </c>
    </row>
    <row r="56" spans="1:14">
      <c r="A56" t="s">
        <v>905</v>
      </c>
      <c r="B56">
        <v>6</v>
      </c>
      <c r="C56">
        <v>2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K56">
        <f t="shared" si="1"/>
        <v>6</v>
      </c>
      <c r="L56">
        <f t="shared" si="2"/>
        <v>2</v>
      </c>
      <c r="M56">
        <f t="shared" si="3"/>
        <v>2</v>
      </c>
      <c r="N56">
        <f t="shared" si="4"/>
        <v>2</v>
      </c>
    </row>
    <row r="57" spans="1:14">
      <c r="A57" t="s">
        <v>933</v>
      </c>
      <c r="B57">
        <v>7</v>
      </c>
      <c r="C57">
        <v>0</v>
      </c>
      <c r="D57">
        <v>4</v>
      </c>
      <c r="E57">
        <v>3</v>
      </c>
      <c r="F57">
        <v>0</v>
      </c>
      <c r="G57">
        <v>0</v>
      </c>
      <c r="H57">
        <v>0</v>
      </c>
      <c r="I57">
        <v>0</v>
      </c>
      <c r="K57">
        <f t="shared" si="1"/>
        <v>7</v>
      </c>
      <c r="L57">
        <f t="shared" si="2"/>
        <v>0</v>
      </c>
      <c r="M57">
        <f t="shared" si="3"/>
        <v>4</v>
      </c>
      <c r="N57">
        <f t="shared" si="4"/>
        <v>3</v>
      </c>
    </row>
    <row r="58" spans="1:14">
      <c r="A58" t="s">
        <v>970</v>
      </c>
      <c r="B58">
        <v>5</v>
      </c>
      <c r="C58">
        <v>0</v>
      </c>
      <c r="D58">
        <v>2</v>
      </c>
      <c r="E58">
        <v>1</v>
      </c>
      <c r="F58">
        <v>0</v>
      </c>
      <c r="G58">
        <v>0</v>
      </c>
      <c r="H58">
        <v>0</v>
      </c>
      <c r="I58">
        <v>0</v>
      </c>
      <c r="K58">
        <f t="shared" si="1"/>
        <v>5</v>
      </c>
      <c r="L58">
        <f t="shared" si="2"/>
        <v>0</v>
      </c>
      <c r="M58">
        <f t="shared" si="3"/>
        <v>2</v>
      </c>
      <c r="N58">
        <f t="shared" si="4"/>
        <v>1</v>
      </c>
    </row>
    <row r="59" spans="1:14">
      <c r="A59" t="s">
        <v>1376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f t="shared" si="1"/>
        <v>1</v>
      </c>
      <c r="L59">
        <f t="shared" si="2"/>
        <v>0</v>
      </c>
      <c r="M59">
        <f t="shared" si="3"/>
        <v>0</v>
      </c>
      <c r="N59">
        <f t="shared" si="4"/>
        <v>0</v>
      </c>
    </row>
    <row r="60" spans="1:14">
      <c r="A60" t="s">
        <v>1377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f t="shared" si="1"/>
        <v>1</v>
      </c>
      <c r="L60">
        <f t="shared" si="2"/>
        <v>0</v>
      </c>
      <c r="M60">
        <f t="shared" si="3"/>
        <v>0</v>
      </c>
      <c r="N60">
        <f t="shared" si="4"/>
        <v>0</v>
      </c>
    </row>
    <row r="61" spans="1:14">
      <c r="A61" t="s">
        <v>1378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f t="shared" si="1"/>
        <v>1</v>
      </c>
      <c r="L61">
        <f t="shared" si="2"/>
        <v>0</v>
      </c>
      <c r="M61">
        <f t="shared" si="3"/>
        <v>0</v>
      </c>
      <c r="N61">
        <f t="shared" si="4"/>
        <v>0</v>
      </c>
    </row>
    <row r="62" spans="1:14">
      <c r="A62" t="s">
        <v>1379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f t="shared" si="1"/>
        <v>1</v>
      </c>
      <c r="L62">
        <f t="shared" si="2"/>
        <v>0</v>
      </c>
      <c r="M62">
        <f t="shared" si="3"/>
        <v>0</v>
      </c>
      <c r="N62">
        <f t="shared" si="4"/>
        <v>0</v>
      </c>
    </row>
    <row r="63" spans="1:14">
      <c r="A63" t="s">
        <v>1089</v>
      </c>
      <c r="B63">
        <v>5</v>
      </c>
      <c r="C63">
        <v>2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K63">
        <f t="shared" si="1"/>
        <v>5</v>
      </c>
      <c r="L63">
        <f t="shared" si="2"/>
        <v>2</v>
      </c>
      <c r="M63">
        <f t="shared" si="3"/>
        <v>3</v>
      </c>
      <c r="N63">
        <f t="shared" si="4"/>
        <v>0</v>
      </c>
    </row>
    <row r="64" spans="1:14">
      <c r="A64" t="s">
        <v>1032</v>
      </c>
      <c r="B64">
        <v>4</v>
      </c>
      <c r="C64">
        <v>3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K64">
        <f t="shared" si="1"/>
        <v>4</v>
      </c>
      <c r="L64">
        <f t="shared" si="2"/>
        <v>3</v>
      </c>
      <c r="M64">
        <f t="shared" si="3"/>
        <v>0</v>
      </c>
      <c r="N64">
        <f t="shared" si="4"/>
        <v>1</v>
      </c>
    </row>
    <row r="65" spans="1:14">
      <c r="A65" t="s">
        <v>1069</v>
      </c>
      <c r="B65">
        <v>5</v>
      </c>
      <c r="C65">
        <v>2</v>
      </c>
      <c r="D65">
        <v>2</v>
      </c>
      <c r="E65">
        <v>1</v>
      </c>
      <c r="F65">
        <v>0</v>
      </c>
      <c r="G65">
        <v>0</v>
      </c>
      <c r="H65">
        <v>0</v>
      </c>
      <c r="I65">
        <v>0</v>
      </c>
      <c r="K65">
        <f t="shared" si="1"/>
        <v>5</v>
      </c>
      <c r="L65">
        <f t="shared" si="2"/>
        <v>2</v>
      </c>
      <c r="M65">
        <f t="shared" si="3"/>
        <v>2</v>
      </c>
      <c r="N65">
        <f t="shared" si="4"/>
        <v>1</v>
      </c>
    </row>
    <row r="66" spans="1:14">
      <c r="A66" t="s">
        <v>1044</v>
      </c>
      <c r="B66">
        <v>2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K66">
        <f t="shared" si="1"/>
        <v>2</v>
      </c>
      <c r="L66">
        <f t="shared" si="2"/>
        <v>1</v>
      </c>
      <c r="M66">
        <f t="shared" si="3"/>
        <v>1</v>
      </c>
      <c r="N66">
        <f t="shared" si="4"/>
        <v>0</v>
      </c>
    </row>
    <row r="67" spans="1:14">
      <c r="A67" t="s">
        <v>893</v>
      </c>
      <c r="B67">
        <v>6</v>
      </c>
      <c r="C67">
        <v>2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K67">
        <f t="shared" si="1"/>
        <v>6</v>
      </c>
      <c r="L67">
        <f t="shared" si="2"/>
        <v>2</v>
      </c>
      <c r="M67">
        <f t="shared" si="3"/>
        <v>4</v>
      </c>
      <c r="N67">
        <f t="shared" si="4"/>
        <v>0</v>
      </c>
    </row>
    <row r="68" spans="1:14">
      <c r="A68" t="s">
        <v>76</v>
      </c>
      <c r="B68">
        <v>6</v>
      </c>
      <c r="C68">
        <v>2</v>
      </c>
      <c r="D68">
        <v>3</v>
      </c>
      <c r="E68">
        <v>1</v>
      </c>
      <c r="F68">
        <v>7</v>
      </c>
      <c r="G68">
        <v>2</v>
      </c>
      <c r="H68">
        <v>4</v>
      </c>
      <c r="I68">
        <v>1</v>
      </c>
      <c r="K68">
        <f t="shared" ref="K68:K123" si="5">B68+F68</f>
        <v>13</v>
      </c>
      <c r="L68">
        <f t="shared" ref="L68:L123" si="6">C68+G68</f>
        <v>4</v>
      </c>
      <c r="M68">
        <f t="shared" ref="M68:M123" si="7">D68+H68</f>
        <v>7</v>
      </c>
      <c r="N68">
        <f t="shared" ref="N68:N123" si="8">E68+I68</f>
        <v>2</v>
      </c>
    </row>
    <row r="69" spans="1:14">
      <c r="A69" t="s">
        <v>912</v>
      </c>
      <c r="B69">
        <v>5</v>
      </c>
      <c r="C69">
        <v>1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K69">
        <f t="shared" si="5"/>
        <v>5</v>
      </c>
      <c r="L69">
        <f t="shared" si="6"/>
        <v>1</v>
      </c>
      <c r="M69">
        <f t="shared" si="7"/>
        <v>2</v>
      </c>
      <c r="N69">
        <f t="shared" si="8"/>
        <v>2</v>
      </c>
    </row>
    <row r="70" spans="1:14">
      <c r="A70" t="s">
        <v>1057</v>
      </c>
      <c r="B70">
        <v>4</v>
      </c>
      <c r="C70">
        <v>0</v>
      </c>
      <c r="D70">
        <v>3</v>
      </c>
      <c r="E70">
        <v>1</v>
      </c>
      <c r="F70">
        <v>0</v>
      </c>
      <c r="G70">
        <v>0</v>
      </c>
      <c r="H70">
        <v>0</v>
      </c>
      <c r="I70">
        <v>0</v>
      </c>
      <c r="K70">
        <f t="shared" si="5"/>
        <v>4</v>
      </c>
      <c r="L70">
        <f t="shared" si="6"/>
        <v>0</v>
      </c>
      <c r="M70">
        <f t="shared" si="7"/>
        <v>3</v>
      </c>
      <c r="N70">
        <f t="shared" si="8"/>
        <v>1</v>
      </c>
    </row>
    <row r="71" spans="1:14">
      <c r="A71" t="s">
        <v>1380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f t="shared" si="5"/>
        <v>1</v>
      </c>
      <c r="L71">
        <f t="shared" si="6"/>
        <v>0</v>
      </c>
      <c r="M71">
        <f t="shared" si="7"/>
        <v>0</v>
      </c>
      <c r="N71">
        <f t="shared" si="8"/>
        <v>0</v>
      </c>
    </row>
    <row r="72" spans="1:14">
      <c r="A72" t="s">
        <v>1381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f t="shared" si="5"/>
        <v>1</v>
      </c>
      <c r="L72">
        <f t="shared" si="6"/>
        <v>0</v>
      </c>
      <c r="M72">
        <f t="shared" si="7"/>
        <v>0</v>
      </c>
      <c r="N72">
        <f t="shared" si="8"/>
        <v>0</v>
      </c>
    </row>
    <row r="73" spans="1:14">
      <c r="A73" t="s">
        <v>705</v>
      </c>
      <c r="B73">
        <v>3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K73">
        <f t="shared" si="5"/>
        <v>3</v>
      </c>
      <c r="L73">
        <f t="shared" si="6"/>
        <v>2</v>
      </c>
      <c r="M73">
        <f t="shared" si="7"/>
        <v>1</v>
      </c>
      <c r="N73">
        <f t="shared" si="8"/>
        <v>0</v>
      </c>
    </row>
    <row r="74" spans="1:14">
      <c r="A74" t="s">
        <v>773</v>
      </c>
      <c r="B74">
        <v>6</v>
      </c>
      <c r="C74">
        <v>2</v>
      </c>
      <c r="D74">
        <v>0</v>
      </c>
      <c r="E74">
        <v>4</v>
      </c>
      <c r="F74">
        <v>0</v>
      </c>
      <c r="G74">
        <v>0</v>
      </c>
      <c r="H74">
        <v>0</v>
      </c>
      <c r="I74">
        <v>0</v>
      </c>
      <c r="K74">
        <f t="shared" si="5"/>
        <v>6</v>
      </c>
      <c r="L74">
        <f t="shared" si="6"/>
        <v>2</v>
      </c>
      <c r="M74">
        <f t="shared" si="7"/>
        <v>0</v>
      </c>
      <c r="N74">
        <f t="shared" si="8"/>
        <v>4</v>
      </c>
    </row>
    <row r="75" spans="1:14">
      <c r="A75" t="s">
        <v>700</v>
      </c>
      <c r="B75">
        <v>6</v>
      </c>
      <c r="C75">
        <v>2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K75">
        <f t="shared" si="5"/>
        <v>6</v>
      </c>
      <c r="L75">
        <f t="shared" si="6"/>
        <v>2</v>
      </c>
      <c r="M75">
        <f t="shared" si="7"/>
        <v>3</v>
      </c>
      <c r="N75">
        <f t="shared" si="8"/>
        <v>0</v>
      </c>
    </row>
    <row r="76" spans="1:14">
      <c r="A76" t="s">
        <v>1382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f t="shared" si="5"/>
        <v>1</v>
      </c>
      <c r="L76">
        <f t="shared" si="6"/>
        <v>0</v>
      </c>
      <c r="M76">
        <f t="shared" si="7"/>
        <v>0</v>
      </c>
      <c r="N76">
        <f t="shared" si="8"/>
        <v>0</v>
      </c>
    </row>
    <row r="77" spans="1:14">
      <c r="A77" t="s">
        <v>1383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f t="shared" si="5"/>
        <v>1</v>
      </c>
      <c r="L77">
        <f t="shared" si="6"/>
        <v>0</v>
      </c>
      <c r="M77">
        <f t="shared" si="7"/>
        <v>0</v>
      </c>
      <c r="N77">
        <f t="shared" si="8"/>
        <v>0</v>
      </c>
    </row>
    <row r="78" spans="1:14">
      <c r="A78" t="s">
        <v>625</v>
      </c>
      <c r="B78">
        <v>2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K78">
        <f t="shared" si="5"/>
        <v>2</v>
      </c>
      <c r="L78">
        <f t="shared" si="6"/>
        <v>1</v>
      </c>
      <c r="M78">
        <f t="shared" si="7"/>
        <v>1</v>
      </c>
      <c r="N78">
        <f t="shared" si="8"/>
        <v>0</v>
      </c>
    </row>
    <row r="79" spans="1:14">
      <c r="A79" t="s">
        <v>795</v>
      </c>
      <c r="B79">
        <v>5</v>
      </c>
      <c r="C79">
        <v>3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K79">
        <f t="shared" si="5"/>
        <v>5</v>
      </c>
      <c r="L79">
        <f t="shared" si="6"/>
        <v>3</v>
      </c>
      <c r="M79">
        <f t="shared" si="7"/>
        <v>1</v>
      </c>
      <c r="N79">
        <f t="shared" si="8"/>
        <v>1</v>
      </c>
    </row>
    <row r="80" spans="1:14">
      <c r="A80" t="s">
        <v>646</v>
      </c>
      <c r="B80">
        <v>7</v>
      </c>
      <c r="C80">
        <v>1</v>
      </c>
      <c r="D80">
        <v>4</v>
      </c>
      <c r="E80">
        <v>2</v>
      </c>
      <c r="F80">
        <v>0</v>
      </c>
      <c r="G80">
        <v>0</v>
      </c>
      <c r="H80">
        <v>0</v>
      </c>
      <c r="I80">
        <v>0</v>
      </c>
      <c r="K80">
        <f t="shared" si="5"/>
        <v>7</v>
      </c>
      <c r="L80">
        <f t="shared" si="6"/>
        <v>1</v>
      </c>
      <c r="M80">
        <f t="shared" si="7"/>
        <v>4</v>
      </c>
      <c r="N80">
        <f t="shared" si="8"/>
        <v>2</v>
      </c>
    </row>
    <row r="81" spans="1:14">
      <c r="A81" t="s">
        <v>654</v>
      </c>
      <c r="B81">
        <v>5</v>
      </c>
      <c r="C81">
        <v>1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K81">
        <f t="shared" si="5"/>
        <v>5</v>
      </c>
      <c r="L81">
        <f t="shared" si="6"/>
        <v>1</v>
      </c>
      <c r="M81">
        <f t="shared" si="7"/>
        <v>3</v>
      </c>
      <c r="N81">
        <f t="shared" si="8"/>
        <v>0</v>
      </c>
    </row>
    <row r="82" spans="1:14">
      <c r="A82" t="s">
        <v>1384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f t="shared" si="5"/>
        <v>1</v>
      </c>
      <c r="L82">
        <f t="shared" si="6"/>
        <v>0</v>
      </c>
      <c r="M82">
        <f t="shared" si="7"/>
        <v>0</v>
      </c>
      <c r="N82">
        <f t="shared" si="8"/>
        <v>0</v>
      </c>
    </row>
    <row r="83" spans="1:14">
      <c r="A83" t="s">
        <v>182</v>
      </c>
      <c r="B83">
        <v>8</v>
      </c>
      <c r="C83">
        <v>4</v>
      </c>
      <c r="D83">
        <v>2</v>
      </c>
      <c r="E83">
        <v>2</v>
      </c>
      <c r="F83">
        <v>5</v>
      </c>
      <c r="G83">
        <v>1</v>
      </c>
      <c r="H83">
        <v>2</v>
      </c>
      <c r="I83">
        <v>1</v>
      </c>
      <c r="K83">
        <f t="shared" si="5"/>
        <v>13</v>
      </c>
      <c r="L83">
        <f t="shared" si="6"/>
        <v>5</v>
      </c>
      <c r="M83">
        <f t="shared" si="7"/>
        <v>4</v>
      </c>
      <c r="N83">
        <f t="shared" si="8"/>
        <v>3</v>
      </c>
    </row>
    <row r="84" spans="1:14">
      <c r="A84" t="s">
        <v>696</v>
      </c>
      <c r="B84">
        <v>2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K84">
        <f t="shared" si="5"/>
        <v>2</v>
      </c>
      <c r="L84">
        <f t="shared" si="6"/>
        <v>1</v>
      </c>
      <c r="M84">
        <f t="shared" si="7"/>
        <v>1</v>
      </c>
      <c r="N84">
        <f t="shared" si="8"/>
        <v>0</v>
      </c>
    </row>
    <row r="85" spans="1:14">
      <c r="A85" t="s">
        <v>781</v>
      </c>
      <c r="B85">
        <v>2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K85">
        <f t="shared" si="5"/>
        <v>2</v>
      </c>
      <c r="L85">
        <f t="shared" si="6"/>
        <v>0</v>
      </c>
      <c r="M85">
        <f t="shared" si="7"/>
        <v>1</v>
      </c>
      <c r="N85">
        <f t="shared" si="8"/>
        <v>1</v>
      </c>
    </row>
    <row r="86" spans="1:14">
      <c r="A86" t="s">
        <v>328</v>
      </c>
      <c r="B86">
        <v>0</v>
      </c>
      <c r="C86">
        <v>0</v>
      </c>
      <c r="D86">
        <v>0</v>
      </c>
      <c r="E86">
        <v>0</v>
      </c>
      <c r="F86">
        <v>11</v>
      </c>
      <c r="G86">
        <v>3</v>
      </c>
      <c r="H86">
        <v>6</v>
      </c>
      <c r="I86">
        <v>2</v>
      </c>
      <c r="K86">
        <f t="shared" si="5"/>
        <v>11</v>
      </c>
      <c r="L86">
        <f t="shared" si="6"/>
        <v>3</v>
      </c>
      <c r="M86">
        <f t="shared" si="7"/>
        <v>6</v>
      </c>
      <c r="N86">
        <f t="shared" si="8"/>
        <v>2</v>
      </c>
    </row>
    <row r="87" spans="1:14">
      <c r="A87" t="s">
        <v>308</v>
      </c>
      <c r="B87">
        <v>0</v>
      </c>
      <c r="C87">
        <v>0</v>
      </c>
      <c r="D87">
        <v>0</v>
      </c>
      <c r="E87">
        <v>0</v>
      </c>
      <c r="F87">
        <v>7</v>
      </c>
      <c r="G87">
        <v>1</v>
      </c>
      <c r="H87">
        <v>3</v>
      </c>
      <c r="I87">
        <v>2</v>
      </c>
      <c r="K87">
        <f t="shared" si="5"/>
        <v>7</v>
      </c>
      <c r="L87">
        <f t="shared" si="6"/>
        <v>1</v>
      </c>
      <c r="M87">
        <f t="shared" si="7"/>
        <v>3</v>
      </c>
      <c r="N87">
        <f t="shared" si="8"/>
        <v>2</v>
      </c>
    </row>
    <row r="88" spans="1:14">
      <c r="A88" t="s">
        <v>113</v>
      </c>
      <c r="B88">
        <v>0</v>
      </c>
      <c r="C88">
        <v>0</v>
      </c>
      <c r="D88">
        <v>0</v>
      </c>
      <c r="E88">
        <v>0</v>
      </c>
      <c r="F88">
        <v>6</v>
      </c>
      <c r="G88">
        <v>2</v>
      </c>
      <c r="H88">
        <v>1</v>
      </c>
      <c r="I88">
        <v>2</v>
      </c>
      <c r="K88">
        <f t="shared" si="5"/>
        <v>6</v>
      </c>
      <c r="L88">
        <f t="shared" si="6"/>
        <v>2</v>
      </c>
      <c r="M88">
        <f t="shared" si="7"/>
        <v>1</v>
      </c>
      <c r="N88">
        <f t="shared" si="8"/>
        <v>2</v>
      </c>
    </row>
    <row r="89" spans="1:14">
      <c r="A89" t="s">
        <v>177</v>
      </c>
      <c r="B89">
        <v>0</v>
      </c>
      <c r="C89">
        <v>0</v>
      </c>
      <c r="D89">
        <v>0</v>
      </c>
      <c r="E89">
        <v>0</v>
      </c>
      <c r="F89">
        <v>7</v>
      </c>
      <c r="G89">
        <v>1</v>
      </c>
      <c r="H89">
        <v>5</v>
      </c>
      <c r="I89">
        <v>1</v>
      </c>
      <c r="K89">
        <f t="shared" si="5"/>
        <v>7</v>
      </c>
      <c r="L89">
        <f t="shared" si="6"/>
        <v>1</v>
      </c>
      <c r="M89">
        <f t="shared" si="7"/>
        <v>5</v>
      </c>
      <c r="N89">
        <f t="shared" si="8"/>
        <v>1</v>
      </c>
    </row>
    <row r="90" spans="1:14">
      <c r="A90" t="s">
        <v>27</v>
      </c>
      <c r="B90">
        <v>0</v>
      </c>
      <c r="C90">
        <v>0</v>
      </c>
      <c r="D90">
        <v>0</v>
      </c>
      <c r="E90">
        <v>0</v>
      </c>
      <c r="F90">
        <v>6</v>
      </c>
      <c r="G90">
        <v>2</v>
      </c>
      <c r="H90">
        <v>2</v>
      </c>
      <c r="I90">
        <v>2</v>
      </c>
      <c r="K90">
        <f t="shared" si="5"/>
        <v>6</v>
      </c>
      <c r="L90">
        <f t="shared" si="6"/>
        <v>2</v>
      </c>
      <c r="M90">
        <f t="shared" si="7"/>
        <v>2</v>
      </c>
      <c r="N90">
        <f t="shared" si="8"/>
        <v>2</v>
      </c>
    </row>
    <row r="91" spans="1:14">
      <c r="A91" t="s">
        <v>160</v>
      </c>
      <c r="B91">
        <v>0</v>
      </c>
      <c r="C91">
        <v>0</v>
      </c>
      <c r="D91">
        <v>0</v>
      </c>
      <c r="E91">
        <v>0</v>
      </c>
      <c r="F91">
        <v>14</v>
      </c>
      <c r="G91">
        <v>2</v>
      </c>
      <c r="H91">
        <v>10</v>
      </c>
      <c r="I91">
        <v>2</v>
      </c>
      <c r="K91">
        <f t="shared" si="5"/>
        <v>14</v>
      </c>
      <c r="L91">
        <f t="shared" si="6"/>
        <v>2</v>
      </c>
      <c r="M91">
        <f t="shared" si="7"/>
        <v>10</v>
      </c>
      <c r="N91">
        <f t="shared" si="8"/>
        <v>2</v>
      </c>
    </row>
    <row r="92" spans="1:14">
      <c r="A92" t="s">
        <v>96</v>
      </c>
      <c r="B92">
        <v>0</v>
      </c>
      <c r="C92">
        <v>0</v>
      </c>
      <c r="D92">
        <v>0</v>
      </c>
      <c r="E92">
        <v>0</v>
      </c>
      <c r="F92">
        <v>13</v>
      </c>
      <c r="G92">
        <v>3</v>
      </c>
      <c r="H92">
        <v>6</v>
      </c>
      <c r="I92">
        <v>3</v>
      </c>
      <c r="K92">
        <f t="shared" si="5"/>
        <v>13</v>
      </c>
      <c r="L92">
        <f t="shared" si="6"/>
        <v>3</v>
      </c>
      <c r="M92">
        <f t="shared" si="7"/>
        <v>6</v>
      </c>
      <c r="N92">
        <f t="shared" si="8"/>
        <v>3</v>
      </c>
    </row>
    <row r="93" spans="1:14">
      <c r="A93" t="s">
        <v>225</v>
      </c>
      <c r="B93">
        <v>0</v>
      </c>
      <c r="C93">
        <v>0</v>
      </c>
      <c r="D93">
        <v>0</v>
      </c>
      <c r="E93">
        <v>0</v>
      </c>
      <c r="F93">
        <v>11</v>
      </c>
      <c r="G93">
        <v>3</v>
      </c>
      <c r="H93">
        <v>8</v>
      </c>
      <c r="I93">
        <v>0</v>
      </c>
      <c r="K93">
        <f t="shared" si="5"/>
        <v>11</v>
      </c>
      <c r="L93">
        <f t="shared" si="6"/>
        <v>3</v>
      </c>
      <c r="M93">
        <f t="shared" si="7"/>
        <v>8</v>
      </c>
      <c r="N93">
        <f t="shared" si="8"/>
        <v>0</v>
      </c>
    </row>
    <row r="94" spans="1:14">
      <c r="A94" t="s">
        <v>39</v>
      </c>
      <c r="B94">
        <v>0</v>
      </c>
      <c r="C94">
        <v>0</v>
      </c>
      <c r="D94">
        <v>0</v>
      </c>
      <c r="E94">
        <v>0</v>
      </c>
      <c r="F94">
        <v>14</v>
      </c>
      <c r="G94">
        <v>3</v>
      </c>
      <c r="H94">
        <v>8</v>
      </c>
      <c r="I94">
        <v>2</v>
      </c>
      <c r="K94">
        <f t="shared" si="5"/>
        <v>14</v>
      </c>
      <c r="L94">
        <f t="shared" si="6"/>
        <v>3</v>
      </c>
      <c r="M94">
        <f t="shared" si="7"/>
        <v>8</v>
      </c>
      <c r="N94">
        <f t="shared" si="8"/>
        <v>2</v>
      </c>
    </row>
    <row r="95" spans="1:14">
      <c r="A95" t="s">
        <v>49</v>
      </c>
      <c r="B95">
        <v>0</v>
      </c>
      <c r="C95">
        <v>0</v>
      </c>
      <c r="D95">
        <v>0</v>
      </c>
      <c r="E95">
        <v>0</v>
      </c>
      <c r="F95">
        <v>14</v>
      </c>
      <c r="G95">
        <v>3</v>
      </c>
      <c r="H95">
        <v>7</v>
      </c>
      <c r="I95">
        <v>3</v>
      </c>
      <c r="K95">
        <f t="shared" si="5"/>
        <v>14</v>
      </c>
      <c r="L95">
        <f t="shared" si="6"/>
        <v>3</v>
      </c>
      <c r="M95">
        <f t="shared" si="7"/>
        <v>7</v>
      </c>
      <c r="N95">
        <f t="shared" si="8"/>
        <v>3</v>
      </c>
    </row>
    <row r="96" spans="1:14">
      <c r="A96" t="s">
        <v>1385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K96">
        <f t="shared" si="5"/>
        <v>1</v>
      </c>
      <c r="L96">
        <f t="shared" si="6"/>
        <v>0</v>
      </c>
      <c r="M96">
        <f t="shared" si="7"/>
        <v>0</v>
      </c>
      <c r="N96">
        <f t="shared" si="8"/>
        <v>0</v>
      </c>
    </row>
    <row r="97" spans="1:14">
      <c r="A97" t="s">
        <v>1386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K97">
        <f t="shared" si="5"/>
        <v>1</v>
      </c>
      <c r="L97">
        <f t="shared" si="6"/>
        <v>0</v>
      </c>
      <c r="M97">
        <f t="shared" si="7"/>
        <v>0</v>
      </c>
      <c r="N97">
        <f t="shared" si="8"/>
        <v>0</v>
      </c>
    </row>
    <row r="98" spans="1:14">
      <c r="A98" t="s">
        <v>1387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K98">
        <f t="shared" si="5"/>
        <v>1</v>
      </c>
      <c r="L98">
        <f t="shared" si="6"/>
        <v>0</v>
      </c>
      <c r="M98">
        <f t="shared" si="7"/>
        <v>0</v>
      </c>
      <c r="N98">
        <f t="shared" si="8"/>
        <v>0</v>
      </c>
    </row>
    <row r="99" spans="1:14">
      <c r="A99" t="s">
        <v>16</v>
      </c>
      <c r="B99">
        <v>0</v>
      </c>
      <c r="C99">
        <v>0</v>
      </c>
      <c r="D99">
        <v>0</v>
      </c>
      <c r="E99">
        <v>0</v>
      </c>
      <c r="F99">
        <v>11</v>
      </c>
      <c r="G99">
        <v>5</v>
      </c>
      <c r="H99">
        <v>2</v>
      </c>
      <c r="I99">
        <v>4</v>
      </c>
      <c r="K99">
        <f t="shared" si="5"/>
        <v>11</v>
      </c>
      <c r="L99">
        <f t="shared" si="6"/>
        <v>5</v>
      </c>
      <c r="M99">
        <f t="shared" si="7"/>
        <v>2</v>
      </c>
      <c r="N99">
        <f t="shared" si="8"/>
        <v>4</v>
      </c>
    </row>
    <row r="100" spans="1:14">
      <c r="A100" t="s">
        <v>22</v>
      </c>
      <c r="B100">
        <v>0</v>
      </c>
      <c r="C100">
        <v>0</v>
      </c>
      <c r="D100">
        <v>0</v>
      </c>
      <c r="E100">
        <v>0</v>
      </c>
      <c r="F100">
        <v>5</v>
      </c>
      <c r="G100">
        <v>2</v>
      </c>
      <c r="H100">
        <v>1</v>
      </c>
      <c r="I100">
        <v>2</v>
      </c>
      <c r="K100">
        <f t="shared" si="5"/>
        <v>5</v>
      </c>
      <c r="L100">
        <f t="shared" si="6"/>
        <v>2</v>
      </c>
      <c r="M100">
        <f t="shared" si="7"/>
        <v>1</v>
      </c>
      <c r="N100">
        <f t="shared" si="8"/>
        <v>2</v>
      </c>
    </row>
    <row r="101" spans="1:14">
      <c r="A101" t="s">
        <v>31</v>
      </c>
      <c r="B101">
        <v>0</v>
      </c>
      <c r="C101">
        <v>0</v>
      </c>
      <c r="D101">
        <v>0</v>
      </c>
      <c r="E101">
        <v>0</v>
      </c>
      <c r="F101">
        <v>12</v>
      </c>
      <c r="G101">
        <v>4</v>
      </c>
      <c r="H101">
        <v>4</v>
      </c>
      <c r="I101">
        <v>4</v>
      </c>
      <c r="K101">
        <f t="shared" si="5"/>
        <v>12</v>
      </c>
      <c r="L101">
        <f t="shared" si="6"/>
        <v>4</v>
      </c>
      <c r="M101">
        <f t="shared" si="7"/>
        <v>4</v>
      </c>
      <c r="N101">
        <f t="shared" si="8"/>
        <v>4</v>
      </c>
    </row>
    <row r="102" spans="1:14">
      <c r="A102" t="s">
        <v>79</v>
      </c>
      <c r="B102">
        <v>0</v>
      </c>
      <c r="C102">
        <v>0</v>
      </c>
      <c r="D102">
        <v>0</v>
      </c>
      <c r="E102">
        <v>0</v>
      </c>
      <c r="F102">
        <v>6</v>
      </c>
      <c r="G102">
        <v>2</v>
      </c>
      <c r="H102">
        <v>4</v>
      </c>
      <c r="I102">
        <v>0</v>
      </c>
      <c r="K102">
        <f t="shared" si="5"/>
        <v>6</v>
      </c>
      <c r="L102">
        <f t="shared" si="6"/>
        <v>2</v>
      </c>
      <c r="M102">
        <f t="shared" si="7"/>
        <v>4</v>
      </c>
      <c r="N102">
        <f t="shared" si="8"/>
        <v>0</v>
      </c>
    </row>
    <row r="103" spans="1:14">
      <c r="A103" t="s">
        <v>93</v>
      </c>
      <c r="B103">
        <v>0</v>
      </c>
      <c r="C103">
        <v>0</v>
      </c>
      <c r="D103">
        <v>0</v>
      </c>
      <c r="E103">
        <v>0</v>
      </c>
      <c r="F103">
        <v>4</v>
      </c>
      <c r="G103">
        <v>1</v>
      </c>
      <c r="H103">
        <v>2</v>
      </c>
      <c r="I103">
        <v>1</v>
      </c>
      <c r="K103">
        <f t="shared" si="5"/>
        <v>4</v>
      </c>
      <c r="L103">
        <f t="shared" si="6"/>
        <v>1</v>
      </c>
      <c r="M103">
        <f t="shared" si="7"/>
        <v>2</v>
      </c>
      <c r="N103">
        <f t="shared" si="8"/>
        <v>1</v>
      </c>
    </row>
    <row r="104" spans="1:14">
      <c r="A104" t="s">
        <v>19</v>
      </c>
      <c r="B104">
        <v>0</v>
      </c>
      <c r="C104">
        <v>0</v>
      </c>
      <c r="D104">
        <v>0</v>
      </c>
      <c r="E104">
        <v>0</v>
      </c>
      <c r="F104">
        <v>8</v>
      </c>
      <c r="G104">
        <v>4</v>
      </c>
      <c r="H104">
        <v>2</v>
      </c>
      <c r="I104">
        <v>2</v>
      </c>
      <c r="K104">
        <f t="shared" si="5"/>
        <v>8</v>
      </c>
      <c r="L104">
        <f t="shared" si="6"/>
        <v>4</v>
      </c>
      <c r="M104">
        <f t="shared" si="7"/>
        <v>2</v>
      </c>
      <c r="N104">
        <f t="shared" si="8"/>
        <v>2</v>
      </c>
    </row>
    <row r="105" spans="1:14">
      <c r="A105" t="s">
        <v>218</v>
      </c>
      <c r="B105">
        <v>0</v>
      </c>
      <c r="C105">
        <v>0</v>
      </c>
      <c r="D105">
        <v>0</v>
      </c>
      <c r="E105">
        <v>0</v>
      </c>
      <c r="F105">
        <v>11</v>
      </c>
      <c r="G105">
        <v>2</v>
      </c>
      <c r="H105">
        <v>5</v>
      </c>
      <c r="I105">
        <v>3</v>
      </c>
      <c r="K105">
        <f t="shared" si="5"/>
        <v>11</v>
      </c>
      <c r="L105">
        <f t="shared" si="6"/>
        <v>2</v>
      </c>
      <c r="M105">
        <f t="shared" si="7"/>
        <v>5</v>
      </c>
      <c r="N105">
        <f t="shared" si="8"/>
        <v>3</v>
      </c>
    </row>
    <row r="106" spans="1:14">
      <c r="A106" t="s">
        <v>213</v>
      </c>
      <c r="B106">
        <v>0</v>
      </c>
      <c r="C106">
        <v>0</v>
      </c>
      <c r="D106">
        <v>0</v>
      </c>
      <c r="E106">
        <v>0</v>
      </c>
      <c r="F106">
        <v>6</v>
      </c>
      <c r="G106">
        <v>2</v>
      </c>
      <c r="H106">
        <v>2</v>
      </c>
      <c r="I106">
        <v>2</v>
      </c>
      <c r="K106">
        <f t="shared" si="5"/>
        <v>6</v>
      </c>
      <c r="L106">
        <f t="shared" si="6"/>
        <v>2</v>
      </c>
      <c r="M106">
        <f t="shared" si="7"/>
        <v>2</v>
      </c>
      <c r="N106">
        <f t="shared" si="8"/>
        <v>2</v>
      </c>
    </row>
    <row r="107" spans="1:14">
      <c r="A107" t="s">
        <v>61</v>
      </c>
      <c r="B107">
        <v>0</v>
      </c>
      <c r="C107">
        <v>0</v>
      </c>
      <c r="D107">
        <v>0</v>
      </c>
      <c r="E107">
        <v>0</v>
      </c>
      <c r="F107">
        <v>9</v>
      </c>
      <c r="G107">
        <v>5</v>
      </c>
      <c r="H107">
        <v>3</v>
      </c>
      <c r="I107">
        <v>1</v>
      </c>
      <c r="K107">
        <f t="shared" si="5"/>
        <v>9</v>
      </c>
      <c r="L107">
        <f t="shared" si="6"/>
        <v>5</v>
      </c>
      <c r="M107">
        <f t="shared" si="7"/>
        <v>3</v>
      </c>
      <c r="N107">
        <f t="shared" si="8"/>
        <v>1</v>
      </c>
    </row>
    <row r="108" spans="1:14">
      <c r="A108" t="s">
        <v>41</v>
      </c>
      <c r="B108">
        <v>0</v>
      </c>
      <c r="C108">
        <v>0</v>
      </c>
      <c r="D108">
        <v>0</v>
      </c>
      <c r="E108">
        <v>0</v>
      </c>
      <c r="F108">
        <v>13</v>
      </c>
      <c r="G108">
        <v>4</v>
      </c>
      <c r="H108">
        <v>5</v>
      </c>
      <c r="I108">
        <v>3</v>
      </c>
      <c r="K108">
        <f t="shared" si="5"/>
        <v>13</v>
      </c>
      <c r="L108">
        <f t="shared" si="6"/>
        <v>4</v>
      </c>
      <c r="M108">
        <f t="shared" si="7"/>
        <v>5</v>
      </c>
      <c r="N108">
        <f t="shared" si="8"/>
        <v>3</v>
      </c>
    </row>
    <row r="109" spans="1:14">
      <c r="A109" t="s">
        <v>239</v>
      </c>
      <c r="B109">
        <v>0</v>
      </c>
      <c r="C109">
        <v>0</v>
      </c>
      <c r="D109">
        <v>0</v>
      </c>
      <c r="E109">
        <v>0</v>
      </c>
      <c r="F109">
        <v>7</v>
      </c>
      <c r="G109">
        <v>1</v>
      </c>
      <c r="H109">
        <v>4</v>
      </c>
      <c r="I109">
        <v>2</v>
      </c>
      <c r="K109">
        <f t="shared" si="5"/>
        <v>7</v>
      </c>
      <c r="L109">
        <f t="shared" si="6"/>
        <v>1</v>
      </c>
      <c r="M109">
        <f t="shared" si="7"/>
        <v>4</v>
      </c>
      <c r="N109">
        <f t="shared" si="8"/>
        <v>2</v>
      </c>
    </row>
    <row r="110" spans="1:14">
      <c r="A110" t="s">
        <v>83</v>
      </c>
      <c r="B110">
        <v>0</v>
      </c>
      <c r="C110">
        <v>0</v>
      </c>
      <c r="D110">
        <v>0</v>
      </c>
      <c r="E110">
        <v>0</v>
      </c>
      <c r="F110">
        <v>11</v>
      </c>
      <c r="G110">
        <v>4</v>
      </c>
      <c r="H110">
        <v>6</v>
      </c>
      <c r="I110">
        <v>1</v>
      </c>
      <c r="K110">
        <f t="shared" si="5"/>
        <v>11</v>
      </c>
      <c r="L110">
        <f t="shared" si="6"/>
        <v>4</v>
      </c>
      <c r="M110">
        <f t="shared" si="7"/>
        <v>6</v>
      </c>
      <c r="N110">
        <f t="shared" si="8"/>
        <v>1</v>
      </c>
    </row>
    <row r="111" spans="1:14">
      <c r="A111" t="s">
        <v>44</v>
      </c>
      <c r="B111">
        <v>0</v>
      </c>
      <c r="C111">
        <v>0</v>
      </c>
      <c r="D111">
        <v>0</v>
      </c>
      <c r="E111">
        <v>0</v>
      </c>
      <c r="F111">
        <v>10</v>
      </c>
      <c r="G111">
        <v>2</v>
      </c>
      <c r="H111">
        <v>5</v>
      </c>
      <c r="I111">
        <v>3</v>
      </c>
      <c r="K111">
        <f t="shared" si="5"/>
        <v>10</v>
      </c>
      <c r="L111">
        <f t="shared" si="6"/>
        <v>2</v>
      </c>
      <c r="M111">
        <f t="shared" si="7"/>
        <v>5</v>
      </c>
      <c r="N111">
        <f t="shared" si="8"/>
        <v>3</v>
      </c>
    </row>
    <row r="112" spans="1:14">
      <c r="A112" t="s">
        <v>87</v>
      </c>
      <c r="B112">
        <v>0</v>
      </c>
      <c r="C112">
        <v>0</v>
      </c>
      <c r="D112">
        <v>0</v>
      </c>
      <c r="E112">
        <v>0</v>
      </c>
      <c r="F112">
        <v>6</v>
      </c>
      <c r="G112">
        <v>2</v>
      </c>
      <c r="H112">
        <v>4</v>
      </c>
      <c r="I112">
        <v>0</v>
      </c>
      <c r="K112">
        <f t="shared" si="5"/>
        <v>6</v>
      </c>
      <c r="L112">
        <f t="shared" si="6"/>
        <v>2</v>
      </c>
      <c r="M112">
        <f t="shared" si="7"/>
        <v>4</v>
      </c>
      <c r="N112">
        <f t="shared" si="8"/>
        <v>0</v>
      </c>
    </row>
    <row r="113" spans="1:14">
      <c r="A113" t="s">
        <v>210</v>
      </c>
      <c r="B113">
        <v>0</v>
      </c>
      <c r="C113">
        <v>0</v>
      </c>
      <c r="D113">
        <v>0</v>
      </c>
      <c r="E113">
        <v>0</v>
      </c>
      <c r="F113">
        <v>18</v>
      </c>
      <c r="G113">
        <v>2</v>
      </c>
      <c r="H113">
        <v>13</v>
      </c>
      <c r="I113">
        <v>3</v>
      </c>
      <c r="K113">
        <f t="shared" si="5"/>
        <v>18</v>
      </c>
      <c r="L113">
        <f t="shared" si="6"/>
        <v>2</v>
      </c>
      <c r="M113">
        <f t="shared" si="7"/>
        <v>13</v>
      </c>
      <c r="N113">
        <f t="shared" si="8"/>
        <v>3</v>
      </c>
    </row>
    <row r="114" spans="1:14">
      <c r="A114" t="s">
        <v>264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0</v>
      </c>
      <c r="I114">
        <v>1</v>
      </c>
      <c r="K114">
        <f t="shared" si="5"/>
        <v>2</v>
      </c>
      <c r="L114">
        <f t="shared" si="6"/>
        <v>1</v>
      </c>
      <c r="M114">
        <f t="shared" si="7"/>
        <v>0</v>
      </c>
      <c r="N114">
        <f t="shared" si="8"/>
        <v>1</v>
      </c>
    </row>
    <row r="115" spans="1:14">
      <c r="A115" t="s">
        <v>117</v>
      </c>
      <c r="B115">
        <v>0</v>
      </c>
      <c r="C115">
        <v>0</v>
      </c>
      <c r="D115">
        <v>0</v>
      </c>
      <c r="E115">
        <v>0</v>
      </c>
      <c r="F115">
        <v>11</v>
      </c>
      <c r="G115">
        <v>3</v>
      </c>
      <c r="H115">
        <v>2</v>
      </c>
      <c r="I115">
        <v>5</v>
      </c>
      <c r="K115">
        <f t="shared" si="5"/>
        <v>11</v>
      </c>
      <c r="L115">
        <f t="shared" si="6"/>
        <v>3</v>
      </c>
      <c r="M115">
        <f t="shared" si="7"/>
        <v>2</v>
      </c>
      <c r="N115">
        <f t="shared" si="8"/>
        <v>5</v>
      </c>
    </row>
    <row r="116" spans="1:14">
      <c r="A116" t="s">
        <v>103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K116">
        <f t="shared" si="5"/>
        <v>1</v>
      </c>
      <c r="L116">
        <f t="shared" si="6"/>
        <v>1</v>
      </c>
      <c r="M116">
        <f t="shared" si="7"/>
        <v>0</v>
      </c>
      <c r="N116">
        <f t="shared" si="8"/>
        <v>0</v>
      </c>
    </row>
    <row r="117" spans="1:14">
      <c r="A117" t="s">
        <v>1388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K117">
        <f t="shared" si="5"/>
        <v>1</v>
      </c>
      <c r="L117">
        <f t="shared" si="6"/>
        <v>0</v>
      </c>
      <c r="M117">
        <f t="shared" si="7"/>
        <v>0</v>
      </c>
      <c r="N117">
        <f t="shared" si="8"/>
        <v>0</v>
      </c>
    </row>
    <row r="118" spans="1:14">
      <c r="A118" t="s">
        <v>1389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K118">
        <f t="shared" si="5"/>
        <v>1</v>
      </c>
      <c r="L118">
        <f t="shared" si="6"/>
        <v>0</v>
      </c>
      <c r="M118">
        <f t="shared" si="7"/>
        <v>0</v>
      </c>
      <c r="N118">
        <f t="shared" si="8"/>
        <v>0</v>
      </c>
    </row>
    <row r="119" spans="1:14">
      <c r="A119" t="s">
        <v>1390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K119">
        <f t="shared" si="5"/>
        <v>1</v>
      </c>
      <c r="L119">
        <f t="shared" si="6"/>
        <v>0</v>
      </c>
      <c r="M119">
        <f t="shared" si="7"/>
        <v>0</v>
      </c>
      <c r="N119">
        <f t="shared" si="8"/>
        <v>0</v>
      </c>
    </row>
    <row r="120" spans="1:14">
      <c r="A120" t="s">
        <v>1391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K120">
        <f t="shared" si="5"/>
        <v>1</v>
      </c>
      <c r="L120">
        <f t="shared" si="6"/>
        <v>0</v>
      </c>
      <c r="M120">
        <f t="shared" si="7"/>
        <v>0</v>
      </c>
      <c r="N120">
        <f t="shared" si="8"/>
        <v>0</v>
      </c>
    </row>
    <row r="121" spans="1:14">
      <c r="A121" t="s">
        <v>1392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K121">
        <f t="shared" si="5"/>
        <v>1</v>
      </c>
      <c r="L121">
        <f t="shared" si="6"/>
        <v>0</v>
      </c>
      <c r="M121">
        <f t="shared" si="7"/>
        <v>0</v>
      </c>
      <c r="N121">
        <f t="shared" si="8"/>
        <v>0</v>
      </c>
    </row>
    <row r="122" spans="1:14">
      <c r="A122" t="s">
        <v>1393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K122">
        <f t="shared" si="5"/>
        <v>1</v>
      </c>
      <c r="L122">
        <f t="shared" si="6"/>
        <v>0</v>
      </c>
      <c r="M122">
        <f t="shared" si="7"/>
        <v>0</v>
      </c>
      <c r="N122">
        <f t="shared" si="8"/>
        <v>0</v>
      </c>
    </row>
    <row r="123" spans="1:14">
      <c r="A123" t="s">
        <v>1394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K123">
        <f t="shared" si="5"/>
        <v>1</v>
      </c>
      <c r="L123">
        <f t="shared" si="6"/>
        <v>0</v>
      </c>
      <c r="M123">
        <f t="shared" si="7"/>
        <v>0</v>
      </c>
      <c r="N123">
        <f t="shared" si="8"/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FTE 정리</vt:lpstr>
      <vt:lpstr>monthly_work_hours</vt:lpstr>
      <vt:lpstr>FTE 계산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Hans Kim</cp:lastModifiedBy>
  <dcterms:created xsi:type="dcterms:W3CDTF">2025-09-19T05:02:17Z</dcterms:created>
  <dcterms:modified xsi:type="dcterms:W3CDTF">2025-09-21T01:33:03Z</dcterms:modified>
</cp:coreProperties>
</file>